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ocumenttasks/documenttask2.xml" ContentType="application/vnd.ms-excel.documenttasks+xml"/>
  <Override PartName="/xl/comments5.xml" ContentType="application/vnd.openxmlformats-officedocument.spreadsheetml.comments+xml"/>
  <Override PartName="/xl/threadedComments/threadedComment5.xml" ContentType="application/vnd.ms-excel.threadedcomments+xml"/>
  <Override PartName="/xl/drawings/drawing2.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tables/table4.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documenttasks/documenttask3.xml" ContentType="application/vnd.ms-excel.documenttasks+xml"/>
  <Override PartName="/xl/comments8.xml" ContentType="application/vnd.openxmlformats-officedocument.spreadsheetml.comments+xml"/>
  <Override PartName="/xl/threadedComments/threadedComment8.xml" ContentType="application/vnd.ms-excel.threadedcomments+xml"/>
  <Override PartName="/xl/documenttasks/documenttask4.xml" ContentType="application/vnd.ms-excel.documenttasks+xml"/>
  <Override PartName="/xl/comments9.xml" ContentType="application/vnd.openxmlformats-officedocument.spreadsheetml.comments+xml"/>
  <Override PartName="/xl/threadedComments/threadedComment9.xml" ContentType="application/vnd.ms-excel.threadedcomments+xml"/>
  <Override PartName="/xl/documenttasks/documenttask5.xml" ContentType="application/vnd.ms-excel.documenttasks+xml"/>
  <Override PartName="/xl/comments10.xml" ContentType="application/vnd.openxmlformats-officedocument.spreadsheetml.comments+xml"/>
  <Override PartName="/xl/threadedComments/threadedComment1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updateLinks="always"/>
  <mc:AlternateContent xmlns:mc="http://schemas.openxmlformats.org/markup-compatibility/2006">
    <mc:Choice Requires="x15">
      <x15ac:absPath xmlns:x15ac="http://schemas.microsoft.com/office/spreadsheetml/2010/11/ac" url="C:\Users\Admin\Documents\GitHub\BOQ-TOOLS\examples\"/>
    </mc:Choice>
  </mc:AlternateContent>
  <xr:revisionPtr revIDLastSave="0" documentId="13_ncr:1_{67B4AEE0-29D3-4EE3-A423-12276ACC5CA6}" xr6:coauthVersionLast="47" xr6:coauthVersionMax="47" xr10:uidLastSave="{00000000-0000-0000-0000-000000000000}"/>
  <bookViews>
    <workbookView xWindow="-4710" yWindow="-16320" windowWidth="29040" windowHeight="15720" tabRatio="905" firstSheet="1" activeTab="3" xr2:uid="{00000000-000D-0000-FFFF-FFFF00000000}"/>
  </bookViews>
  <sheets>
    <sheet name="Index" sheetId="31" state="hidden" r:id="rId1"/>
    <sheet name="Summary" sheetId="32" r:id="rId2"/>
    <sheet name="Per AB" sheetId="1" state="hidden" r:id="rId3"/>
    <sheet name="Miscellaneous" sheetId="43" r:id="rId4"/>
    <sheet name="O&amp;M building" sheetId="45" state="hidden" r:id="rId5"/>
    <sheet name="Foglio1" sheetId="42" state="hidden" r:id="rId6"/>
    <sheet name="Design" sheetId="7" state="hidden" r:id="rId7"/>
    <sheet name="Solar-BOP" sheetId="39" state="hidden" r:id="rId8"/>
    <sheet name="SiteCamp" sheetId="11" state="hidden" r:id="rId9"/>
    <sheet name="Personnel" sheetId="12" state="hidden" r:id="rId10"/>
    <sheet name="HSE" sheetId="47" state="hidden" r:id="rId11"/>
    <sheet name="Commissioning" sheetId="16" state="hidden" r:id="rId12"/>
    <sheet name="EMBOP_CI" sheetId="41" state="hidden" r:id="rId13"/>
    <sheet name="EMBOP-CI_ITA" sheetId="36" state="hidden" r:id="rId14"/>
    <sheet name="EMBOP-SI_ITA" sheetId="37" state="hidden" r:id="rId15"/>
    <sheet name="Civil Works" sheetId="20" r:id="rId16"/>
    <sheet name="ACCESS ROADS" sheetId="27" r:id="rId17"/>
    <sheet name="Env Works" sheetId="28" state="hidden" r:id="rId18"/>
    <sheet name="EMBOP_SI" sheetId="58" r:id="rId19"/>
    <sheet name="EMBOP-TRK Install." sheetId="25" r:id="rId20"/>
    <sheet name="Tracker Supply" sheetId="35" state="hidden" r:id="rId21"/>
    <sheet name="FX Supply" sheetId="34" state="hidden" r:id="rId22"/>
    <sheet name="Ex Tracker supply" sheetId="24" state="hidden" r:id="rId23"/>
    <sheet name="SI Supply" sheetId="55" state="hidden" r:id="rId24"/>
    <sheet name="PCU Supply" sheetId="56" state="hidden" r:id="rId25"/>
    <sheet name="EMBOP-FX Install." sheetId="48" state="hidden" r:id="rId26"/>
    <sheet name="TC Supply" sheetId="57" state="hidden" r:id="rId27"/>
    <sheet name="Process_OLD" sheetId="9" state="hidden" r:id="rId28"/>
    <sheet name="Process" sheetId="51" state="hidden" r:id="rId29"/>
    <sheet name="Spare Parts" sheetId="50" r:id="rId30"/>
    <sheet name="HSE (ITA ESP)" sheetId="46" r:id="rId31"/>
    <sheet name="SUS" sheetId="49" r:id="rId32"/>
    <sheet name="Security" sheetId="59" r:id="rId33"/>
    <sheet name="Reference documents" sheetId="40" r:id="rId34"/>
    <sheet name="Labour rates-Mach rental rates" sheetId="21" r:id="rId35"/>
  </sheets>
  <externalReferences>
    <externalReference r:id="rId36"/>
    <externalReference r:id="rId37"/>
    <externalReference r:id="rId38"/>
  </externalReferences>
  <definedNames>
    <definedName name="__123Graph_A" localSheetId="12" hidden="1">#REF!</definedName>
    <definedName name="__123Graph_A" localSheetId="18" hidden="1">EMBOP_SI!#REF!</definedName>
    <definedName name="__123Graph_A" localSheetId="19" hidden="1">#REF!</definedName>
    <definedName name="__123Graph_A" localSheetId="22" hidden="1">#REF!</definedName>
    <definedName name="__123Graph_A" localSheetId="10" hidden="1">#REF!</definedName>
    <definedName name="__123Graph_A" localSheetId="30" hidden="1">#REF!</definedName>
    <definedName name="__123Graph_A" localSheetId="0" hidden="1">#REF!</definedName>
    <definedName name="__123Graph_A" localSheetId="4" hidden="1">#REF!</definedName>
    <definedName name="__123Graph_A" localSheetId="28" hidden="1">#REF!</definedName>
    <definedName name="__123Graph_A" localSheetId="7" hidden="1">#REF!</definedName>
    <definedName name="__123Graph_A" localSheetId="29" hidden="1">#REF!</definedName>
    <definedName name="__123Graph_A" localSheetId="1" hidden="1">#REF!</definedName>
    <definedName name="__123Graph_A" localSheetId="31" hidden="1">#REF!</definedName>
    <definedName name="__123Graph_A" hidden="1">#REF!</definedName>
    <definedName name="__123Graph_ACURRENT" localSheetId="12" hidden="1">#REF!</definedName>
    <definedName name="__123Graph_ACURRENT" localSheetId="18" hidden="1">EMBOP_SI!#REF!</definedName>
    <definedName name="__123Graph_ACURRENT" localSheetId="22" hidden="1">#REF!</definedName>
    <definedName name="__123Graph_ACURRENT" localSheetId="10" hidden="1">#REF!</definedName>
    <definedName name="__123Graph_ACURRENT" localSheetId="30" hidden="1">#REF!</definedName>
    <definedName name="__123Graph_ACURRENT" localSheetId="3" hidden="1">#REF!</definedName>
    <definedName name="__123Graph_ACURRENT" localSheetId="4" hidden="1">#REF!</definedName>
    <definedName name="__123Graph_ACURRENT" localSheetId="28" hidden="1">#REF!</definedName>
    <definedName name="__123Graph_ACURRENT" localSheetId="33" hidden="1">'Reference documents'!#REF!</definedName>
    <definedName name="__123Graph_ACURRENT" localSheetId="7" hidden="1">#REF!</definedName>
    <definedName name="__123Graph_ACURRENT" localSheetId="29" hidden="1">#REF!</definedName>
    <definedName name="__123Graph_ACURRENT" localSheetId="31" hidden="1">#REF!</definedName>
    <definedName name="__123Graph_ACURRENT" hidden="1">#REF!</definedName>
    <definedName name="__123Graph_B" localSheetId="12" hidden="1">#REF!</definedName>
    <definedName name="__123Graph_B" localSheetId="18" hidden="1">EMBOP_SI!#REF!</definedName>
    <definedName name="__123Graph_B" localSheetId="22" hidden="1">#REF!</definedName>
    <definedName name="__123Graph_B" localSheetId="10" hidden="1">#REF!</definedName>
    <definedName name="__123Graph_B" localSheetId="30" hidden="1">#REF!</definedName>
    <definedName name="__123Graph_B" localSheetId="3" hidden="1">#REF!</definedName>
    <definedName name="__123Graph_B" localSheetId="4" hidden="1">#REF!</definedName>
    <definedName name="__123Graph_B" localSheetId="28" hidden="1">#REF!</definedName>
    <definedName name="__123Graph_B" localSheetId="33" hidden="1">'Reference documents'!#REF!</definedName>
    <definedName name="__123Graph_B" localSheetId="7" hidden="1">#REF!</definedName>
    <definedName name="__123Graph_B" localSheetId="29" hidden="1">#REF!</definedName>
    <definedName name="__123Graph_B" localSheetId="31" hidden="1">#REF!</definedName>
    <definedName name="__123Graph_B" hidden="1">#REF!</definedName>
    <definedName name="__123Graph_BCURRENT" localSheetId="10" hidden="1">#REF!</definedName>
    <definedName name="__123Graph_BCURRENT" localSheetId="30" hidden="1">#REF!</definedName>
    <definedName name="__123Graph_BCURRENT" localSheetId="3" hidden="1">#REF!</definedName>
    <definedName name="__123Graph_BCURRENT" localSheetId="4" hidden="1">#REF!</definedName>
    <definedName name="__123Graph_BCURRENT" localSheetId="28" hidden="1">#REF!</definedName>
    <definedName name="__123Graph_BCURRENT" localSheetId="33" hidden="1">'Reference documents'!#REF!</definedName>
    <definedName name="__123Graph_BCURRENT" localSheetId="29" hidden="1">#REF!</definedName>
    <definedName name="__123Graph_BCURRENT" localSheetId="31" hidden="1">#REF!</definedName>
    <definedName name="__123Graph_BCURRENT" hidden="1">#REF!</definedName>
    <definedName name="__123Graph_X" localSheetId="10" hidden="1">#REF!</definedName>
    <definedName name="__123Graph_X" localSheetId="30" hidden="1">#REF!</definedName>
    <definedName name="__123Graph_X" localSheetId="3" hidden="1">#REF!</definedName>
    <definedName name="__123Graph_X" localSheetId="4" hidden="1">#REF!</definedName>
    <definedName name="__123Graph_X" localSheetId="28" hidden="1">#REF!</definedName>
    <definedName name="__123Graph_X" localSheetId="33" hidden="1">'Reference documents'!#REF!</definedName>
    <definedName name="__123Graph_X" localSheetId="29" hidden="1">#REF!</definedName>
    <definedName name="__123Graph_X" localSheetId="31" hidden="1">#REF!</definedName>
    <definedName name="__123Graph_X" hidden="1">#REF!</definedName>
    <definedName name="__123Graph_XCURRENT" localSheetId="10" hidden="1">#REF!</definedName>
    <definedName name="__123Graph_XCURRENT" localSheetId="30" hidden="1">#REF!</definedName>
    <definedName name="__123Graph_XCURRENT" localSheetId="3" hidden="1">#REF!</definedName>
    <definedName name="__123Graph_XCURRENT" localSheetId="4" hidden="1">#REF!</definedName>
    <definedName name="__123Graph_XCURRENT" localSheetId="28" hidden="1">#REF!</definedName>
    <definedName name="__123Graph_XCURRENT" hidden="1">#REF!</definedName>
    <definedName name="__cp92000" localSheetId="12" hidden="1">{#N/A,#N/A,TRUE,"Caps1-5";#N/A,#N/A,TRUE,"Cap6";#N/A,#N/A,TRUE,"Caps7-8";#N/A,#N/A,TRUE,"Cap9-Resumo";#N/A,#N/A,TRUE,"Cap9-Det-2000";#N/A,#N/A,TRUE,"Cap9-Det-2001";#N/A,#N/A,TRUE,"Caps10-11"}</definedName>
    <definedName name="__cp92000" localSheetId="18" hidden="1">{#N/A,#N/A,TRUE,"Caps1-5";#N/A,#N/A,TRUE,"Cap6";#N/A,#N/A,TRUE,"Caps7-8";#N/A,#N/A,TRUE,"Cap9-Resumo";#N/A,#N/A,TRUE,"Cap9-Det-2000";#N/A,#N/A,TRUE,"Cap9-Det-2001";#N/A,#N/A,TRUE,"Caps10-11"}</definedName>
    <definedName name="__cp92000" localSheetId="19" hidden="1">{#N/A,#N/A,TRUE,"Caps1-5";#N/A,#N/A,TRUE,"Cap6";#N/A,#N/A,TRUE,"Caps7-8";#N/A,#N/A,TRUE,"Cap9-Resumo";#N/A,#N/A,TRUE,"Cap9-Det-2000";#N/A,#N/A,TRUE,"Cap9-Det-2001";#N/A,#N/A,TRUE,"Caps10-11"}</definedName>
    <definedName name="__cp92000" localSheetId="17" hidden="1">{#N/A,#N/A,TRUE,"Caps1-5";#N/A,#N/A,TRUE,"Cap6";#N/A,#N/A,TRUE,"Caps7-8";#N/A,#N/A,TRUE,"Cap9-Resumo";#N/A,#N/A,TRUE,"Cap9-Det-2000";#N/A,#N/A,TRUE,"Cap9-Det-2001";#N/A,#N/A,TRUE,"Caps10-11"}</definedName>
    <definedName name="__cp92000" localSheetId="22" hidden="1">{#N/A,#N/A,TRUE,"Caps1-5";#N/A,#N/A,TRUE,"Cap6";#N/A,#N/A,TRUE,"Caps7-8";#N/A,#N/A,TRUE,"Cap9-Resumo";#N/A,#N/A,TRUE,"Cap9-Det-2000";#N/A,#N/A,TRUE,"Cap9-Det-2001";#N/A,#N/A,TRUE,"Caps10-11"}</definedName>
    <definedName name="__cp92000" localSheetId="10" hidden="1">{#N/A,#N/A,TRUE,"Caps1-5";#N/A,#N/A,TRUE,"Cap6";#N/A,#N/A,TRUE,"Caps7-8";#N/A,#N/A,TRUE,"Cap9-Resumo";#N/A,#N/A,TRUE,"Cap9-Det-2000";#N/A,#N/A,TRUE,"Cap9-Det-2001";#N/A,#N/A,TRUE,"Caps10-11"}</definedName>
    <definedName name="__cp92000" localSheetId="30" hidden="1">{#N/A,#N/A,TRUE,"Caps1-5";#N/A,#N/A,TRUE,"Cap6";#N/A,#N/A,TRUE,"Caps7-8";#N/A,#N/A,TRUE,"Cap9-Resumo";#N/A,#N/A,TRUE,"Cap9-Det-2000";#N/A,#N/A,TRUE,"Cap9-Det-2001";#N/A,#N/A,TRUE,"Caps10-11"}</definedName>
    <definedName name="__cp92000" localSheetId="0" hidden="1">{#N/A,#N/A,TRUE,"Caps1-5";#N/A,#N/A,TRUE,"Cap6";#N/A,#N/A,TRUE,"Caps7-8";#N/A,#N/A,TRUE,"Cap9-Resumo";#N/A,#N/A,TRUE,"Cap9-Det-2000";#N/A,#N/A,TRUE,"Cap9-Det-2001";#N/A,#N/A,TRUE,"Caps10-11"}</definedName>
    <definedName name="__cp92000" localSheetId="3" hidden="1">{#N/A,#N/A,TRUE,"Caps1-5";#N/A,#N/A,TRUE,"Cap6";#N/A,#N/A,TRUE,"Caps7-8";#N/A,#N/A,TRUE,"Cap9-Resumo";#N/A,#N/A,TRUE,"Cap9-Det-2000";#N/A,#N/A,TRUE,"Cap9-Det-2001";#N/A,#N/A,TRUE,"Caps10-11"}</definedName>
    <definedName name="__cp92000" localSheetId="4" hidden="1">{#N/A,#N/A,TRUE,"Caps1-5";#N/A,#N/A,TRUE,"Cap6";#N/A,#N/A,TRUE,"Caps7-8";#N/A,#N/A,TRUE,"Cap9-Resumo";#N/A,#N/A,TRUE,"Cap9-Det-2000";#N/A,#N/A,TRUE,"Cap9-Det-2001";#N/A,#N/A,TRUE,"Caps10-11"}</definedName>
    <definedName name="__cp92000" localSheetId="28" hidden="1">{#N/A,#N/A,TRUE,"Caps1-5";#N/A,#N/A,TRUE,"Cap6";#N/A,#N/A,TRUE,"Caps7-8";#N/A,#N/A,TRUE,"Cap9-Resumo";#N/A,#N/A,TRUE,"Cap9-Det-2000";#N/A,#N/A,TRUE,"Cap9-Det-2001";#N/A,#N/A,TRUE,"Caps10-11"}</definedName>
    <definedName name="__cp92000" localSheetId="33" hidden="1">{#N/A,#N/A,TRUE,"Caps1-5";#N/A,#N/A,TRUE,"Cap6";#N/A,#N/A,TRUE,"Caps7-8";#N/A,#N/A,TRUE,"Cap9-Resumo";#N/A,#N/A,TRUE,"Cap9-Det-2000";#N/A,#N/A,TRUE,"Cap9-Det-2001";#N/A,#N/A,TRUE,"Caps10-11"}</definedName>
    <definedName name="__cp92000" localSheetId="32" hidden="1">{#N/A,#N/A,TRUE,"Caps1-5";#N/A,#N/A,TRUE,"Cap6";#N/A,#N/A,TRUE,"Caps7-8";#N/A,#N/A,TRUE,"Cap9-Resumo";#N/A,#N/A,TRUE,"Cap9-Det-2000";#N/A,#N/A,TRUE,"Cap9-Det-2001";#N/A,#N/A,TRUE,"Caps10-11"}</definedName>
    <definedName name="__cp92000" localSheetId="7" hidden="1">{#N/A,#N/A,TRUE,"Caps1-5";#N/A,#N/A,TRUE,"Cap6";#N/A,#N/A,TRUE,"Caps7-8";#N/A,#N/A,TRUE,"Cap9-Resumo";#N/A,#N/A,TRUE,"Cap9-Det-2000";#N/A,#N/A,TRUE,"Cap9-Det-2001";#N/A,#N/A,TRUE,"Caps10-11"}</definedName>
    <definedName name="__cp92000" localSheetId="29" hidden="1">{#N/A,#N/A,TRUE,"Caps1-5";#N/A,#N/A,TRUE,"Cap6";#N/A,#N/A,TRUE,"Caps7-8";#N/A,#N/A,TRUE,"Cap9-Resumo";#N/A,#N/A,TRUE,"Cap9-Det-2000";#N/A,#N/A,TRUE,"Cap9-Det-2001";#N/A,#N/A,TRUE,"Caps10-11"}</definedName>
    <definedName name="__cp92000" localSheetId="1" hidden="1">{#N/A,#N/A,TRUE,"Caps1-5";#N/A,#N/A,TRUE,"Cap6";#N/A,#N/A,TRUE,"Caps7-8";#N/A,#N/A,TRUE,"Cap9-Resumo";#N/A,#N/A,TRUE,"Cap9-Det-2000";#N/A,#N/A,TRUE,"Cap9-Det-2001";#N/A,#N/A,TRUE,"Caps10-11"}</definedName>
    <definedName name="__cp92000" localSheetId="31" hidden="1">{#N/A,#N/A,TRUE,"Caps1-5";#N/A,#N/A,TRUE,"Cap6";#N/A,#N/A,TRUE,"Caps7-8";#N/A,#N/A,TRUE,"Cap9-Resumo";#N/A,#N/A,TRUE,"Cap9-Det-2000";#N/A,#N/A,TRUE,"Cap9-Det-2001";#N/A,#N/A,TRUE,"Caps10-11"}</definedName>
    <definedName name="__cp92000" hidden="1">{#N/A,#N/A,TRUE,"Caps1-5";#N/A,#N/A,TRUE,"Cap6";#N/A,#N/A,TRUE,"Caps7-8";#N/A,#N/A,TRUE,"Cap9-Resumo";#N/A,#N/A,TRUE,"Cap9-Det-2000";#N/A,#N/A,TRUE,"Cap9-Det-2001";#N/A,#N/A,TRUE,"Caps10-11"}</definedName>
    <definedName name="__FDS_HYPERLINK_TOGGLE_STATE__" hidden="1">"ON"</definedName>
    <definedName name="_bdm.8E105F6FC5684E589F4F281BEF66075B.edm" hidden="1">#REF!</definedName>
    <definedName name="_cp92000" localSheetId="12" hidden="1">{#N/A,#N/A,TRUE,"Caps1-5";#N/A,#N/A,TRUE,"Cap6";#N/A,#N/A,TRUE,"Caps7-8";#N/A,#N/A,TRUE,"Cap9-Resumo";#N/A,#N/A,TRUE,"Cap9-Det-2000";#N/A,#N/A,TRUE,"Cap9-Det-2001";#N/A,#N/A,TRUE,"Caps10-11"}</definedName>
    <definedName name="_cp92000" localSheetId="18" hidden="1">{#N/A,#N/A,TRUE,"Caps1-5";#N/A,#N/A,TRUE,"Cap6";#N/A,#N/A,TRUE,"Caps7-8";#N/A,#N/A,TRUE,"Cap9-Resumo";#N/A,#N/A,TRUE,"Cap9-Det-2000";#N/A,#N/A,TRUE,"Cap9-Det-2001";#N/A,#N/A,TRUE,"Caps10-11"}</definedName>
    <definedName name="_cp92000" localSheetId="19" hidden="1">{#N/A,#N/A,TRUE,"Caps1-5";#N/A,#N/A,TRUE,"Cap6";#N/A,#N/A,TRUE,"Caps7-8";#N/A,#N/A,TRUE,"Cap9-Resumo";#N/A,#N/A,TRUE,"Cap9-Det-2000";#N/A,#N/A,TRUE,"Cap9-Det-2001";#N/A,#N/A,TRUE,"Caps10-11"}</definedName>
    <definedName name="_cp92000" localSheetId="17" hidden="1">{#N/A,#N/A,TRUE,"Caps1-5";#N/A,#N/A,TRUE,"Cap6";#N/A,#N/A,TRUE,"Caps7-8";#N/A,#N/A,TRUE,"Cap9-Resumo";#N/A,#N/A,TRUE,"Cap9-Det-2000";#N/A,#N/A,TRUE,"Cap9-Det-2001";#N/A,#N/A,TRUE,"Caps10-11"}</definedName>
    <definedName name="_cp92000" localSheetId="22" hidden="1">{#N/A,#N/A,TRUE,"Caps1-5";#N/A,#N/A,TRUE,"Cap6";#N/A,#N/A,TRUE,"Caps7-8";#N/A,#N/A,TRUE,"Cap9-Resumo";#N/A,#N/A,TRUE,"Cap9-Det-2000";#N/A,#N/A,TRUE,"Cap9-Det-2001";#N/A,#N/A,TRUE,"Caps10-11"}</definedName>
    <definedName name="_cp92000" localSheetId="10" hidden="1">{#N/A,#N/A,TRUE,"Caps1-5";#N/A,#N/A,TRUE,"Cap6";#N/A,#N/A,TRUE,"Caps7-8";#N/A,#N/A,TRUE,"Cap9-Resumo";#N/A,#N/A,TRUE,"Cap9-Det-2000";#N/A,#N/A,TRUE,"Cap9-Det-2001";#N/A,#N/A,TRUE,"Caps10-11"}</definedName>
    <definedName name="_cp92000" localSheetId="30" hidden="1">{#N/A,#N/A,TRUE,"Caps1-5";#N/A,#N/A,TRUE,"Cap6";#N/A,#N/A,TRUE,"Caps7-8";#N/A,#N/A,TRUE,"Cap9-Resumo";#N/A,#N/A,TRUE,"Cap9-Det-2000";#N/A,#N/A,TRUE,"Cap9-Det-2001";#N/A,#N/A,TRUE,"Caps10-11"}</definedName>
    <definedName name="_cp92000" localSheetId="0" hidden="1">{#N/A,#N/A,TRUE,"Caps1-5";#N/A,#N/A,TRUE,"Cap6";#N/A,#N/A,TRUE,"Caps7-8";#N/A,#N/A,TRUE,"Cap9-Resumo";#N/A,#N/A,TRUE,"Cap9-Det-2000";#N/A,#N/A,TRUE,"Cap9-Det-2001";#N/A,#N/A,TRUE,"Caps10-11"}</definedName>
    <definedName name="_cp92000" localSheetId="3" hidden="1">{#N/A,#N/A,TRUE,"Caps1-5";#N/A,#N/A,TRUE,"Cap6";#N/A,#N/A,TRUE,"Caps7-8";#N/A,#N/A,TRUE,"Cap9-Resumo";#N/A,#N/A,TRUE,"Cap9-Det-2000";#N/A,#N/A,TRUE,"Cap9-Det-2001";#N/A,#N/A,TRUE,"Caps10-11"}</definedName>
    <definedName name="_cp92000" localSheetId="4" hidden="1">{#N/A,#N/A,TRUE,"Caps1-5";#N/A,#N/A,TRUE,"Cap6";#N/A,#N/A,TRUE,"Caps7-8";#N/A,#N/A,TRUE,"Cap9-Resumo";#N/A,#N/A,TRUE,"Cap9-Det-2000";#N/A,#N/A,TRUE,"Cap9-Det-2001";#N/A,#N/A,TRUE,"Caps10-11"}</definedName>
    <definedName name="_cp92000" localSheetId="28" hidden="1">{#N/A,#N/A,TRUE,"Caps1-5";#N/A,#N/A,TRUE,"Cap6";#N/A,#N/A,TRUE,"Caps7-8";#N/A,#N/A,TRUE,"Cap9-Resumo";#N/A,#N/A,TRUE,"Cap9-Det-2000";#N/A,#N/A,TRUE,"Cap9-Det-2001";#N/A,#N/A,TRUE,"Caps10-11"}</definedName>
    <definedName name="_cp92000" localSheetId="33" hidden="1">{#N/A,#N/A,TRUE,"Caps1-5";#N/A,#N/A,TRUE,"Cap6";#N/A,#N/A,TRUE,"Caps7-8";#N/A,#N/A,TRUE,"Cap9-Resumo";#N/A,#N/A,TRUE,"Cap9-Det-2000";#N/A,#N/A,TRUE,"Cap9-Det-2001";#N/A,#N/A,TRUE,"Caps10-11"}</definedName>
    <definedName name="_cp92000" localSheetId="32" hidden="1">{#N/A,#N/A,TRUE,"Caps1-5";#N/A,#N/A,TRUE,"Cap6";#N/A,#N/A,TRUE,"Caps7-8";#N/A,#N/A,TRUE,"Cap9-Resumo";#N/A,#N/A,TRUE,"Cap9-Det-2000";#N/A,#N/A,TRUE,"Cap9-Det-2001";#N/A,#N/A,TRUE,"Caps10-11"}</definedName>
    <definedName name="_cp92000" localSheetId="7" hidden="1">{#N/A,#N/A,TRUE,"Caps1-5";#N/A,#N/A,TRUE,"Cap6";#N/A,#N/A,TRUE,"Caps7-8";#N/A,#N/A,TRUE,"Cap9-Resumo";#N/A,#N/A,TRUE,"Cap9-Det-2000";#N/A,#N/A,TRUE,"Cap9-Det-2001";#N/A,#N/A,TRUE,"Caps10-11"}</definedName>
    <definedName name="_cp92000" localSheetId="29" hidden="1">{#N/A,#N/A,TRUE,"Caps1-5";#N/A,#N/A,TRUE,"Cap6";#N/A,#N/A,TRUE,"Caps7-8";#N/A,#N/A,TRUE,"Cap9-Resumo";#N/A,#N/A,TRUE,"Cap9-Det-2000";#N/A,#N/A,TRUE,"Cap9-Det-2001";#N/A,#N/A,TRUE,"Caps10-11"}</definedName>
    <definedName name="_cp92000" localSheetId="1" hidden="1">{#N/A,#N/A,TRUE,"Caps1-5";#N/A,#N/A,TRUE,"Cap6";#N/A,#N/A,TRUE,"Caps7-8";#N/A,#N/A,TRUE,"Cap9-Resumo";#N/A,#N/A,TRUE,"Cap9-Det-2000";#N/A,#N/A,TRUE,"Cap9-Det-2001";#N/A,#N/A,TRUE,"Caps10-11"}</definedName>
    <definedName name="_cp92000" localSheetId="31" hidden="1">{#N/A,#N/A,TRUE,"Caps1-5";#N/A,#N/A,TRUE,"Cap6";#N/A,#N/A,TRUE,"Caps7-8";#N/A,#N/A,TRUE,"Cap9-Resumo";#N/A,#N/A,TRUE,"Cap9-Det-2000";#N/A,#N/A,TRUE,"Cap9-Det-2001";#N/A,#N/A,TRUE,"Caps10-11"}</definedName>
    <definedName name="_cp92000" hidden="1">{#N/A,#N/A,TRUE,"Caps1-5";#N/A,#N/A,TRUE,"Cap6";#N/A,#N/A,TRUE,"Caps7-8";#N/A,#N/A,TRUE,"Cap9-Resumo";#N/A,#N/A,TRUE,"Cap9-Det-2000";#N/A,#N/A,TRUE,"Cap9-Det-2001";#N/A,#N/A,TRUE,"Caps10-11"}</definedName>
    <definedName name="_fhf2" localSheetId="12" hidden="1">{#N/A,#N/A,FALSE,"CA";#N/A,#N/A,FALSE,"CN";#N/A,#N/A,FALSE,"Inv";#N/A,#N/A,FALSE,"Inv Acc";"Miguel_balance",#N/A,FALSE,"Bal";#N/A,#N/A,FALSE,"Plantilla";#N/A,#N/A,FALSE,"CA (2)";#N/A,#N/A,FALSE,"CN (2)"}</definedName>
    <definedName name="_fhf2" localSheetId="18" hidden="1">{#N/A,#N/A,FALSE,"CA";#N/A,#N/A,FALSE,"CN";#N/A,#N/A,FALSE,"Inv";#N/A,#N/A,FALSE,"Inv Acc";"Miguel_balance",#N/A,FALSE,"Bal";#N/A,#N/A,FALSE,"Plantilla";#N/A,#N/A,FALSE,"CA (2)";#N/A,#N/A,FALSE,"CN (2)"}</definedName>
    <definedName name="_fhf2" localSheetId="19" hidden="1">{#N/A,#N/A,FALSE,"CA";#N/A,#N/A,FALSE,"CN";#N/A,#N/A,FALSE,"Inv";#N/A,#N/A,FALSE,"Inv Acc";"Miguel_balance",#N/A,FALSE,"Bal";#N/A,#N/A,FALSE,"Plantilla";#N/A,#N/A,FALSE,"CA (2)";#N/A,#N/A,FALSE,"CN (2)"}</definedName>
    <definedName name="_fhf2" localSheetId="17" hidden="1">{#N/A,#N/A,FALSE,"CA";#N/A,#N/A,FALSE,"CN";#N/A,#N/A,FALSE,"Inv";#N/A,#N/A,FALSE,"Inv Acc";"Miguel_balance",#N/A,FALSE,"Bal";#N/A,#N/A,FALSE,"Plantilla";#N/A,#N/A,FALSE,"CA (2)";#N/A,#N/A,FALSE,"CN (2)"}</definedName>
    <definedName name="_fhf2" localSheetId="22" hidden="1">{#N/A,#N/A,FALSE,"CA";#N/A,#N/A,FALSE,"CN";#N/A,#N/A,FALSE,"Inv";#N/A,#N/A,FALSE,"Inv Acc";"Miguel_balance",#N/A,FALSE,"Bal";#N/A,#N/A,FALSE,"Plantilla";#N/A,#N/A,FALSE,"CA (2)";#N/A,#N/A,FALSE,"CN (2)"}</definedName>
    <definedName name="_fhf2" localSheetId="10" hidden="1">{#N/A,#N/A,FALSE,"CA";#N/A,#N/A,FALSE,"CN";#N/A,#N/A,FALSE,"Inv";#N/A,#N/A,FALSE,"Inv Acc";"Miguel_balance",#N/A,FALSE,"Bal";#N/A,#N/A,FALSE,"Plantilla";#N/A,#N/A,FALSE,"CA (2)";#N/A,#N/A,FALSE,"CN (2)"}</definedName>
    <definedName name="_fhf2" localSheetId="30" hidden="1">{#N/A,#N/A,FALSE,"CA";#N/A,#N/A,FALSE,"CN";#N/A,#N/A,FALSE,"Inv";#N/A,#N/A,FALSE,"Inv Acc";"Miguel_balance",#N/A,FALSE,"Bal";#N/A,#N/A,FALSE,"Plantilla";#N/A,#N/A,FALSE,"CA (2)";#N/A,#N/A,FALSE,"CN (2)"}</definedName>
    <definedName name="_fhf2" localSheetId="0" hidden="1">{#N/A,#N/A,FALSE,"CA";#N/A,#N/A,FALSE,"CN";#N/A,#N/A,FALSE,"Inv";#N/A,#N/A,FALSE,"Inv Acc";"Miguel_balance",#N/A,FALSE,"Bal";#N/A,#N/A,FALSE,"Plantilla";#N/A,#N/A,FALSE,"CA (2)";#N/A,#N/A,FALSE,"CN (2)"}</definedName>
    <definedName name="_fhf2" localSheetId="3" hidden="1">{#N/A,#N/A,FALSE,"CA";#N/A,#N/A,FALSE,"CN";#N/A,#N/A,FALSE,"Inv";#N/A,#N/A,FALSE,"Inv Acc";"Miguel_balance",#N/A,FALSE,"Bal";#N/A,#N/A,FALSE,"Plantilla";#N/A,#N/A,FALSE,"CA (2)";#N/A,#N/A,FALSE,"CN (2)"}</definedName>
    <definedName name="_fhf2" localSheetId="4" hidden="1">{#N/A,#N/A,FALSE,"CA";#N/A,#N/A,FALSE,"CN";#N/A,#N/A,FALSE,"Inv";#N/A,#N/A,FALSE,"Inv Acc";"Miguel_balance",#N/A,FALSE,"Bal";#N/A,#N/A,FALSE,"Plantilla";#N/A,#N/A,FALSE,"CA (2)";#N/A,#N/A,FALSE,"CN (2)"}</definedName>
    <definedName name="_fhf2" localSheetId="28" hidden="1">{#N/A,#N/A,FALSE,"CA";#N/A,#N/A,FALSE,"CN";#N/A,#N/A,FALSE,"Inv";#N/A,#N/A,FALSE,"Inv Acc";"Miguel_balance",#N/A,FALSE,"Bal";#N/A,#N/A,FALSE,"Plantilla";#N/A,#N/A,FALSE,"CA (2)";#N/A,#N/A,FALSE,"CN (2)"}</definedName>
    <definedName name="_fhf2" localSheetId="33" hidden="1">{#N/A,#N/A,FALSE,"CA";#N/A,#N/A,FALSE,"CN";#N/A,#N/A,FALSE,"Inv";#N/A,#N/A,FALSE,"Inv Acc";"Miguel_balance",#N/A,FALSE,"Bal";#N/A,#N/A,FALSE,"Plantilla";#N/A,#N/A,FALSE,"CA (2)";#N/A,#N/A,FALSE,"CN (2)"}</definedName>
    <definedName name="_fhf2" localSheetId="32" hidden="1">{#N/A,#N/A,FALSE,"CA";#N/A,#N/A,FALSE,"CN";#N/A,#N/A,FALSE,"Inv";#N/A,#N/A,FALSE,"Inv Acc";"Miguel_balance",#N/A,FALSE,"Bal";#N/A,#N/A,FALSE,"Plantilla";#N/A,#N/A,FALSE,"CA (2)";#N/A,#N/A,FALSE,"CN (2)"}</definedName>
    <definedName name="_fhf2" localSheetId="7" hidden="1">{#N/A,#N/A,FALSE,"CA";#N/A,#N/A,FALSE,"CN";#N/A,#N/A,FALSE,"Inv";#N/A,#N/A,FALSE,"Inv Acc";"Miguel_balance",#N/A,FALSE,"Bal";#N/A,#N/A,FALSE,"Plantilla";#N/A,#N/A,FALSE,"CA (2)";#N/A,#N/A,FALSE,"CN (2)"}</definedName>
    <definedName name="_fhf2" localSheetId="29" hidden="1">{#N/A,#N/A,FALSE,"CA";#N/A,#N/A,FALSE,"CN";#N/A,#N/A,FALSE,"Inv";#N/A,#N/A,FALSE,"Inv Acc";"Miguel_balance",#N/A,FALSE,"Bal";#N/A,#N/A,FALSE,"Plantilla";#N/A,#N/A,FALSE,"CA (2)";#N/A,#N/A,FALSE,"CN (2)"}</definedName>
    <definedName name="_fhf2" localSheetId="1" hidden="1">{#N/A,#N/A,FALSE,"CA";#N/A,#N/A,FALSE,"CN";#N/A,#N/A,FALSE,"Inv";#N/A,#N/A,FALSE,"Inv Acc";"Miguel_balance",#N/A,FALSE,"Bal";#N/A,#N/A,FALSE,"Plantilla";#N/A,#N/A,FALSE,"CA (2)";#N/A,#N/A,FALSE,"CN (2)"}</definedName>
    <definedName name="_fhf2" localSheetId="31" hidden="1">{#N/A,#N/A,FALSE,"CA";#N/A,#N/A,FALSE,"CN";#N/A,#N/A,FALSE,"Inv";#N/A,#N/A,FALSE,"Inv Acc";"Miguel_balance",#N/A,FALSE,"Bal";#N/A,#N/A,FALSE,"Plantilla";#N/A,#N/A,FALSE,"CA (2)";#N/A,#N/A,FALSE,"CN (2)"}</definedName>
    <definedName name="_fhf2" hidden="1">{#N/A,#N/A,FALSE,"CA";#N/A,#N/A,FALSE,"CN";#N/A,#N/A,FALSE,"Inv";#N/A,#N/A,FALSE,"Inv Acc";"Miguel_balance",#N/A,FALSE,"Bal";#N/A,#N/A,FALSE,"Plantilla";#N/A,#N/A,FALSE,"CA (2)";#N/A,#N/A,FALSE,"CN (2)"}</definedName>
    <definedName name="_Fill" hidden="1">#REF!</definedName>
    <definedName name="_xlnm._FilterDatabase" localSheetId="16" hidden="1">'ACCESS ROADS'!$B$7:$U$104</definedName>
    <definedName name="_xlnm._FilterDatabase" localSheetId="15" hidden="1">'Civil Works'!$B$8:$AL$198</definedName>
    <definedName name="_xlnm._FilterDatabase" localSheetId="12" hidden="1">EMBOP_CI!$B$5:$T$249</definedName>
    <definedName name="_xlnm._FilterDatabase" localSheetId="18" hidden="1">EMBOP_SI!$B$4:$T$256</definedName>
    <definedName name="_xlnm._FilterDatabase" localSheetId="13" hidden="1">'EMBOP-CI_ITA'!$A$1:$M$228</definedName>
    <definedName name="_xlnm._FilterDatabase" localSheetId="14" hidden="1">'EMBOP-SI_ITA'!$A$2:$M$225</definedName>
    <definedName name="_xlnm._FilterDatabase" localSheetId="19" hidden="1">'EMBOP-TRK Install.'!$B$4:$Q$20</definedName>
    <definedName name="_xlnm._FilterDatabase" localSheetId="21" hidden="1">'FX Supply'!$A$4:$T$37</definedName>
    <definedName name="_xlnm._FilterDatabase" localSheetId="3" hidden="1">Miscellaneous!$B$4:$T$104</definedName>
    <definedName name="_xlnm._FilterDatabase" localSheetId="24" hidden="1">'PCU Supply'!$B$3:$T$63</definedName>
    <definedName name="_xlnm._FilterDatabase" localSheetId="2" hidden="1">'Per AB'!$B$6:$E$67</definedName>
    <definedName name="_xlnm._FilterDatabase" localSheetId="28" hidden="1">Process!$B$5:$T$267</definedName>
    <definedName name="_xlnm._FilterDatabase" localSheetId="27" hidden="1">Process_OLD!$B$4:$K$236</definedName>
    <definedName name="_xlnm._FilterDatabase" localSheetId="23" hidden="1">'SI Supply'!$B$3:$T$26</definedName>
    <definedName name="_xlnm._FilterDatabase" localSheetId="7" hidden="1">'Solar-BOP'!$A$2:$K$188</definedName>
    <definedName name="_xlnm._FilterDatabase" localSheetId="26" hidden="1">'TC Supply'!$B$3:$T$58</definedName>
    <definedName name="_xlnm._FilterDatabase" localSheetId="20" hidden="1">'Tracker Supply'!$B$15:$T$64</definedName>
    <definedName name="_GSRATES_1" hidden="1">"CF300001Invalid 20040101"</definedName>
    <definedName name="_GSRATES_COUNT" hidden="1">1</definedName>
    <definedName name="_Key1" hidden="1">#REF!</definedName>
    <definedName name="_Key2" hidden="1">#REF!</definedName>
    <definedName name="_Order1" hidden="1">0</definedName>
    <definedName name="_Order2" hidden="1">0</definedName>
    <definedName name="_PAG1" localSheetId="0">#REF!</definedName>
    <definedName name="_PAG1" localSheetId="7">#REF!</definedName>
    <definedName name="_Parse_In" localSheetId="7">#REF!</definedName>
    <definedName name="_Q5" localSheetId="12" hidden="1">{#N/A,#N/A,FALSE,"CA";#N/A,#N/A,FALSE,"CN";#N/A,#N/A,FALSE,"Inv";#N/A,#N/A,FALSE,"Inv Acc";"Miguel_balance",#N/A,FALSE,"Bal";#N/A,#N/A,FALSE,"Plantilla";#N/A,#N/A,FALSE,"CA (2)";#N/A,#N/A,FALSE,"CN (2)"}</definedName>
    <definedName name="_Q5" localSheetId="18" hidden="1">{#N/A,#N/A,FALSE,"CA";#N/A,#N/A,FALSE,"CN";#N/A,#N/A,FALSE,"Inv";#N/A,#N/A,FALSE,"Inv Acc";"Miguel_balance",#N/A,FALSE,"Bal";#N/A,#N/A,FALSE,"Plantilla";#N/A,#N/A,FALSE,"CA (2)";#N/A,#N/A,FALSE,"CN (2)"}</definedName>
    <definedName name="_Q5" localSheetId="19" hidden="1">{#N/A,#N/A,FALSE,"CA";#N/A,#N/A,FALSE,"CN";#N/A,#N/A,FALSE,"Inv";#N/A,#N/A,FALSE,"Inv Acc";"Miguel_balance",#N/A,FALSE,"Bal";#N/A,#N/A,FALSE,"Plantilla";#N/A,#N/A,FALSE,"CA (2)";#N/A,#N/A,FALSE,"CN (2)"}</definedName>
    <definedName name="_Q5" localSheetId="17" hidden="1">{#N/A,#N/A,FALSE,"CA";#N/A,#N/A,FALSE,"CN";#N/A,#N/A,FALSE,"Inv";#N/A,#N/A,FALSE,"Inv Acc";"Miguel_balance",#N/A,FALSE,"Bal";#N/A,#N/A,FALSE,"Plantilla";#N/A,#N/A,FALSE,"CA (2)";#N/A,#N/A,FALSE,"CN (2)"}</definedName>
    <definedName name="_Q5" localSheetId="22" hidden="1">{#N/A,#N/A,FALSE,"CA";#N/A,#N/A,FALSE,"CN";#N/A,#N/A,FALSE,"Inv";#N/A,#N/A,FALSE,"Inv Acc";"Miguel_balance",#N/A,FALSE,"Bal";#N/A,#N/A,FALSE,"Plantilla";#N/A,#N/A,FALSE,"CA (2)";#N/A,#N/A,FALSE,"CN (2)"}</definedName>
    <definedName name="_Q5" localSheetId="10" hidden="1">{#N/A,#N/A,FALSE,"CA";#N/A,#N/A,FALSE,"CN";#N/A,#N/A,FALSE,"Inv";#N/A,#N/A,FALSE,"Inv Acc";"Miguel_balance",#N/A,FALSE,"Bal";#N/A,#N/A,FALSE,"Plantilla";#N/A,#N/A,FALSE,"CA (2)";#N/A,#N/A,FALSE,"CN (2)"}</definedName>
    <definedName name="_Q5" localSheetId="30" hidden="1">{#N/A,#N/A,FALSE,"CA";#N/A,#N/A,FALSE,"CN";#N/A,#N/A,FALSE,"Inv";#N/A,#N/A,FALSE,"Inv Acc";"Miguel_balance",#N/A,FALSE,"Bal";#N/A,#N/A,FALSE,"Plantilla";#N/A,#N/A,FALSE,"CA (2)";#N/A,#N/A,FALSE,"CN (2)"}</definedName>
    <definedName name="_Q5" localSheetId="0" hidden="1">{#N/A,#N/A,FALSE,"CA";#N/A,#N/A,FALSE,"CN";#N/A,#N/A,FALSE,"Inv";#N/A,#N/A,FALSE,"Inv Acc";"Miguel_balance",#N/A,FALSE,"Bal";#N/A,#N/A,FALSE,"Plantilla";#N/A,#N/A,FALSE,"CA (2)";#N/A,#N/A,FALSE,"CN (2)"}</definedName>
    <definedName name="_Q5" localSheetId="3" hidden="1">{#N/A,#N/A,FALSE,"CA";#N/A,#N/A,FALSE,"CN";#N/A,#N/A,FALSE,"Inv";#N/A,#N/A,FALSE,"Inv Acc";"Miguel_balance",#N/A,FALSE,"Bal";#N/A,#N/A,FALSE,"Plantilla";#N/A,#N/A,FALSE,"CA (2)";#N/A,#N/A,FALSE,"CN (2)"}</definedName>
    <definedName name="_Q5" localSheetId="4" hidden="1">{#N/A,#N/A,FALSE,"CA";#N/A,#N/A,FALSE,"CN";#N/A,#N/A,FALSE,"Inv";#N/A,#N/A,FALSE,"Inv Acc";"Miguel_balance",#N/A,FALSE,"Bal";#N/A,#N/A,FALSE,"Plantilla";#N/A,#N/A,FALSE,"CA (2)";#N/A,#N/A,FALSE,"CN (2)"}</definedName>
    <definedName name="_Q5" localSheetId="28" hidden="1">{#N/A,#N/A,FALSE,"CA";#N/A,#N/A,FALSE,"CN";#N/A,#N/A,FALSE,"Inv";#N/A,#N/A,FALSE,"Inv Acc";"Miguel_balance",#N/A,FALSE,"Bal";#N/A,#N/A,FALSE,"Plantilla";#N/A,#N/A,FALSE,"CA (2)";#N/A,#N/A,FALSE,"CN (2)"}</definedName>
    <definedName name="_Q5" localSheetId="33" hidden="1">{#N/A,#N/A,FALSE,"CA";#N/A,#N/A,FALSE,"CN";#N/A,#N/A,FALSE,"Inv";#N/A,#N/A,FALSE,"Inv Acc";"Miguel_balance",#N/A,FALSE,"Bal";#N/A,#N/A,FALSE,"Plantilla";#N/A,#N/A,FALSE,"CA (2)";#N/A,#N/A,FALSE,"CN (2)"}</definedName>
    <definedName name="_Q5" localSheetId="32" hidden="1">{#N/A,#N/A,FALSE,"CA";#N/A,#N/A,FALSE,"CN";#N/A,#N/A,FALSE,"Inv";#N/A,#N/A,FALSE,"Inv Acc";"Miguel_balance",#N/A,FALSE,"Bal";#N/A,#N/A,FALSE,"Plantilla";#N/A,#N/A,FALSE,"CA (2)";#N/A,#N/A,FALSE,"CN (2)"}</definedName>
    <definedName name="_Q5" localSheetId="7" hidden="1">{#N/A,#N/A,FALSE,"CA";#N/A,#N/A,FALSE,"CN";#N/A,#N/A,FALSE,"Inv";#N/A,#N/A,FALSE,"Inv Acc";"Miguel_balance",#N/A,FALSE,"Bal";#N/A,#N/A,FALSE,"Plantilla";#N/A,#N/A,FALSE,"CA (2)";#N/A,#N/A,FALSE,"CN (2)"}</definedName>
    <definedName name="_Q5" localSheetId="29" hidden="1">{#N/A,#N/A,FALSE,"CA";#N/A,#N/A,FALSE,"CN";#N/A,#N/A,FALSE,"Inv";#N/A,#N/A,FALSE,"Inv Acc";"Miguel_balance",#N/A,FALSE,"Bal";#N/A,#N/A,FALSE,"Plantilla";#N/A,#N/A,FALSE,"CA (2)";#N/A,#N/A,FALSE,"CN (2)"}</definedName>
    <definedName name="_Q5" localSheetId="1" hidden="1">{#N/A,#N/A,FALSE,"CA";#N/A,#N/A,FALSE,"CN";#N/A,#N/A,FALSE,"Inv";#N/A,#N/A,FALSE,"Inv Acc";"Miguel_balance",#N/A,FALSE,"Bal";#N/A,#N/A,FALSE,"Plantilla";#N/A,#N/A,FALSE,"CA (2)";#N/A,#N/A,FALSE,"CN (2)"}</definedName>
    <definedName name="_Q5" localSheetId="31" hidden="1">{#N/A,#N/A,FALSE,"CA";#N/A,#N/A,FALSE,"CN";#N/A,#N/A,FALSE,"Inv";#N/A,#N/A,FALSE,"Inv Acc";"Miguel_balance",#N/A,FALSE,"Bal";#N/A,#N/A,FALSE,"Plantilla";#N/A,#N/A,FALSE,"CA (2)";#N/A,#N/A,FALSE,"CN (2)"}</definedName>
    <definedName name="_Q5" hidden="1">{#N/A,#N/A,FALSE,"CA";#N/A,#N/A,FALSE,"CN";#N/A,#N/A,FALSE,"Inv";#N/A,#N/A,FALSE,"Inv Acc";"Miguel_balance",#N/A,FALSE,"Bal";#N/A,#N/A,FALSE,"Plantilla";#N/A,#N/A,FALSE,"CA (2)";#N/A,#N/A,FALSE,"CN (2)"}</definedName>
    <definedName name="_Sort" localSheetId="12" hidden="1">#REF!</definedName>
    <definedName name="_Sort" localSheetId="18" hidden="1">EMBOP_SI!#REF!</definedName>
    <definedName name="_Sort" localSheetId="19" hidden="1">#REF!</definedName>
    <definedName name="_Sort" localSheetId="17" hidden="1">#REF!</definedName>
    <definedName name="_Sort" localSheetId="10" hidden="1">#REF!</definedName>
    <definedName name="_Sort" localSheetId="30" hidden="1">#REF!</definedName>
    <definedName name="_Sort" localSheetId="0" hidden="1">#REF!</definedName>
    <definedName name="_Sort" localSheetId="3" hidden="1">#REF!</definedName>
    <definedName name="_Sort" localSheetId="4" hidden="1">#REF!</definedName>
    <definedName name="_Sort" localSheetId="28" hidden="1">#REF!</definedName>
    <definedName name="_Sort" localSheetId="33" hidden="1">'Reference documents'!#REF!</definedName>
    <definedName name="_Sort" localSheetId="7" hidden="1">#REF!</definedName>
    <definedName name="_Sort" localSheetId="29" hidden="1">#REF!</definedName>
    <definedName name="_Sort" localSheetId="1" hidden="1">#REF!</definedName>
    <definedName name="_Sort" localSheetId="31" hidden="1">#REF!</definedName>
    <definedName name="_Sort" hidden="1">#REF!</definedName>
    <definedName name="A" localSheetId="0">#REF!</definedName>
    <definedName name="A" localSheetId="7">#REF!</definedName>
    <definedName name="AA" localSheetId="7">#REF!</definedName>
    <definedName name="AA">#REF!</definedName>
    <definedName name="aaa" localSheetId="12" hidden="1">{#N/A,#N/A,TRUE,"Caps1-5";#N/A,#N/A,TRUE,"Cap6";#N/A,#N/A,TRUE,"Caps7-8";#N/A,#N/A,TRUE,"Cap9-Resumo";#N/A,#N/A,TRUE,"Cap9-Det-2000";#N/A,#N/A,TRUE,"Cap9-Det-2001";#N/A,#N/A,TRUE,"Caps10-11"}</definedName>
    <definedName name="aaa" localSheetId="18" hidden="1">{#N/A,#N/A,TRUE,"Caps1-5";#N/A,#N/A,TRUE,"Cap6";#N/A,#N/A,TRUE,"Caps7-8";#N/A,#N/A,TRUE,"Cap9-Resumo";#N/A,#N/A,TRUE,"Cap9-Det-2000";#N/A,#N/A,TRUE,"Cap9-Det-2001";#N/A,#N/A,TRUE,"Caps10-11"}</definedName>
    <definedName name="aaa" localSheetId="19" hidden="1">{#N/A,#N/A,TRUE,"Caps1-5";#N/A,#N/A,TRUE,"Cap6";#N/A,#N/A,TRUE,"Caps7-8";#N/A,#N/A,TRUE,"Cap9-Resumo";#N/A,#N/A,TRUE,"Cap9-Det-2000";#N/A,#N/A,TRUE,"Cap9-Det-2001";#N/A,#N/A,TRUE,"Caps10-11"}</definedName>
    <definedName name="aaa" localSheetId="17" hidden="1">{#N/A,#N/A,TRUE,"Caps1-5";#N/A,#N/A,TRUE,"Cap6";#N/A,#N/A,TRUE,"Caps7-8";#N/A,#N/A,TRUE,"Cap9-Resumo";#N/A,#N/A,TRUE,"Cap9-Det-2000";#N/A,#N/A,TRUE,"Cap9-Det-2001";#N/A,#N/A,TRUE,"Caps10-11"}</definedName>
    <definedName name="aaa" localSheetId="22" hidden="1">{#N/A,#N/A,TRUE,"Caps1-5";#N/A,#N/A,TRUE,"Cap6";#N/A,#N/A,TRUE,"Caps7-8";#N/A,#N/A,TRUE,"Cap9-Resumo";#N/A,#N/A,TRUE,"Cap9-Det-2000";#N/A,#N/A,TRUE,"Cap9-Det-2001";#N/A,#N/A,TRUE,"Caps10-11"}</definedName>
    <definedName name="aaa" localSheetId="10" hidden="1">{#N/A,#N/A,TRUE,"Caps1-5";#N/A,#N/A,TRUE,"Cap6";#N/A,#N/A,TRUE,"Caps7-8";#N/A,#N/A,TRUE,"Cap9-Resumo";#N/A,#N/A,TRUE,"Cap9-Det-2000";#N/A,#N/A,TRUE,"Cap9-Det-2001";#N/A,#N/A,TRUE,"Caps10-11"}</definedName>
    <definedName name="aaa" localSheetId="30" hidden="1">{#N/A,#N/A,TRUE,"Caps1-5";#N/A,#N/A,TRUE,"Cap6";#N/A,#N/A,TRUE,"Caps7-8";#N/A,#N/A,TRUE,"Cap9-Resumo";#N/A,#N/A,TRUE,"Cap9-Det-2000";#N/A,#N/A,TRUE,"Cap9-Det-2001";#N/A,#N/A,TRUE,"Caps10-11"}</definedName>
    <definedName name="aaa" localSheetId="0" hidden="1">{#N/A,#N/A,TRUE,"Caps1-5";#N/A,#N/A,TRUE,"Cap6";#N/A,#N/A,TRUE,"Caps7-8";#N/A,#N/A,TRUE,"Cap9-Resumo";#N/A,#N/A,TRUE,"Cap9-Det-2000";#N/A,#N/A,TRUE,"Cap9-Det-2001";#N/A,#N/A,TRUE,"Caps10-11"}</definedName>
    <definedName name="aaa" localSheetId="3" hidden="1">{#N/A,#N/A,TRUE,"Caps1-5";#N/A,#N/A,TRUE,"Cap6";#N/A,#N/A,TRUE,"Caps7-8";#N/A,#N/A,TRUE,"Cap9-Resumo";#N/A,#N/A,TRUE,"Cap9-Det-2000";#N/A,#N/A,TRUE,"Cap9-Det-2001";#N/A,#N/A,TRUE,"Caps10-11"}</definedName>
    <definedName name="aaa" localSheetId="4" hidden="1">{#N/A,#N/A,TRUE,"Caps1-5";#N/A,#N/A,TRUE,"Cap6";#N/A,#N/A,TRUE,"Caps7-8";#N/A,#N/A,TRUE,"Cap9-Resumo";#N/A,#N/A,TRUE,"Cap9-Det-2000";#N/A,#N/A,TRUE,"Cap9-Det-2001";#N/A,#N/A,TRUE,"Caps10-11"}</definedName>
    <definedName name="aaa" localSheetId="28" hidden="1">{#N/A,#N/A,TRUE,"Caps1-5";#N/A,#N/A,TRUE,"Cap6";#N/A,#N/A,TRUE,"Caps7-8";#N/A,#N/A,TRUE,"Cap9-Resumo";#N/A,#N/A,TRUE,"Cap9-Det-2000";#N/A,#N/A,TRUE,"Cap9-Det-2001";#N/A,#N/A,TRUE,"Caps10-11"}</definedName>
    <definedName name="aaa" localSheetId="33" hidden="1">{#N/A,#N/A,TRUE,"Caps1-5";#N/A,#N/A,TRUE,"Cap6";#N/A,#N/A,TRUE,"Caps7-8";#N/A,#N/A,TRUE,"Cap9-Resumo";#N/A,#N/A,TRUE,"Cap9-Det-2000";#N/A,#N/A,TRUE,"Cap9-Det-2001";#N/A,#N/A,TRUE,"Caps10-11"}</definedName>
    <definedName name="aaa" localSheetId="32" hidden="1">{#N/A,#N/A,TRUE,"Caps1-5";#N/A,#N/A,TRUE,"Cap6";#N/A,#N/A,TRUE,"Caps7-8";#N/A,#N/A,TRUE,"Cap9-Resumo";#N/A,#N/A,TRUE,"Cap9-Det-2000";#N/A,#N/A,TRUE,"Cap9-Det-2001";#N/A,#N/A,TRUE,"Caps10-11"}</definedName>
    <definedName name="aaa" localSheetId="7" hidden="1">{#N/A,#N/A,TRUE,"Caps1-5";#N/A,#N/A,TRUE,"Cap6";#N/A,#N/A,TRUE,"Caps7-8";#N/A,#N/A,TRUE,"Cap9-Resumo";#N/A,#N/A,TRUE,"Cap9-Det-2000";#N/A,#N/A,TRUE,"Cap9-Det-2001";#N/A,#N/A,TRUE,"Caps10-11"}</definedName>
    <definedName name="aaa" localSheetId="29" hidden="1">{#N/A,#N/A,TRUE,"Caps1-5";#N/A,#N/A,TRUE,"Cap6";#N/A,#N/A,TRUE,"Caps7-8";#N/A,#N/A,TRUE,"Cap9-Resumo";#N/A,#N/A,TRUE,"Cap9-Det-2000";#N/A,#N/A,TRUE,"Cap9-Det-2001";#N/A,#N/A,TRUE,"Caps10-11"}</definedName>
    <definedName name="aaa" localSheetId="1" hidden="1">{#N/A,#N/A,TRUE,"Caps1-5";#N/A,#N/A,TRUE,"Cap6";#N/A,#N/A,TRUE,"Caps7-8";#N/A,#N/A,TRUE,"Cap9-Resumo";#N/A,#N/A,TRUE,"Cap9-Det-2000";#N/A,#N/A,TRUE,"Cap9-Det-2001";#N/A,#N/A,TRUE,"Caps10-11"}</definedName>
    <definedName name="aaa" localSheetId="31" hidden="1">{#N/A,#N/A,TRUE,"Caps1-5";#N/A,#N/A,TRUE,"Cap6";#N/A,#N/A,TRUE,"Caps7-8";#N/A,#N/A,TRUE,"Cap9-Resumo";#N/A,#N/A,TRUE,"Cap9-Det-2000";#N/A,#N/A,TRUE,"Cap9-Det-2001";#N/A,#N/A,TRUE,"Caps10-11"}</definedName>
    <definedName name="aaa" hidden="1">{#N/A,#N/A,TRUE,"Caps1-5";#N/A,#N/A,TRUE,"Cap6";#N/A,#N/A,TRUE,"Caps7-8";#N/A,#N/A,TRUE,"Cap9-Resumo";#N/A,#N/A,TRUE,"Cap9-Det-2000";#N/A,#N/A,TRUE,"Cap9-Det-2001";#N/A,#N/A,TRUE,"Caps10-11"}</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ccessDatabase" hidden="1">"M:\Internacional\Cierre septiembre 1999\Análisis varios\Holdings Data.mdb"</definedName>
    <definedName name="afsda" localSheetId="12" hidden="1">{#N/A,#N/A,FALSE,"Antony Financials";#N/A,#N/A,FALSE,"Cowboy Financials";#N/A,#N/A,FALSE,"Combined";#N/A,#N/A,FALSE,"Valuematrix";#N/A,#N/A,FALSE,"DCFAntony";#N/A,#N/A,FALSE,"DCFCowboy";#N/A,#N/A,FALSE,"DCFCombined"}</definedName>
    <definedName name="afsda" localSheetId="18" hidden="1">{#N/A,#N/A,FALSE,"Antony Financials";#N/A,#N/A,FALSE,"Cowboy Financials";#N/A,#N/A,FALSE,"Combined";#N/A,#N/A,FALSE,"Valuematrix";#N/A,#N/A,FALSE,"DCFAntony";#N/A,#N/A,FALSE,"DCFCowboy";#N/A,#N/A,FALSE,"DCFCombined"}</definedName>
    <definedName name="afsda" localSheetId="19" hidden="1">{#N/A,#N/A,FALSE,"Antony Financials";#N/A,#N/A,FALSE,"Cowboy Financials";#N/A,#N/A,FALSE,"Combined";#N/A,#N/A,FALSE,"Valuematrix";#N/A,#N/A,FALSE,"DCFAntony";#N/A,#N/A,FALSE,"DCFCowboy";#N/A,#N/A,FALSE,"DCFCombined"}</definedName>
    <definedName name="afsda" localSheetId="17" hidden="1">{#N/A,#N/A,FALSE,"Antony Financials";#N/A,#N/A,FALSE,"Cowboy Financials";#N/A,#N/A,FALSE,"Combined";#N/A,#N/A,FALSE,"Valuematrix";#N/A,#N/A,FALSE,"DCFAntony";#N/A,#N/A,FALSE,"DCFCowboy";#N/A,#N/A,FALSE,"DCFCombined"}</definedName>
    <definedName name="afsda" localSheetId="22" hidden="1">{#N/A,#N/A,FALSE,"Antony Financials";#N/A,#N/A,FALSE,"Cowboy Financials";#N/A,#N/A,FALSE,"Combined";#N/A,#N/A,FALSE,"Valuematrix";#N/A,#N/A,FALSE,"DCFAntony";#N/A,#N/A,FALSE,"DCFCowboy";#N/A,#N/A,FALSE,"DCFCombined"}</definedName>
    <definedName name="afsda" localSheetId="10" hidden="1">{#N/A,#N/A,FALSE,"Antony Financials";#N/A,#N/A,FALSE,"Cowboy Financials";#N/A,#N/A,FALSE,"Combined";#N/A,#N/A,FALSE,"Valuematrix";#N/A,#N/A,FALSE,"DCFAntony";#N/A,#N/A,FALSE,"DCFCowboy";#N/A,#N/A,FALSE,"DCFCombined"}</definedName>
    <definedName name="afsda" localSheetId="30" hidden="1">{#N/A,#N/A,FALSE,"Antony Financials";#N/A,#N/A,FALSE,"Cowboy Financials";#N/A,#N/A,FALSE,"Combined";#N/A,#N/A,FALSE,"Valuematrix";#N/A,#N/A,FALSE,"DCFAntony";#N/A,#N/A,FALSE,"DCFCowboy";#N/A,#N/A,FALSE,"DCFCombined"}</definedName>
    <definedName name="afsda" localSheetId="0" hidden="1">{#N/A,#N/A,FALSE,"Antony Financials";#N/A,#N/A,FALSE,"Cowboy Financials";#N/A,#N/A,FALSE,"Combined";#N/A,#N/A,FALSE,"Valuematrix";#N/A,#N/A,FALSE,"DCFAntony";#N/A,#N/A,FALSE,"DCFCowboy";#N/A,#N/A,FALSE,"DCFCombined"}</definedName>
    <definedName name="afsda" localSheetId="3" hidden="1">{#N/A,#N/A,FALSE,"Antony Financials";#N/A,#N/A,FALSE,"Cowboy Financials";#N/A,#N/A,FALSE,"Combined";#N/A,#N/A,FALSE,"Valuematrix";#N/A,#N/A,FALSE,"DCFAntony";#N/A,#N/A,FALSE,"DCFCowboy";#N/A,#N/A,FALSE,"DCFCombined"}</definedName>
    <definedName name="afsda" localSheetId="4" hidden="1">{#N/A,#N/A,FALSE,"Antony Financials";#N/A,#N/A,FALSE,"Cowboy Financials";#N/A,#N/A,FALSE,"Combined";#N/A,#N/A,FALSE,"Valuematrix";#N/A,#N/A,FALSE,"DCFAntony";#N/A,#N/A,FALSE,"DCFCowboy";#N/A,#N/A,FALSE,"DCFCombined"}</definedName>
    <definedName name="afsda" localSheetId="28" hidden="1">{#N/A,#N/A,FALSE,"Antony Financials";#N/A,#N/A,FALSE,"Cowboy Financials";#N/A,#N/A,FALSE,"Combined";#N/A,#N/A,FALSE,"Valuematrix";#N/A,#N/A,FALSE,"DCFAntony";#N/A,#N/A,FALSE,"DCFCowboy";#N/A,#N/A,FALSE,"DCFCombined"}</definedName>
    <definedName name="afsda" localSheetId="33" hidden="1">{#N/A,#N/A,FALSE,"Antony Financials";#N/A,#N/A,FALSE,"Cowboy Financials";#N/A,#N/A,FALSE,"Combined";#N/A,#N/A,FALSE,"Valuematrix";#N/A,#N/A,FALSE,"DCFAntony";#N/A,#N/A,FALSE,"DCFCowboy";#N/A,#N/A,FALSE,"DCFCombined"}</definedName>
    <definedName name="afsda" localSheetId="32" hidden="1">{#N/A,#N/A,FALSE,"Antony Financials";#N/A,#N/A,FALSE,"Cowboy Financials";#N/A,#N/A,FALSE,"Combined";#N/A,#N/A,FALSE,"Valuematrix";#N/A,#N/A,FALSE,"DCFAntony";#N/A,#N/A,FALSE,"DCFCowboy";#N/A,#N/A,FALSE,"DCFCombined"}</definedName>
    <definedName name="afsda" localSheetId="7" hidden="1">{#N/A,#N/A,FALSE,"Antony Financials";#N/A,#N/A,FALSE,"Cowboy Financials";#N/A,#N/A,FALSE,"Combined";#N/A,#N/A,FALSE,"Valuematrix";#N/A,#N/A,FALSE,"DCFAntony";#N/A,#N/A,FALSE,"DCFCowboy";#N/A,#N/A,FALSE,"DCFCombined"}</definedName>
    <definedName name="afsda" localSheetId="29" hidden="1">{#N/A,#N/A,FALSE,"Antony Financials";#N/A,#N/A,FALSE,"Cowboy Financials";#N/A,#N/A,FALSE,"Combined";#N/A,#N/A,FALSE,"Valuematrix";#N/A,#N/A,FALSE,"DCFAntony";#N/A,#N/A,FALSE,"DCFCowboy";#N/A,#N/A,FALSE,"DCFCombined"}</definedName>
    <definedName name="afsda" localSheetId="1" hidden="1">{#N/A,#N/A,FALSE,"Antony Financials";#N/A,#N/A,FALSE,"Cowboy Financials";#N/A,#N/A,FALSE,"Combined";#N/A,#N/A,FALSE,"Valuematrix";#N/A,#N/A,FALSE,"DCFAntony";#N/A,#N/A,FALSE,"DCFCowboy";#N/A,#N/A,FALSE,"DCFCombined"}</definedName>
    <definedName name="afsda" localSheetId="31" hidden="1">{#N/A,#N/A,FALSE,"Antony Financials";#N/A,#N/A,FALSE,"Cowboy Financials";#N/A,#N/A,FALSE,"Combined";#N/A,#N/A,FALSE,"Valuematrix";#N/A,#N/A,FALSE,"DCFAntony";#N/A,#N/A,FALSE,"DCFCowboy";#N/A,#N/A,FALSE,"DCFCombined"}</definedName>
    <definedName name="afsda" hidden="1">{#N/A,#N/A,FALSE,"Antony Financials";#N/A,#N/A,FALSE,"Cowboy Financials";#N/A,#N/A,FALSE,"Combined";#N/A,#N/A,FALSE,"Valuematrix";#N/A,#N/A,FALSE,"DCFAntony";#N/A,#N/A,FALSE,"DCFCowboy";#N/A,#N/A,FALSE,"DCFCombined"}</definedName>
    <definedName name="anscount" hidden="1">1</definedName>
    <definedName name="AREA_SORT" localSheetId="0">#REF!</definedName>
    <definedName name="AREA_SORT" localSheetId="7">#REF!</definedName>
    <definedName name="_xlnm.Print_Area" localSheetId="0">Index!$A$2:$I$26</definedName>
    <definedName name="asd" localSheetId="12" hidden="1">{"ANAR",#N/A,FALSE,"Dist total";"MARGEN",#N/A,FALSE,"Dist total";"COMENTARIO",#N/A,FALSE,"Ficha CODICE";"CONSEJO",#N/A,FALSE,"Dist p0";"uno",#N/A,FALSE,"Dist total"}</definedName>
    <definedName name="asd" localSheetId="18" hidden="1">{"ANAR",#N/A,FALSE,"Dist total";"MARGEN",#N/A,FALSE,"Dist total";"COMENTARIO",#N/A,FALSE,"Ficha CODICE";"CONSEJO",#N/A,FALSE,"Dist p0";"uno",#N/A,FALSE,"Dist total"}</definedName>
    <definedName name="asd" localSheetId="19" hidden="1">{"ANAR",#N/A,FALSE,"Dist total";"MARGEN",#N/A,FALSE,"Dist total";"COMENTARIO",#N/A,FALSE,"Ficha CODICE";"CONSEJO",#N/A,FALSE,"Dist p0";"uno",#N/A,FALSE,"Dist total"}</definedName>
    <definedName name="asd" localSheetId="17" hidden="1">{"ANAR",#N/A,FALSE,"Dist total";"MARGEN",#N/A,FALSE,"Dist total";"COMENTARIO",#N/A,FALSE,"Ficha CODICE";"CONSEJO",#N/A,FALSE,"Dist p0";"uno",#N/A,FALSE,"Dist total"}</definedName>
    <definedName name="asd" localSheetId="22" hidden="1">{"ANAR",#N/A,FALSE,"Dist total";"MARGEN",#N/A,FALSE,"Dist total";"COMENTARIO",#N/A,FALSE,"Ficha CODICE";"CONSEJO",#N/A,FALSE,"Dist p0";"uno",#N/A,FALSE,"Dist total"}</definedName>
    <definedName name="asd" localSheetId="10" hidden="1">{"ANAR",#N/A,FALSE,"Dist total";"MARGEN",#N/A,FALSE,"Dist total";"COMENTARIO",#N/A,FALSE,"Ficha CODICE";"CONSEJO",#N/A,FALSE,"Dist p0";"uno",#N/A,FALSE,"Dist total"}</definedName>
    <definedName name="asd" localSheetId="30" hidden="1">{"ANAR",#N/A,FALSE,"Dist total";"MARGEN",#N/A,FALSE,"Dist total";"COMENTARIO",#N/A,FALSE,"Ficha CODICE";"CONSEJO",#N/A,FALSE,"Dist p0";"uno",#N/A,FALSE,"Dist total"}</definedName>
    <definedName name="asd" localSheetId="0" hidden="1">{"ANAR",#N/A,FALSE,"Dist total";"MARGEN",#N/A,FALSE,"Dist total";"COMENTARIO",#N/A,FALSE,"Ficha CODICE";"CONSEJO",#N/A,FALSE,"Dist p0";"uno",#N/A,FALSE,"Dist total"}</definedName>
    <definedName name="asd" localSheetId="3" hidden="1">{"ANAR",#N/A,FALSE,"Dist total";"MARGEN",#N/A,FALSE,"Dist total";"COMENTARIO",#N/A,FALSE,"Ficha CODICE";"CONSEJO",#N/A,FALSE,"Dist p0";"uno",#N/A,FALSE,"Dist total"}</definedName>
    <definedName name="asd" localSheetId="4" hidden="1">{"ANAR",#N/A,FALSE,"Dist total";"MARGEN",#N/A,FALSE,"Dist total";"COMENTARIO",#N/A,FALSE,"Ficha CODICE";"CONSEJO",#N/A,FALSE,"Dist p0";"uno",#N/A,FALSE,"Dist total"}</definedName>
    <definedName name="asd" localSheetId="28" hidden="1">{"ANAR",#N/A,FALSE,"Dist total";"MARGEN",#N/A,FALSE,"Dist total";"COMENTARIO",#N/A,FALSE,"Ficha CODICE";"CONSEJO",#N/A,FALSE,"Dist p0";"uno",#N/A,FALSE,"Dist total"}</definedName>
    <definedName name="asd" localSheetId="33" hidden="1">{"ANAR",#N/A,FALSE,"Dist total";"MARGEN",#N/A,FALSE,"Dist total";"COMENTARIO",#N/A,FALSE,"Ficha CODICE";"CONSEJO",#N/A,FALSE,"Dist p0";"uno",#N/A,FALSE,"Dist total"}</definedName>
    <definedName name="asd" localSheetId="32" hidden="1">{"ANAR",#N/A,FALSE,"Dist total";"MARGEN",#N/A,FALSE,"Dist total";"COMENTARIO",#N/A,FALSE,"Ficha CODICE";"CONSEJO",#N/A,FALSE,"Dist p0";"uno",#N/A,FALSE,"Dist total"}</definedName>
    <definedName name="asd" localSheetId="7" hidden="1">{"ANAR",#N/A,FALSE,"Dist total";"MARGEN",#N/A,FALSE,"Dist total";"COMENTARIO",#N/A,FALSE,"Ficha CODICE";"CONSEJO",#N/A,FALSE,"Dist p0";"uno",#N/A,FALSE,"Dist total"}</definedName>
    <definedName name="asd" localSheetId="29" hidden="1">{"ANAR",#N/A,FALSE,"Dist total";"MARGEN",#N/A,FALSE,"Dist total";"COMENTARIO",#N/A,FALSE,"Ficha CODICE";"CONSEJO",#N/A,FALSE,"Dist p0";"uno",#N/A,FALSE,"Dist total"}</definedName>
    <definedName name="asd" localSheetId="1" hidden="1">{"ANAR",#N/A,FALSE,"Dist total";"MARGEN",#N/A,FALSE,"Dist total";"COMENTARIO",#N/A,FALSE,"Ficha CODICE";"CONSEJO",#N/A,FALSE,"Dist p0";"uno",#N/A,FALSE,"Dist total"}</definedName>
    <definedName name="asd" localSheetId="31" hidden="1">{"ANAR",#N/A,FALSE,"Dist total";"MARGEN",#N/A,FALSE,"Dist total";"COMENTARIO",#N/A,FALSE,"Ficha CODICE";"CONSEJO",#N/A,FALSE,"Dist p0";"uno",#N/A,FALSE,"Dist total"}</definedName>
    <definedName name="asd" hidden="1">{"ANAR",#N/A,FALSE,"Dist total";"MARGEN",#N/A,FALSE,"Dist total";"COMENTARIO",#N/A,FALSE,"Ficha CODICE";"CONSEJO",#N/A,FALSE,"Dist p0";"uno",#N/A,FALSE,"Dist total"}</definedName>
    <definedName name="AUNA" localSheetId="12" hidden="1">{"Informes",#N/A,FALSE,"CA";"Informes",#N/A,FALSE,"CN";"Informes",#N/A,FALSE,"INVERSIONES";"Informes",#N/A,FALSE,"CN Oficial";"Informes",#N/A,FALSE,"CA Oficial";"Informes",#N/A,FALSE,"Res Datos Areas"}</definedName>
    <definedName name="AUNA" localSheetId="18" hidden="1">{"Informes",#N/A,FALSE,"CA";"Informes",#N/A,FALSE,"CN";"Informes",#N/A,FALSE,"INVERSIONES";"Informes",#N/A,FALSE,"CN Oficial";"Informes",#N/A,FALSE,"CA Oficial";"Informes",#N/A,FALSE,"Res Datos Areas"}</definedName>
    <definedName name="AUNA" localSheetId="19" hidden="1">{"Informes",#N/A,FALSE,"CA";"Informes",#N/A,FALSE,"CN";"Informes",#N/A,FALSE,"INVERSIONES";"Informes",#N/A,FALSE,"CN Oficial";"Informes",#N/A,FALSE,"CA Oficial";"Informes",#N/A,FALSE,"Res Datos Areas"}</definedName>
    <definedName name="AUNA" localSheetId="17" hidden="1">{"Informes",#N/A,FALSE,"CA";"Informes",#N/A,FALSE,"CN";"Informes",#N/A,FALSE,"INVERSIONES";"Informes",#N/A,FALSE,"CN Oficial";"Informes",#N/A,FALSE,"CA Oficial";"Informes",#N/A,FALSE,"Res Datos Areas"}</definedName>
    <definedName name="AUNA" localSheetId="22" hidden="1">{"Informes",#N/A,FALSE,"CA";"Informes",#N/A,FALSE,"CN";"Informes",#N/A,FALSE,"INVERSIONES";"Informes",#N/A,FALSE,"CN Oficial";"Informes",#N/A,FALSE,"CA Oficial";"Informes",#N/A,FALSE,"Res Datos Areas"}</definedName>
    <definedName name="AUNA" localSheetId="10" hidden="1">{"Informes",#N/A,FALSE,"CA";"Informes",#N/A,FALSE,"CN";"Informes",#N/A,FALSE,"INVERSIONES";"Informes",#N/A,FALSE,"CN Oficial";"Informes",#N/A,FALSE,"CA Oficial";"Informes",#N/A,FALSE,"Res Datos Areas"}</definedName>
    <definedName name="AUNA" localSheetId="30" hidden="1">{"Informes",#N/A,FALSE,"CA";"Informes",#N/A,FALSE,"CN";"Informes",#N/A,FALSE,"INVERSIONES";"Informes",#N/A,FALSE,"CN Oficial";"Informes",#N/A,FALSE,"CA Oficial";"Informes",#N/A,FALSE,"Res Datos Areas"}</definedName>
    <definedName name="AUNA" localSheetId="0" hidden="1">{"Informes",#N/A,FALSE,"CA";"Informes",#N/A,FALSE,"CN";"Informes",#N/A,FALSE,"INVERSIONES";"Informes",#N/A,FALSE,"CN Oficial";"Informes",#N/A,FALSE,"CA Oficial";"Informes",#N/A,FALSE,"Res Datos Areas"}</definedName>
    <definedName name="AUNA" localSheetId="3" hidden="1">{"Informes",#N/A,FALSE,"CA";"Informes",#N/A,FALSE,"CN";"Informes",#N/A,FALSE,"INVERSIONES";"Informes",#N/A,FALSE,"CN Oficial";"Informes",#N/A,FALSE,"CA Oficial";"Informes",#N/A,FALSE,"Res Datos Areas"}</definedName>
    <definedName name="AUNA" localSheetId="4" hidden="1">{"Informes",#N/A,FALSE,"CA";"Informes",#N/A,FALSE,"CN";"Informes",#N/A,FALSE,"INVERSIONES";"Informes",#N/A,FALSE,"CN Oficial";"Informes",#N/A,FALSE,"CA Oficial";"Informes",#N/A,FALSE,"Res Datos Areas"}</definedName>
    <definedName name="AUNA" localSheetId="28" hidden="1">{"Informes",#N/A,FALSE,"CA";"Informes",#N/A,FALSE,"CN";"Informes",#N/A,FALSE,"INVERSIONES";"Informes",#N/A,FALSE,"CN Oficial";"Informes",#N/A,FALSE,"CA Oficial";"Informes",#N/A,FALSE,"Res Datos Areas"}</definedName>
    <definedName name="AUNA" localSheetId="33" hidden="1">{"Informes",#N/A,FALSE,"CA";"Informes",#N/A,FALSE,"CN";"Informes",#N/A,FALSE,"INVERSIONES";"Informes",#N/A,FALSE,"CN Oficial";"Informes",#N/A,FALSE,"CA Oficial";"Informes",#N/A,FALSE,"Res Datos Areas"}</definedName>
    <definedName name="AUNA" localSheetId="32" hidden="1">{"Informes",#N/A,FALSE,"CA";"Informes",#N/A,FALSE,"CN";"Informes",#N/A,FALSE,"INVERSIONES";"Informes",#N/A,FALSE,"CN Oficial";"Informes",#N/A,FALSE,"CA Oficial";"Informes",#N/A,FALSE,"Res Datos Areas"}</definedName>
    <definedName name="AUNA" localSheetId="7" hidden="1">{"Informes",#N/A,FALSE,"CA";"Informes",#N/A,FALSE,"CN";"Informes",#N/A,FALSE,"INVERSIONES";"Informes",#N/A,FALSE,"CN Oficial";"Informes",#N/A,FALSE,"CA Oficial";"Informes",#N/A,FALSE,"Res Datos Areas"}</definedName>
    <definedName name="AUNA" localSheetId="29" hidden="1">{"Informes",#N/A,FALSE,"CA";"Informes",#N/A,FALSE,"CN";"Informes",#N/A,FALSE,"INVERSIONES";"Informes",#N/A,FALSE,"CN Oficial";"Informes",#N/A,FALSE,"CA Oficial";"Informes",#N/A,FALSE,"Res Datos Areas"}</definedName>
    <definedName name="AUNA" localSheetId="1" hidden="1">{"Informes",#N/A,FALSE,"CA";"Informes",#N/A,FALSE,"CN";"Informes",#N/A,FALSE,"INVERSIONES";"Informes",#N/A,FALSE,"CN Oficial";"Informes",#N/A,FALSE,"CA Oficial";"Informes",#N/A,FALSE,"Res Datos Areas"}</definedName>
    <definedName name="AUNA" localSheetId="31" hidden="1">{"Informes",#N/A,FALSE,"CA";"Informes",#N/A,FALSE,"CN";"Informes",#N/A,FALSE,"INVERSIONES";"Informes",#N/A,FALSE,"CN Oficial";"Informes",#N/A,FALSE,"CA Oficial";"Informes",#N/A,FALSE,"Res Datos Areas"}</definedName>
    <definedName name="AUNA" hidden="1">{"Informes",#N/A,FALSE,"CA";"Informes",#N/A,FALSE,"CN";"Informes",#N/A,FALSE,"INVERSIONES";"Informes",#N/A,FALSE,"CN Oficial";"Informes",#N/A,FALSE,"CA Oficial";"Informes",#N/A,FALSE,"Res Datos Areas"}</definedName>
    <definedName name="belnew" localSheetId="12" hidden="1">{"IS",#N/A,FALSE,"IS";"RPTIS",#N/A,FALSE,"RPTIS";"STATS",#N/A,FALSE,"STATS";"CELL",#N/A,FALSE,"CELL";"BS",#N/A,FALSE,"BS"}</definedName>
    <definedName name="belnew" localSheetId="18" hidden="1">{"IS",#N/A,FALSE,"IS";"RPTIS",#N/A,FALSE,"RPTIS";"STATS",#N/A,FALSE,"STATS";"CELL",#N/A,FALSE,"CELL";"BS",#N/A,FALSE,"BS"}</definedName>
    <definedName name="belnew" localSheetId="19" hidden="1">{"IS",#N/A,FALSE,"IS";"RPTIS",#N/A,FALSE,"RPTIS";"STATS",#N/A,FALSE,"STATS";"CELL",#N/A,FALSE,"CELL";"BS",#N/A,FALSE,"BS"}</definedName>
    <definedName name="belnew" localSheetId="17" hidden="1">{"IS",#N/A,FALSE,"IS";"RPTIS",#N/A,FALSE,"RPTIS";"STATS",#N/A,FALSE,"STATS";"CELL",#N/A,FALSE,"CELL";"BS",#N/A,FALSE,"BS"}</definedName>
    <definedName name="belnew" localSheetId="22" hidden="1">{"IS",#N/A,FALSE,"IS";"RPTIS",#N/A,FALSE,"RPTIS";"STATS",#N/A,FALSE,"STATS";"CELL",#N/A,FALSE,"CELL";"BS",#N/A,FALSE,"BS"}</definedName>
    <definedName name="belnew" localSheetId="10" hidden="1">{"IS",#N/A,FALSE,"IS";"RPTIS",#N/A,FALSE,"RPTIS";"STATS",#N/A,FALSE,"STATS";"CELL",#N/A,FALSE,"CELL";"BS",#N/A,FALSE,"BS"}</definedName>
    <definedName name="belnew" localSheetId="30" hidden="1">{"IS",#N/A,FALSE,"IS";"RPTIS",#N/A,FALSE,"RPTIS";"STATS",#N/A,FALSE,"STATS";"CELL",#N/A,FALSE,"CELL";"BS",#N/A,FALSE,"BS"}</definedName>
    <definedName name="belnew" localSheetId="0" hidden="1">{"IS",#N/A,FALSE,"IS";"RPTIS",#N/A,FALSE,"RPTIS";"STATS",#N/A,FALSE,"STATS";"CELL",#N/A,FALSE,"CELL";"BS",#N/A,FALSE,"BS"}</definedName>
    <definedName name="belnew" localSheetId="3" hidden="1">{"IS",#N/A,FALSE,"IS";"RPTIS",#N/A,FALSE,"RPTIS";"STATS",#N/A,FALSE,"STATS";"CELL",#N/A,FALSE,"CELL";"BS",#N/A,FALSE,"BS"}</definedName>
    <definedName name="belnew" localSheetId="4" hidden="1">{"IS",#N/A,FALSE,"IS";"RPTIS",#N/A,FALSE,"RPTIS";"STATS",#N/A,FALSE,"STATS";"CELL",#N/A,FALSE,"CELL";"BS",#N/A,FALSE,"BS"}</definedName>
    <definedName name="belnew" localSheetId="28" hidden="1">{"IS",#N/A,FALSE,"IS";"RPTIS",#N/A,FALSE,"RPTIS";"STATS",#N/A,FALSE,"STATS";"CELL",#N/A,FALSE,"CELL";"BS",#N/A,FALSE,"BS"}</definedName>
    <definedName name="belnew" localSheetId="33" hidden="1">{"IS",#N/A,FALSE,"IS";"RPTIS",#N/A,FALSE,"RPTIS";"STATS",#N/A,FALSE,"STATS";"CELL",#N/A,FALSE,"CELL";"BS",#N/A,FALSE,"BS"}</definedName>
    <definedName name="belnew" localSheetId="32" hidden="1">{"IS",#N/A,FALSE,"IS";"RPTIS",#N/A,FALSE,"RPTIS";"STATS",#N/A,FALSE,"STATS";"CELL",#N/A,FALSE,"CELL";"BS",#N/A,FALSE,"BS"}</definedName>
    <definedName name="belnew" localSheetId="7" hidden="1">{"IS",#N/A,FALSE,"IS";"RPTIS",#N/A,FALSE,"RPTIS";"STATS",#N/A,FALSE,"STATS";"CELL",#N/A,FALSE,"CELL";"BS",#N/A,FALSE,"BS"}</definedName>
    <definedName name="belnew" localSheetId="29" hidden="1">{"IS",#N/A,FALSE,"IS";"RPTIS",#N/A,FALSE,"RPTIS";"STATS",#N/A,FALSE,"STATS";"CELL",#N/A,FALSE,"CELL";"BS",#N/A,FALSE,"BS"}</definedName>
    <definedName name="belnew" localSheetId="1" hidden="1">{"IS",#N/A,FALSE,"IS";"RPTIS",#N/A,FALSE,"RPTIS";"STATS",#N/A,FALSE,"STATS";"CELL",#N/A,FALSE,"CELL";"BS",#N/A,FALSE,"BS"}</definedName>
    <definedName name="belnew" localSheetId="31" hidden="1">{"IS",#N/A,FALSE,"IS";"RPTIS",#N/A,FALSE,"RPTIS";"STATS",#N/A,FALSE,"STATS";"CELL",#N/A,FALSE,"CELL";"BS",#N/A,FALSE,"BS"}</definedName>
    <definedName name="belnew" hidden="1">{"IS",#N/A,FALSE,"IS";"RPTIS",#N/A,FALSE,"RPTIS";"STATS",#N/A,FALSE,"STATS";"CELL",#N/A,FALSE,"CELL";"BS",#N/A,FALSE,"BS"}</definedName>
    <definedName name="C_PERS" localSheetId="0">#REF!</definedName>
    <definedName name="C_PERS" localSheetId="7">#REF!</definedName>
    <definedName name="caca" localSheetId="12"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caca" localSheetId="18"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caca" localSheetId="19"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caca" localSheetId="17"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caca" localSheetId="22"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caca" localSheetId="10"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caca" localSheetId="30"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caca" localSheetId="0"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caca" localSheetId="3"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caca" localSheetId="4"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caca" localSheetId="28"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caca" localSheetId="33"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caca" localSheetId="32"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caca" localSheetId="7"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caca" localSheetId="29"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caca" localSheetId="1"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caca" localSheetId="31"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caca"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caccc" localSheetId="12" hidden="1">{#N/A,#N/A,FALSE,"Antony Financials";#N/A,#N/A,FALSE,"Cowboy Financials";#N/A,#N/A,FALSE,"Combined";#N/A,#N/A,FALSE,"Valuematrix";#N/A,#N/A,FALSE,"DCFAntony";#N/A,#N/A,FALSE,"DCFCowboy";#N/A,#N/A,FALSE,"DCFCombined"}</definedName>
    <definedName name="caccc" localSheetId="18" hidden="1">{#N/A,#N/A,FALSE,"Antony Financials";#N/A,#N/A,FALSE,"Cowboy Financials";#N/A,#N/A,FALSE,"Combined";#N/A,#N/A,FALSE,"Valuematrix";#N/A,#N/A,FALSE,"DCFAntony";#N/A,#N/A,FALSE,"DCFCowboy";#N/A,#N/A,FALSE,"DCFCombined"}</definedName>
    <definedName name="caccc" localSheetId="19" hidden="1">{#N/A,#N/A,FALSE,"Antony Financials";#N/A,#N/A,FALSE,"Cowboy Financials";#N/A,#N/A,FALSE,"Combined";#N/A,#N/A,FALSE,"Valuematrix";#N/A,#N/A,FALSE,"DCFAntony";#N/A,#N/A,FALSE,"DCFCowboy";#N/A,#N/A,FALSE,"DCFCombined"}</definedName>
    <definedName name="caccc" localSheetId="17" hidden="1">{#N/A,#N/A,FALSE,"Antony Financials";#N/A,#N/A,FALSE,"Cowboy Financials";#N/A,#N/A,FALSE,"Combined";#N/A,#N/A,FALSE,"Valuematrix";#N/A,#N/A,FALSE,"DCFAntony";#N/A,#N/A,FALSE,"DCFCowboy";#N/A,#N/A,FALSE,"DCFCombined"}</definedName>
    <definedName name="caccc" localSheetId="22" hidden="1">{#N/A,#N/A,FALSE,"Antony Financials";#N/A,#N/A,FALSE,"Cowboy Financials";#N/A,#N/A,FALSE,"Combined";#N/A,#N/A,FALSE,"Valuematrix";#N/A,#N/A,FALSE,"DCFAntony";#N/A,#N/A,FALSE,"DCFCowboy";#N/A,#N/A,FALSE,"DCFCombined"}</definedName>
    <definedName name="caccc" localSheetId="10" hidden="1">{#N/A,#N/A,FALSE,"Antony Financials";#N/A,#N/A,FALSE,"Cowboy Financials";#N/A,#N/A,FALSE,"Combined";#N/A,#N/A,FALSE,"Valuematrix";#N/A,#N/A,FALSE,"DCFAntony";#N/A,#N/A,FALSE,"DCFCowboy";#N/A,#N/A,FALSE,"DCFCombined"}</definedName>
    <definedName name="caccc" localSheetId="30" hidden="1">{#N/A,#N/A,FALSE,"Antony Financials";#N/A,#N/A,FALSE,"Cowboy Financials";#N/A,#N/A,FALSE,"Combined";#N/A,#N/A,FALSE,"Valuematrix";#N/A,#N/A,FALSE,"DCFAntony";#N/A,#N/A,FALSE,"DCFCowboy";#N/A,#N/A,FALSE,"DCFCombined"}</definedName>
    <definedName name="caccc" localSheetId="0" hidden="1">{#N/A,#N/A,FALSE,"Antony Financials";#N/A,#N/A,FALSE,"Cowboy Financials";#N/A,#N/A,FALSE,"Combined";#N/A,#N/A,FALSE,"Valuematrix";#N/A,#N/A,FALSE,"DCFAntony";#N/A,#N/A,FALSE,"DCFCowboy";#N/A,#N/A,FALSE,"DCFCombined"}</definedName>
    <definedName name="caccc" localSheetId="3" hidden="1">{#N/A,#N/A,FALSE,"Antony Financials";#N/A,#N/A,FALSE,"Cowboy Financials";#N/A,#N/A,FALSE,"Combined";#N/A,#N/A,FALSE,"Valuematrix";#N/A,#N/A,FALSE,"DCFAntony";#N/A,#N/A,FALSE,"DCFCowboy";#N/A,#N/A,FALSE,"DCFCombined"}</definedName>
    <definedName name="caccc" localSheetId="4" hidden="1">{#N/A,#N/A,FALSE,"Antony Financials";#N/A,#N/A,FALSE,"Cowboy Financials";#N/A,#N/A,FALSE,"Combined";#N/A,#N/A,FALSE,"Valuematrix";#N/A,#N/A,FALSE,"DCFAntony";#N/A,#N/A,FALSE,"DCFCowboy";#N/A,#N/A,FALSE,"DCFCombined"}</definedName>
    <definedName name="caccc" localSheetId="28" hidden="1">{#N/A,#N/A,FALSE,"Antony Financials";#N/A,#N/A,FALSE,"Cowboy Financials";#N/A,#N/A,FALSE,"Combined";#N/A,#N/A,FALSE,"Valuematrix";#N/A,#N/A,FALSE,"DCFAntony";#N/A,#N/A,FALSE,"DCFCowboy";#N/A,#N/A,FALSE,"DCFCombined"}</definedName>
    <definedName name="caccc" localSheetId="33" hidden="1">{#N/A,#N/A,FALSE,"Antony Financials";#N/A,#N/A,FALSE,"Cowboy Financials";#N/A,#N/A,FALSE,"Combined";#N/A,#N/A,FALSE,"Valuematrix";#N/A,#N/A,FALSE,"DCFAntony";#N/A,#N/A,FALSE,"DCFCowboy";#N/A,#N/A,FALSE,"DCFCombined"}</definedName>
    <definedName name="caccc" localSheetId="32" hidden="1">{#N/A,#N/A,FALSE,"Antony Financials";#N/A,#N/A,FALSE,"Cowboy Financials";#N/A,#N/A,FALSE,"Combined";#N/A,#N/A,FALSE,"Valuematrix";#N/A,#N/A,FALSE,"DCFAntony";#N/A,#N/A,FALSE,"DCFCowboy";#N/A,#N/A,FALSE,"DCFCombined"}</definedName>
    <definedName name="caccc" localSheetId="7" hidden="1">{#N/A,#N/A,FALSE,"Antony Financials";#N/A,#N/A,FALSE,"Cowboy Financials";#N/A,#N/A,FALSE,"Combined";#N/A,#N/A,FALSE,"Valuematrix";#N/A,#N/A,FALSE,"DCFAntony";#N/A,#N/A,FALSE,"DCFCowboy";#N/A,#N/A,FALSE,"DCFCombined"}</definedName>
    <definedName name="caccc" localSheetId="29" hidden="1">{#N/A,#N/A,FALSE,"Antony Financials";#N/A,#N/A,FALSE,"Cowboy Financials";#N/A,#N/A,FALSE,"Combined";#N/A,#N/A,FALSE,"Valuematrix";#N/A,#N/A,FALSE,"DCFAntony";#N/A,#N/A,FALSE,"DCFCowboy";#N/A,#N/A,FALSE,"DCFCombined"}</definedName>
    <definedName name="caccc" localSheetId="1" hidden="1">{#N/A,#N/A,FALSE,"Antony Financials";#N/A,#N/A,FALSE,"Cowboy Financials";#N/A,#N/A,FALSE,"Combined";#N/A,#N/A,FALSE,"Valuematrix";#N/A,#N/A,FALSE,"DCFAntony";#N/A,#N/A,FALSE,"DCFCowboy";#N/A,#N/A,FALSE,"DCFCombined"}</definedName>
    <definedName name="caccc" localSheetId="31" hidden="1">{#N/A,#N/A,FALSE,"Antony Financials";#N/A,#N/A,FALSE,"Cowboy Financials";#N/A,#N/A,FALSE,"Combined";#N/A,#N/A,FALSE,"Valuematrix";#N/A,#N/A,FALSE,"DCFAntony";#N/A,#N/A,FALSE,"DCFCowboy";#N/A,#N/A,FALSE,"DCFCombined"}</definedName>
    <definedName name="caccc" hidden="1">{#N/A,#N/A,FALSE,"Antony Financials";#N/A,#N/A,FALSE,"Cowboy Financials";#N/A,#N/A,FALSE,"Combined";#N/A,#N/A,FALSE,"Valuematrix";#N/A,#N/A,FALSE,"DCFAntony";#N/A,#N/A,FALSE,"DCFCowboy";#N/A,#N/A,FALSE,"DCFCombined"}</definedName>
    <definedName name="casdc" localSheetId="12" hidden="1">{"Employee Efficiency",#N/A,FALSE,"Benchmarking"}</definedName>
    <definedName name="casdc" localSheetId="18" hidden="1">{"Employee Efficiency",#N/A,FALSE,"Benchmarking"}</definedName>
    <definedName name="casdc" localSheetId="19" hidden="1">{"Employee Efficiency",#N/A,FALSE,"Benchmarking"}</definedName>
    <definedName name="casdc" localSheetId="17" hidden="1">{"Employee Efficiency",#N/A,FALSE,"Benchmarking"}</definedName>
    <definedName name="casdc" localSheetId="22" hidden="1">{"Employee Efficiency",#N/A,FALSE,"Benchmarking"}</definedName>
    <definedName name="casdc" localSheetId="10" hidden="1">{"Employee Efficiency",#N/A,FALSE,"Benchmarking"}</definedName>
    <definedName name="casdc" localSheetId="30" hidden="1">{"Employee Efficiency",#N/A,FALSE,"Benchmarking"}</definedName>
    <definedName name="casdc" localSheetId="0" hidden="1">{"Employee Efficiency",#N/A,FALSE,"Benchmarking"}</definedName>
    <definedName name="casdc" localSheetId="3" hidden="1">{"Employee Efficiency",#N/A,FALSE,"Benchmarking"}</definedName>
    <definedName name="casdc" localSheetId="4" hidden="1">{"Employee Efficiency",#N/A,FALSE,"Benchmarking"}</definedName>
    <definedName name="casdc" localSheetId="28" hidden="1">{"Employee Efficiency",#N/A,FALSE,"Benchmarking"}</definedName>
    <definedName name="casdc" localSheetId="33" hidden="1">{"Employee Efficiency",#N/A,FALSE,"Benchmarking"}</definedName>
    <definedName name="casdc" localSheetId="32" hidden="1">{"Employee Efficiency",#N/A,FALSE,"Benchmarking"}</definedName>
    <definedName name="casdc" localSheetId="7" hidden="1">{"Employee Efficiency",#N/A,FALSE,"Benchmarking"}</definedName>
    <definedName name="casdc" localSheetId="29" hidden="1">{"Employee Efficiency",#N/A,FALSE,"Benchmarking"}</definedName>
    <definedName name="casdc" localSheetId="1" hidden="1">{"Employee Efficiency",#N/A,FALSE,"Benchmarking"}</definedName>
    <definedName name="casdc" localSheetId="31" hidden="1">{"Employee Efficiency",#N/A,FALSE,"Benchmarking"}</definedName>
    <definedName name="casdc" hidden="1">{"Employee Efficiency",#N/A,FALSE,"Benchmarking"}</definedName>
    <definedName name="cb_sChart41E9A35_opts" hidden="1">"1, 9, 1, False, 2, False, False, , 0, False, True, 1, 1"</definedName>
    <definedName name="CBWorkbookPriority" hidden="1">-1248133618</definedName>
    <definedName name="ccc" localSheetId="12" hidden="1">{#N/A,#N/A,FALSE,"A&amp;E";#N/A,#N/A,FALSE,"HighTop";#N/A,#N/A,FALSE,"JG";#N/A,#N/A,FALSE,"RI";#N/A,#N/A,FALSE,"woHT";#N/A,#N/A,FALSE,"woHT&amp;JG"}</definedName>
    <definedName name="ccc" localSheetId="18" hidden="1">{#N/A,#N/A,FALSE,"A&amp;E";#N/A,#N/A,FALSE,"HighTop";#N/A,#N/A,FALSE,"JG";#N/A,#N/A,FALSE,"RI";#N/A,#N/A,FALSE,"woHT";#N/A,#N/A,FALSE,"woHT&amp;JG"}</definedName>
    <definedName name="ccc" localSheetId="19" hidden="1">{#N/A,#N/A,FALSE,"A&amp;E";#N/A,#N/A,FALSE,"HighTop";#N/A,#N/A,FALSE,"JG";#N/A,#N/A,FALSE,"RI";#N/A,#N/A,FALSE,"woHT";#N/A,#N/A,FALSE,"woHT&amp;JG"}</definedName>
    <definedName name="ccc" localSheetId="17" hidden="1">{#N/A,#N/A,FALSE,"A&amp;E";#N/A,#N/A,FALSE,"HighTop";#N/A,#N/A,FALSE,"JG";#N/A,#N/A,FALSE,"RI";#N/A,#N/A,FALSE,"woHT";#N/A,#N/A,FALSE,"woHT&amp;JG"}</definedName>
    <definedName name="ccc" localSheetId="22" hidden="1">{#N/A,#N/A,FALSE,"A&amp;E";#N/A,#N/A,FALSE,"HighTop";#N/A,#N/A,FALSE,"JG";#N/A,#N/A,FALSE,"RI";#N/A,#N/A,FALSE,"woHT";#N/A,#N/A,FALSE,"woHT&amp;JG"}</definedName>
    <definedName name="ccc" localSheetId="10" hidden="1">{#N/A,#N/A,FALSE,"A&amp;E";#N/A,#N/A,FALSE,"HighTop";#N/A,#N/A,FALSE,"JG";#N/A,#N/A,FALSE,"RI";#N/A,#N/A,FALSE,"woHT";#N/A,#N/A,FALSE,"woHT&amp;JG"}</definedName>
    <definedName name="ccc" localSheetId="30" hidden="1">{#N/A,#N/A,FALSE,"A&amp;E";#N/A,#N/A,FALSE,"HighTop";#N/A,#N/A,FALSE,"JG";#N/A,#N/A,FALSE,"RI";#N/A,#N/A,FALSE,"woHT";#N/A,#N/A,FALSE,"woHT&amp;JG"}</definedName>
    <definedName name="ccc" localSheetId="0" hidden="1">{#N/A,#N/A,FALSE,"A&amp;E";#N/A,#N/A,FALSE,"HighTop";#N/A,#N/A,FALSE,"JG";#N/A,#N/A,FALSE,"RI";#N/A,#N/A,FALSE,"woHT";#N/A,#N/A,FALSE,"woHT&amp;JG"}</definedName>
    <definedName name="ccc" localSheetId="3" hidden="1">{#N/A,#N/A,FALSE,"A&amp;E";#N/A,#N/A,FALSE,"HighTop";#N/A,#N/A,FALSE,"JG";#N/A,#N/A,FALSE,"RI";#N/A,#N/A,FALSE,"woHT";#N/A,#N/A,FALSE,"woHT&amp;JG"}</definedName>
    <definedName name="ccc" localSheetId="4" hidden="1">{#N/A,#N/A,FALSE,"A&amp;E";#N/A,#N/A,FALSE,"HighTop";#N/A,#N/A,FALSE,"JG";#N/A,#N/A,FALSE,"RI";#N/A,#N/A,FALSE,"woHT";#N/A,#N/A,FALSE,"woHT&amp;JG"}</definedName>
    <definedName name="ccc" localSheetId="28" hidden="1">{#N/A,#N/A,FALSE,"A&amp;E";#N/A,#N/A,FALSE,"HighTop";#N/A,#N/A,FALSE,"JG";#N/A,#N/A,FALSE,"RI";#N/A,#N/A,FALSE,"woHT";#N/A,#N/A,FALSE,"woHT&amp;JG"}</definedName>
    <definedName name="ccc" localSheetId="33" hidden="1">{#N/A,#N/A,FALSE,"A&amp;E";#N/A,#N/A,FALSE,"HighTop";#N/A,#N/A,FALSE,"JG";#N/A,#N/A,FALSE,"RI";#N/A,#N/A,FALSE,"woHT";#N/A,#N/A,FALSE,"woHT&amp;JG"}</definedName>
    <definedName name="ccc" localSheetId="32" hidden="1">{#N/A,#N/A,FALSE,"A&amp;E";#N/A,#N/A,FALSE,"HighTop";#N/A,#N/A,FALSE,"JG";#N/A,#N/A,FALSE,"RI";#N/A,#N/A,FALSE,"woHT";#N/A,#N/A,FALSE,"woHT&amp;JG"}</definedName>
    <definedName name="ccc" localSheetId="7" hidden="1">{#N/A,#N/A,FALSE,"A&amp;E";#N/A,#N/A,FALSE,"HighTop";#N/A,#N/A,FALSE,"JG";#N/A,#N/A,FALSE,"RI";#N/A,#N/A,FALSE,"woHT";#N/A,#N/A,FALSE,"woHT&amp;JG"}</definedName>
    <definedName name="ccc" localSheetId="29" hidden="1">{#N/A,#N/A,FALSE,"A&amp;E";#N/A,#N/A,FALSE,"HighTop";#N/A,#N/A,FALSE,"JG";#N/A,#N/A,FALSE,"RI";#N/A,#N/A,FALSE,"woHT";#N/A,#N/A,FALSE,"woHT&amp;JG"}</definedName>
    <definedName name="ccc" localSheetId="1" hidden="1">{#N/A,#N/A,FALSE,"A&amp;E";#N/A,#N/A,FALSE,"HighTop";#N/A,#N/A,FALSE,"JG";#N/A,#N/A,FALSE,"RI";#N/A,#N/A,FALSE,"woHT";#N/A,#N/A,FALSE,"woHT&amp;JG"}</definedName>
    <definedName name="ccc" localSheetId="31" hidden="1">{#N/A,#N/A,FALSE,"A&amp;E";#N/A,#N/A,FALSE,"HighTop";#N/A,#N/A,FALSE,"JG";#N/A,#N/A,FALSE,"RI";#N/A,#N/A,FALSE,"woHT";#N/A,#N/A,FALSE,"woHT&amp;JG"}</definedName>
    <definedName name="ccc" hidden="1">{#N/A,#N/A,FALSE,"A&amp;E";#N/A,#N/A,FALSE,"HighTop";#N/A,#N/A,FALSE,"JG";#N/A,#N/A,FALSE,"RI";#N/A,#N/A,FALSE,"woHT";#N/A,#N/A,FALSE,"woHT&amp;JG"}</definedName>
    <definedName name="cccc" localSheetId="12" hidden="1">{#N/A,#N/A,FALSE,"CreditStat";#N/A,#N/A,FALSE,"SPbrkup";#N/A,#N/A,FALSE,"MerSPsyn";#N/A,#N/A,FALSE,"MerSPwKCsyn";#N/A,#N/A,FALSE,"MerSPwKCsyn (2)";#N/A,#N/A,FALSE,"CreditStat (2)"}</definedName>
    <definedName name="cccc" localSheetId="18" hidden="1">{#N/A,#N/A,FALSE,"CreditStat";#N/A,#N/A,FALSE,"SPbrkup";#N/A,#N/A,FALSE,"MerSPsyn";#N/A,#N/A,FALSE,"MerSPwKCsyn";#N/A,#N/A,FALSE,"MerSPwKCsyn (2)";#N/A,#N/A,FALSE,"CreditStat (2)"}</definedName>
    <definedName name="cccc" localSheetId="19" hidden="1">{#N/A,#N/A,FALSE,"CreditStat";#N/A,#N/A,FALSE,"SPbrkup";#N/A,#N/A,FALSE,"MerSPsyn";#N/A,#N/A,FALSE,"MerSPwKCsyn";#N/A,#N/A,FALSE,"MerSPwKCsyn (2)";#N/A,#N/A,FALSE,"CreditStat (2)"}</definedName>
    <definedName name="cccc" localSheetId="17" hidden="1">{#N/A,#N/A,FALSE,"CreditStat";#N/A,#N/A,FALSE,"SPbrkup";#N/A,#N/A,FALSE,"MerSPsyn";#N/A,#N/A,FALSE,"MerSPwKCsyn";#N/A,#N/A,FALSE,"MerSPwKCsyn (2)";#N/A,#N/A,FALSE,"CreditStat (2)"}</definedName>
    <definedName name="cccc" localSheetId="22" hidden="1">{#N/A,#N/A,FALSE,"CreditStat";#N/A,#N/A,FALSE,"SPbrkup";#N/A,#N/A,FALSE,"MerSPsyn";#N/A,#N/A,FALSE,"MerSPwKCsyn";#N/A,#N/A,FALSE,"MerSPwKCsyn (2)";#N/A,#N/A,FALSE,"CreditStat (2)"}</definedName>
    <definedName name="cccc" localSheetId="10" hidden="1">{#N/A,#N/A,FALSE,"CreditStat";#N/A,#N/A,FALSE,"SPbrkup";#N/A,#N/A,FALSE,"MerSPsyn";#N/A,#N/A,FALSE,"MerSPwKCsyn";#N/A,#N/A,FALSE,"MerSPwKCsyn (2)";#N/A,#N/A,FALSE,"CreditStat (2)"}</definedName>
    <definedName name="cccc" localSheetId="30" hidden="1">{#N/A,#N/A,FALSE,"CreditStat";#N/A,#N/A,FALSE,"SPbrkup";#N/A,#N/A,FALSE,"MerSPsyn";#N/A,#N/A,FALSE,"MerSPwKCsyn";#N/A,#N/A,FALSE,"MerSPwKCsyn (2)";#N/A,#N/A,FALSE,"CreditStat (2)"}</definedName>
    <definedName name="cccc" localSheetId="0" hidden="1">{#N/A,#N/A,FALSE,"CreditStat";#N/A,#N/A,FALSE,"SPbrkup";#N/A,#N/A,FALSE,"MerSPsyn";#N/A,#N/A,FALSE,"MerSPwKCsyn";#N/A,#N/A,FALSE,"MerSPwKCsyn (2)";#N/A,#N/A,FALSE,"CreditStat (2)"}</definedName>
    <definedName name="cccc" localSheetId="3" hidden="1">{#N/A,#N/A,FALSE,"CreditStat";#N/A,#N/A,FALSE,"SPbrkup";#N/A,#N/A,FALSE,"MerSPsyn";#N/A,#N/A,FALSE,"MerSPwKCsyn";#N/A,#N/A,FALSE,"MerSPwKCsyn (2)";#N/A,#N/A,FALSE,"CreditStat (2)"}</definedName>
    <definedName name="cccc" localSheetId="4" hidden="1">{#N/A,#N/A,FALSE,"CreditStat";#N/A,#N/A,FALSE,"SPbrkup";#N/A,#N/A,FALSE,"MerSPsyn";#N/A,#N/A,FALSE,"MerSPwKCsyn";#N/A,#N/A,FALSE,"MerSPwKCsyn (2)";#N/A,#N/A,FALSE,"CreditStat (2)"}</definedName>
    <definedName name="cccc" localSheetId="28" hidden="1">{#N/A,#N/A,FALSE,"CreditStat";#N/A,#N/A,FALSE,"SPbrkup";#N/A,#N/A,FALSE,"MerSPsyn";#N/A,#N/A,FALSE,"MerSPwKCsyn";#N/A,#N/A,FALSE,"MerSPwKCsyn (2)";#N/A,#N/A,FALSE,"CreditStat (2)"}</definedName>
    <definedName name="cccc" localSheetId="33" hidden="1">{#N/A,#N/A,FALSE,"CreditStat";#N/A,#N/A,FALSE,"SPbrkup";#N/A,#N/A,FALSE,"MerSPsyn";#N/A,#N/A,FALSE,"MerSPwKCsyn";#N/A,#N/A,FALSE,"MerSPwKCsyn (2)";#N/A,#N/A,FALSE,"CreditStat (2)"}</definedName>
    <definedName name="cccc" localSheetId="32" hidden="1">{#N/A,#N/A,FALSE,"CreditStat";#N/A,#N/A,FALSE,"SPbrkup";#N/A,#N/A,FALSE,"MerSPsyn";#N/A,#N/A,FALSE,"MerSPwKCsyn";#N/A,#N/A,FALSE,"MerSPwKCsyn (2)";#N/A,#N/A,FALSE,"CreditStat (2)"}</definedName>
    <definedName name="cccc" localSheetId="7" hidden="1">{#N/A,#N/A,FALSE,"CreditStat";#N/A,#N/A,FALSE,"SPbrkup";#N/A,#N/A,FALSE,"MerSPsyn";#N/A,#N/A,FALSE,"MerSPwKCsyn";#N/A,#N/A,FALSE,"MerSPwKCsyn (2)";#N/A,#N/A,FALSE,"CreditStat (2)"}</definedName>
    <definedName name="cccc" localSheetId="29" hidden="1">{#N/A,#N/A,FALSE,"CreditStat";#N/A,#N/A,FALSE,"SPbrkup";#N/A,#N/A,FALSE,"MerSPsyn";#N/A,#N/A,FALSE,"MerSPwKCsyn";#N/A,#N/A,FALSE,"MerSPwKCsyn (2)";#N/A,#N/A,FALSE,"CreditStat (2)"}</definedName>
    <definedName name="cccc" localSheetId="1" hidden="1">{#N/A,#N/A,FALSE,"CreditStat";#N/A,#N/A,FALSE,"SPbrkup";#N/A,#N/A,FALSE,"MerSPsyn";#N/A,#N/A,FALSE,"MerSPwKCsyn";#N/A,#N/A,FALSE,"MerSPwKCsyn (2)";#N/A,#N/A,FALSE,"CreditStat (2)"}</definedName>
    <definedName name="cccc" localSheetId="31" hidden="1">{#N/A,#N/A,FALSE,"CreditStat";#N/A,#N/A,FALSE,"SPbrkup";#N/A,#N/A,FALSE,"MerSPsyn";#N/A,#N/A,FALSE,"MerSPwKCsyn";#N/A,#N/A,FALSE,"MerSPwKCsyn (2)";#N/A,#N/A,FALSE,"CreditStat (2)"}</definedName>
    <definedName name="cccc" hidden="1">{#N/A,#N/A,FALSE,"CreditStat";#N/A,#N/A,FALSE,"SPbrkup";#N/A,#N/A,FALSE,"MerSPsyn";#N/A,#N/A,FALSE,"MerSPwKCsyn";#N/A,#N/A,FALSE,"MerSPwKCsyn (2)";#N/A,#N/A,FALSE,"CreditStat (2)"}</definedName>
    <definedName name="cdcas" localSheetId="12"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cdcas" localSheetId="18"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cdcas" localSheetId="19"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cdcas" localSheetId="17"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cdcas" localSheetId="22"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cdcas" localSheetId="10"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cdcas" localSheetId="30"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cdcas" localSheetId="0"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cdcas" localSheetId="3"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cdcas" localSheetId="4"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cdcas" localSheetId="28"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cdcas" localSheetId="33"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cdcas" localSheetId="32"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cdcas" localSheetId="7"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cdcas" localSheetId="29"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cdcas" localSheetId="1"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cdcas" localSheetId="31"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cdcas"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cdsc" localSheetId="12" hidden="1">{"orixcsc",#N/A,FALSE,"ORIX CSC";"orixcsc2",#N/A,FALSE,"ORIX CSC"}</definedName>
    <definedName name="cdsc" localSheetId="18" hidden="1">{"orixcsc",#N/A,FALSE,"ORIX CSC";"orixcsc2",#N/A,FALSE,"ORIX CSC"}</definedName>
    <definedName name="cdsc" localSheetId="19" hidden="1">{"orixcsc",#N/A,FALSE,"ORIX CSC";"orixcsc2",#N/A,FALSE,"ORIX CSC"}</definedName>
    <definedName name="cdsc" localSheetId="17" hidden="1">{"orixcsc",#N/A,FALSE,"ORIX CSC";"orixcsc2",#N/A,FALSE,"ORIX CSC"}</definedName>
    <definedName name="cdsc" localSheetId="22" hidden="1">{"orixcsc",#N/A,FALSE,"ORIX CSC";"orixcsc2",#N/A,FALSE,"ORIX CSC"}</definedName>
    <definedName name="cdsc" localSheetId="10" hidden="1">{"orixcsc",#N/A,FALSE,"ORIX CSC";"orixcsc2",#N/A,FALSE,"ORIX CSC"}</definedName>
    <definedName name="cdsc" localSheetId="30" hidden="1">{"orixcsc",#N/A,FALSE,"ORIX CSC";"orixcsc2",#N/A,FALSE,"ORIX CSC"}</definedName>
    <definedName name="cdsc" localSheetId="0" hidden="1">{"orixcsc",#N/A,FALSE,"ORIX CSC";"orixcsc2",#N/A,FALSE,"ORIX CSC"}</definedName>
    <definedName name="cdsc" localSheetId="3" hidden="1">{"orixcsc",#N/A,FALSE,"ORIX CSC";"orixcsc2",#N/A,FALSE,"ORIX CSC"}</definedName>
    <definedName name="cdsc" localSheetId="4" hidden="1">{"orixcsc",#N/A,FALSE,"ORIX CSC";"orixcsc2",#N/A,FALSE,"ORIX CSC"}</definedName>
    <definedName name="cdsc" localSheetId="28" hidden="1">{"orixcsc",#N/A,FALSE,"ORIX CSC";"orixcsc2",#N/A,FALSE,"ORIX CSC"}</definedName>
    <definedName name="cdsc" localSheetId="33" hidden="1">{"orixcsc",#N/A,FALSE,"ORIX CSC";"orixcsc2",#N/A,FALSE,"ORIX CSC"}</definedName>
    <definedName name="cdsc" localSheetId="32" hidden="1">{"orixcsc",#N/A,FALSE,"ORIX CSC";"orixcsc2",#N/A,FALSE,"ORIX CSC"}</definedName>
    <definedName name="cdsc" localSheetId="7" hidden="1">{"orixcsc",#N/A,FALSE,"ORIX CSC";"orixcsc2",#N/A,FALSE,"ORIX CSC"}</definedName>
    <definedName name="cdsc" localSheetId="29" hidden="1">{"orixcsc",#N/A,FALSE,"ORIX CSC";"orixcsc2",#N/A,FALSE,"ORIX CSC"}</definedName>
    <definedName name="cdsc" localSheetId="1" hidden="1">{"orixcsc",#N/A,FALSE,"ORIX CSC";"orixcsc2",#N/A,FALSE,"ORIX CSC"}</definedName>
    <definedName name="cdsc" localSheetId="31" hidden="1">{"orixcsc",#N/A,FALSE,"ORIX CSC";"orixcsc2",#N/A,FALSE,"ORIX CSC"}</definedName>
    <definedName name="cdsc" hidden="1">{"orixcsc",#N/A,FALSE,"ORIX CSC";"orixcsc2",#N/A,FALSE,"ORIX CSC"}</definedName>
    <definedName name="CGRU" localSheetId="0">#REF!</definedName>
    <definedName name="CGRU" localSheetId="7">#REF!</definedName>
    <definedName name="Chart2_Label_2" localSheetId="12" hidden="1">#REF!</definedName>
    <definedName name="Chart2_Label_2" localSheetId="18" hidden="1">EMBOP_SI!#REF!</definedName>
    <definedName name="Chart2_Label_2" localSheetId="19" hidden="1">#REF!</definedName>
    <definedName name="Chart2_Label_2" localSheetId="17" hidden="1">#REF!</definedName>
    <definedName name="Chart2_Label_2" localSheetId="10" hidden="1">#REF!</definedName>
    <definedName name="Chart2_Label_2" localSheetId="30" hidden="1">#REF!</definedName>
    <definedName name="Chart2_Label_2" localSheetId="0" hidden="1">#REF!</definedName>
    <definedName name="Chart2_Label_2" localSheetId="3" hidden="1">#REF!</definedName>
    <definedName name="Chart2_Label_2" localSheetId="4" hidden="1">#REF!</definedName>
    <definedName name="Chart2_Label_2" localSheetId="28" hidden="1">#REF!</definedName>
    <definedName name="Chart2_Label_2" localSheetId="33" hidden="1">'Reference documents'!#REF!</definedName>
    <definedName name="Chart2_Label_2" localSheetId="7" hidden="1">#REF!</definedName>
    <definedName name="Chart2_Label_2" localSheetId="29" hidden="1">#REF!</definedName>
    <definedName name="Chart2_Label_2" localSheetId="1" hidden="1">#REF!</definedName>
    <definedName name="Chart2_Label_2" localSheetId="31" hidden="1">#REF!</definedName>
    <definedName name="Chart2_Label_2" hidden="1">#REF!</definedName>
    <definedName name="Chart3_Label_2" localSheetId="12" hidden="1">#REF!</definedName>
    <definedName name="Chart3_Label_2" localSheetId="18" hidden="1">EMBOP_SI!#REF!</definedName>
    <definedName name="Chart3_Label_2" localSheetId="19" hidden="1">#REF!</definedName>
    <definedName name="Chart3_Label_2" localSheetId="17" hidden="1">#REF!</definedName>
    <definedName name="Chart3_Label_2" localSheetId="10" hidden="1">#REF!</definedName>
    <definedName name="Chart3_Label_2" localSheetId="30" hidden="1">#REF!</definedName>
    <definedName name="Chart3_Label_2" localSheetId="3" hidden="1">#REF!</definedName>
    <definedName name="Chart3_Label_2" localSheetId="4" hidden="1">#REF!</definedName>
    <definedName name="Chart3_Label_2" localSheetId="28" hidden="1">#REF!</definedName>
    <definedName name="Chart3_Label_2" localSheetId="33" hidden="1">'Reference documents'!#REF!</definedName>
    <definedName name="Chart3_Label_2" localSheetId="7" hidden="1">#REF!</definedName>
    <definedName name="Chart3_Label_2" localSheetId="29" hidden="1">#REF!</definedName>
    <definedName name="Chart3_Label_2" localSheetId="31" hidden="1">#REF!</definedName>
    <definedName name="Chart3_Label_2" hidden="1">#REF!</definedName>
    <definedName name="d" localSheetId="12" hidden="1">{"ANAR",#N/A,FALSE,"Dist total";"MARGEN",#N/A,FALSE,"Dist total";"COMENTARIO",#N/A,FALSE,"Ficha CODICE";"CONSEJO",#N/A,FALSE,"Dist p0";"uno",#N/A,FALSE,"Dist total"}</definedName>
    <definedName name="d" localSheetId="18" hidden="1">{"ANAR",#N/A,FALSE,"Dist total";"MARGEN",#N/A,FALSE,"Dist total";"COMENTARIO",#N/A,FALSE,"Ficha CODICE";"CONSEJO",#N/A,FALSE,"Dist p0";"uno",#N/A,FALSE,"Dist total"}</definedName>
    <definedName name="d" localSheetId="19" hidden="1">{"ANAR",#N/A,FALSE,"Dist total";"MARGEN",#N/A,FALSE,"Dist total";"COMENTARIO",#N/A,FALSE,"Ficha CODICE";"CONSEJO",#N/A,FALSE,"Dist p0";"uno",#N/A,FALSE,"Dist total"}</definedName>
    <definedName name="d" localSheetId="17" hidden="1">{"ANAR",#N/A,FALSE,"Dist total";"MARGEN",#N/A,FALSE,"Dist total";"COMENTARIO",#N/A,FALSE,"Ficha CODICE";"CONSEJO",#N/A,FALSE,"Dist p0";"uno",#N/A,FALSE,"Dist total"}</definedName>
    <definedName name="d" localSheetId="22" hidden="1">{"ANAR",#N/A,FALSE,"Dist total";"MARGEN",#N/A,FALSE,"Dist total";"COMENTARIO",#N/A,FALSE,"Ficha CODICE";"CONSEJO",#N/A,FALSE,"Dist p0";"uno",#N/A,FALSE,"Dist total"}</definedName>
    <definedName name="d" localSheetId="10" hidden="1">{"ANAR",#N/A,FALSE,"Dist total";"MARGEN",#N/A,FALSE,"Dist total";"COMENTARIO",#N/A,FALSE,"Ficha CODICE";"CONSEJO",#N/A,FALSE,"Dist p0";"uno",#N/A,FALSE,"Dist total"}</definedName>
    <definedName name="d" localSheetId="30" hidden="1">{"ANAR",#N/A,FALSE,"Dist total";"MARGEN",#N/A,FALSE,"Dist total";"COMENTARIO",#N/A,FALSE,"Ficha CODICE";"CONSEJO",#N/A,FALSE,"Dist p0";"uno",#N/A,FALSE,"Dist total"}</definedName>
    <definedName name="d" localSheetId="0" hidden="1">{"ANAR",#N/A,FALSE,"Dist total";"MARGEN",#N/A,FALSE,"Dist total";"COMENTARIO",#N/A,FALSE,"Ficha CODICE";"CONSEJO",#N/A,FALSE,"Dist p0";"uno",#N/A,FALSE,"Dist total"}</definedName>
    <definedName name="d" localSheetId="3" hidden="1">{"ANAR",#N/A,FALSE,"Dist total";"MARGEN",#N/A,FALSE,"Dist total";"COMENTARIO",#N/A,FALSE,"Ficha CODICE";"CONSEJO",#N/A,FALSE,"Dist p0";"uno",#N/A,FALSE,"Dist total"}</definedName>
    <definedName name="d" localSheetId="4" hidden="1">{"ANAR",#N/A,FALSE,"Dist total";"MARGEN",#N/A,FALSE,"Dist total";"COMENTARIO",#N/A,FALSE,"Ficha CODICE";"CONSEJO",#N/A,FALSE,"Dist p0";"uno",#N/A,FALSE,"Dist total"}</definedName>
    <definedName name="d" localSheetId="28" hidden="1">{"ANAR",#N/A,FALSE,"Dist total";"MARGEN",#N/A,FALSE,"Dist total";"COMENTARIO",#N/A,FALSE,"Ficha CODICE";"CONSEJO",#N/A,FALSE,"Dist p0";"uno",#N/A,FALSE,"Dist total"}</definedName>
    <definedName name="d" localSheetId="33" hidden="1">{"ANAR",#N/A,FALSE,"Dist total";"MARGEN",#N/A,FALSE,"Dist total";"COMENTARIO",#N/A,FALSE,"Ficha CODICE";"CONSEJO",#N/A,FALSE,"Dist p0";"uno",#N/A,FALSE,"Dist total"}</definedName>
    <definedName name="d" localSheetId="32" hidden="1">{"ANAR",#N/A,FALSE,"Dist total";"MARGEN",#N/A,FALSE,"Dist total";"COMENTARIO",#N/A,FALSE,"Ficha CODICE";"CONSEJO",#N/A,FALSE,"Dist p0";"uno",#N/A,FALSE,"Dist total"}</definedName>
    <definedName name="d" localSheetId="7" hidden="1">{"ANAR",#N/A,FALSE,"Dist total";"MARGEN",#N/A,FALSE,"Dist total";"COMENTARIO",#N/A,FALSE,"Ficha CODICE";"CONSEJO",#N/A,FALSE,"Dist p0";"uno",#N/A,FALSE,"Dist total"}</definedName>
    <definedName name="d" localSheetId="29" hidden="1">{"ANAR",#N/A,FALSE,"Dist total";"MARGEN",#N/A,FALSE,"Dist total";"COMENTARIO",#N/A,FALSE,"Ficha CODICE";"CONSEJO",#N/A,FALSE,"Dist p0";"uno",#N/A,FALSE,"Dist total"}</definedName>
    <definedName name="d" localSheetId="1" hidden="1">{"ANAR",#N/A,FALSE,"Dist total";"MARGEN",#N/A,FALSE,"Dist total";"COMENTARIO",#N/A,FALSE,"Ficha CODICE";"CONSEJO",#N/A,FALSE,"Dist p0";"uno",#N/A,FALSE,"Dist total"}</definedName>
    <definedName name="d" localSheetId="31" hidden="1">{"ANAR",#N/A,FALSE,"Dist total";"MARGEN",#N/A,FALSE,"Dist total";"COMENTARIO",#N/A,FALSE,"Ficha CODICE";"CONSEJO",#N/A,FALSE,"Dist p0";"uno",#N/A,FALSE,"Dist total"}</definedName>
    <definedName name="d" hidden="1">{"ANAR",#N/A,FALSE,"Dist total";"MARGEN",#N/A,FALSE,"Dist total";"COMENTARIO",#N/A,FALSE,"Ficha CODICE";"CONSEJO",#N/A,FALSE,"Dist p0";"uno",#N/A,FALSE,"Dist total"}</definedName>
    <definedName name="daaqfq" localSheetId="12" hidden="1">{"Tarifica91",#N/A,FALSE,"Tariffs";"Tarifica92",#N/A,FALSE,"Tariffs";"Tarifica93",#N/A,FALSE,"Tariffs";"Tarifica94",#N/A,FALSE,"Tariffs";"Tarifica95",#N/A,FALSE,"Tariffs";"Tarifica96",#N/A,FALSE,"Tariffs"}</definedName>
    <definedName name="daaqfq" localSheetId="18" hidden="1">{"Tarifica91",#N/A,FALSE,"Tariffs";"Tarifica92",#N/A,FALSE,"Tariffs";"Tarifica93",#N/A,FALSE,"Tariffs";"Tarifica94",#N/A,FALSE,"Tariffs";"Tarifica95",#N/A,FALSE,"Tariffs";"Tarifica96",#N/A,FALSE,"Tariffs"}</definedName>
    <definedName name="daaqfq" localSheetId="19" hidden="1">{"Tarifica91",#N/A,FALSE,"Tariffs";"Tarifica92",#N/A,FALSE,"Tariffs";"Tarifica93",#N/A,FALSE,"Tariffs";"Tarifica94",#N/A,FALSE,"Tariffs";"Tarifica95",#N/A,FALSE,"Tariffs";"Tarifica96",#N/A,FALSE,"Tariffs"}</definedName>
    <definedName name="daaqfq" localSheetId="17" hidden="1">{"Tarifica91",#N/A,FALSE,"Tariffs";"Tarifica92",#N/A,FALSE,"Tariffs";"Tarifica93",#N/A,FALSE,"Tariffs";"Tarifica94",#N/A,FALSE,"Tariffs";"Tarifica95",#N/A,FALSE,"Tariffs";"Tarifica96",#N/A,FALSE,"Tariffs"}</definedName>
    <definedName name="daaqfq" localSheetId="22" hidden="1">{"Tarifica91",#N/A,FALSE,"Tariffs";"Tarifica92",#N/A,FALSE,"Tariffs";"Tarifica93",#N/A,FALSE,"Tariffs";"Tarifica94",#N/A,FALSE,"Tariffs";"Tarifica95",#N/A,FALSE,"Tariffs";"Tarifica96",#N/A,FALSE,"Tariffs"}</definedName>
    <definedName name="daaqfq" localSheetId="10" hidden="1">{"Tarifica91",#N/A,FALSE,"Tariffs";"Tarifica92",#N/A,FALSE,"Tariffs";"Tarifica93",#N/A,FALSE,"Tariffs";"Tarifica94",#N/A,FALSE,"Tariffs";"Tarifica95",#N/A,FALSE,"Tariffs";"Tarifica96",#N/A,FALSE,"Tariffs"}</definedName>
    <definedName name="daaqfq" localSheetId="30" hidden="1">{"Tarifica91",#N/A,FALSE,"Tariffs";"Tarifica92",#N/A,FALSE,"Tariffs";"Tarifica93",#N/A,FALSE,"Tariffs";"Tarifica94",#N/A,FALSE,"Tariffs";"Tarifica95",#N/A,FALSE,"Tariffs";"Tarifica96",#N/A,FALSE,"Tariffs"}</definedName>
    <definedName name="daaqfq" localSheetId="0" hidden="1">{"Tarifica91",#N/A,FALSE,"Tariffs";"Tarifica92",#N/A,FALSE,"Tariffs";"Tarifica93",#N/A,FALSE,"Tariffs";"Tarifica94",#N/A,FALSE,"Tariffs";"Tarifica95",#N/A,FALSE,"Tariffs";"Tarifica96",#N/A,FALSE,"Tariffs"}</definedName>
    <definedName name="daaqfq" localSheetId="3" hidden="1">{"Tarifica91",#N/A,FALSE,"Tariffs";"Tarifica92",#N/A,FALSE,"Tariffs";"Tarifica93",#N/A,FALSE,"Tariffs";"Tarifica94",#N/A,FALSE,"Tariffs";"Tarifica95",#N/A,FALSE,"Tariffs";"Tarifica96",#N/A,FALSE,"Tariffs"}</definedName>
    <definedName name="daaqfq" localSheetId="4" hidden="1">{"Tarifica91",#N/A,FALSE,"Tariffs";"Tarifica92",#N/A,FALSE,"Tariffs";"Tarifica93",#N/A,FALSE,"Tariffs";"Tarifica94",#N/A,FALSE,"Tariffs";"Tarifica95",#N/A,FALSE,"Tariffs";"Tarifica96",#N/A,FALSE,"Tariffs"}</definedName>
    <definedName name="daaqfq" localSheetId="28" hidden="1">{"Tarifica91",#N/A,FALSE,"Tariffs";"Tarifica92",#N/A,FALSE,"Tariffs";"Tarifica93",#N/A,FALSE,"Tariffs";"Tarifica94",#N/A,FALSE,"Tariffs";"Tarifica95",#N/A,FALSE,"Tariffs";"Tarifica96",#N/A,FALSE,"Tariffs"}</definedName>
    <definedName name="daaqfq" localSheetId="33" hidden="1">{"Tarifica91",#N/A,FALSE,"Tariffs";"Tarifica92",#N/A,FALSE,"Tariffs";"Tarifica93",#N/A,FALSE,"Tariffs";"Tarifica94",#N/A,FALSE,"Tariffs";"Tarifica95",#N/A,FALSE,"Tariffs";"Tarifica96",#N/A,FALSE,"Tariffs"}</definedName>
    <definedName name="daaqfq" localSheetId="32" hidden="1">{"Tarifica91",#N/A,FALSE,"Tariffs";"Tarifica92",#N/A,FALSE,"Tariffs";"Tarifica93",#N/A,FALSE,"Tariffs";"Tarifica94",#N/A,FALSE,"Tariffs";"Tarifica95",#N/A,FALSE,"Tariffs";"Tarifica96",#N/A,FALSE,"Tariffs"}</definedName>
    <definedName name="daaqfq" localSheetId="7" hidden="1">{"Tarifica91",#N/A,FALSE,"Tariffs";"Tarifica92",#N/A,FALSE,"Tariffs";"Tarifica93",#N/A,FALSE,"Tariffs";"Tarifica94",#N/A,FALSE,"Tariffs";"Tarifica95",#N/A,FALSE,"Tariffs";"Tarifica96",#N/A,FALSE,"Tariffs"}</definedName>
    <definedName name="daaqfq" localSheetId="29" hidden="1">{"Tarifica91",#N/A,FALSE,"Tariffs";"Tarifica92",#N/A,FALSE,"Tariffs";"Tarifica93",#N/A,FALSE,"Tariffs";"Tarifica94",#N/A,FALSE,"Tariffs";"Tarifica95",#N/A,FALSE,"Tariffs";"Tarifica96",#N/A,FALSE,"Tariffs"}</definedName>
    <definedName name="daaqfq" localSheetId="1" hidden="1">{"Tarifica91",#N/A,FALSE,"Tariffs";"Tarifica92",#N/A,FALSE,"Tariffs";"Tarifica93",#N/A,FALSE,"Tariffs";"Tarifica94",#N/A,FALSE,"Tariffs";"Tarifica95",#N/A,FALSE,"Tariffs";"Tarifica96",#N/A,FALSE,"Tariffs"}</definedName>
    <definedName name="daaqfq" localSheetId="31" hidden="1">{"Tarifica91",#N/A,FALSE,"Tariffs";"Tarifica92",#N/A,FALSE,"Tariffs";"Tarifica93",#N/A,FALSE,"Tariffs";"Tarifica94",#N/A,FALSE,"Tariffs";"Tarifica95",#N/A,FALSE,"Tariffs";"Tarifica96",#N/A,FALSE,"Tariffs"}</definedName>
    <definedName name="daaqfq" hidden="1">{"Tarifica91",#N/A,FALSE,"Tariffs";"Tarifica92",#N/A,FALSE,"Tariffs";"Tarifica93",#N/A,FALSE,"Tariffs";"Tarifica94",#N/A,FALSE,"Tariffs";"Tarifica95",#N/A,FALSE,"Tariffs";"Tarifica96",#N/A,FALSE,"Tariffs"}</definedName>
    <definedName name="DB" localSheetId="0">#REF!</definedName>
    <definedName name="DB" localSheetId="7">#REF!</definedName>
    <definedName name="dcc" localSheetId="12" hidden="1">{"mgmt forecast",#N/A,FALSE,"Mgmt Forecast";"dcf table",#N/A,FALSE,"Mgmt Forecast";"sensitivity",#N/A,FALSE,"Mgmt Forecast";"table inputs",#N/A,FALSE,"Mgmt Forecast";"calculations",#N/A,FALSE,"Mgmt Forecast"}</definedName>
    <definedName name="dcc" localSheetId="18" hidden="1">{"mgmt forecast",#N/A,FALSE,"Mgmt Forecast";"dcf table",#N/A,FALSE,"Mgmt Forecast";"sensitivity",#N/A,FALSE,"Mgmt Forecast";"table inputs",#N/A,FALSE,"Mgmt Forecast";"calculations",#N/A,FALSE,"Mgmt Forecast"}</definedName>
    <definedName name="dcc" localSheetId="19" hidden="1">{"mgmt forecast",#N/A,FALSE,"Mgmt Forecast";"dcf table",#N/A,FALSE,"Mgmt Forecast";"sensitivity",#N/A,FALSE,"Mgmt Forecast";"table inputs",#N/A,FALSE,"Mgmt Forecast";"calculations",#N/A,FALSE,"Mgmt Forecast"}</definedName>
    <definedName name="dcc" localSheetId="17" hidden="1">{"mgmt forecast",#N/A,FALSE,"Mgmt Forecast";"dcf table",#N/A,FALSE,"Mgmt Forecast";"sensitivity",#N/A,FALSE,"Mgmt Forecast";"table inputs",#N/A,FALSE,"Mgmt Forecast";"calculations",#N/A,FALSE,"Mgmt Forecast"}</definedName>
    <definedName name="dcc" localSheetId="22" hidden="1">{"mgmt forecast",#N/A,FALSE,"Mgmt Forecast";"dcf table",#N/A,FALSE,"Mgmt Forecast";"sensitivity",#N/A,FALSE,"Mgmt Forecast";"table inputs",#N/A,FALSE,"Mgmt Forecast";"calculations",#N/A,FALSE,"Mgmt Forecast"}</definedName>
    <definedName name="dcc" localSheetId="10" hidden="1">{"mgmt forecast",#N/A,FALSE,"Mgmt Forecast";"dcf table",#N/A,FALSE,"Mgmt Forecast";"sensitivity",#N/A,FALSE,"Mgmt Forecast";"table inputs",#N/A,FALSE,"Mgmt Forecast";"calculations",#N/A,FALSE,"Mgmt Forecast"}</definedName>
    <definedName name="dcc" localSheetId="30" hidden="1">{"mgmt forecast",#N/A,FALSE,"Mgmt Forecast";"dcf table",#N/A,FALSE,"Mgmt Forecast";"sensitivity",#N/A,FALSE,"Mgmt Forecast";"table inputs",#N/A,FALSE,"Mgmt Forecast";"calculations",#N/A,FALSE,"Mgmt Forecast"}</definedName>
    <definedName name="dcc" localSheetId="0" hidden="1">{"mgmt forecast",#N/A,FALSE,"Mgmt Forecast";"dcf table",#N/A,FALSE,"Mgmt Forecast";"sensitivity",#N/A,FALSE,"Mgmt Forecast";"table inputs",#N/A,FALSE,"Mgmt Forecast";"calculations",#N/A,FALSE,"Mgmt Forecast"}</definedName>
    <definedName name="dcc" localSheetId="3" hidden="1">{"mgmt forecast",#N/A,FALSE,"Mgmt Forecast";"dcf table",#N/A,FALSE,"Mgmt Forecast";"sensitivity",#N/A,FALSE,"Mgmt Forecast";"table inputs",#N/A,FALSE,"Mgmt Forecast";"calculations",#N/A,FALSE,"Mgmt Forecast"}</definedName>
    <definedName name="dcc" localSheetId="4" hidden="1">{"mgmt forecast",#N/A,FALSE,"Mgmt Forecast";"dcf table",#N/A,FALSE,"Mgmt Forecast";"sensitivity",#N/A,FALSE,"Mgmt Forecast";"table inputs",#N/A,FALSE,"Mgmt Forecast";"calculations",#N/A,FALSE,"Mgmt Forecast"}</definedName>
    <definedName name="dcc" localSheetId="28" hidden="1">{"mgmt forecast",#N/A,FALSE,"Mgmt Forecast";"dcf table",#N/A,FALSE,"Mgmt Forecast";"sensitivity",#N/A,FALSE,"Mgmt Forecast";"table inputs",#N/A,FALSE,"Mgmt Forecast";"calculations",#N/A,FALSE,"Mgmt Forecast"}</definedName>
    <definedName name="dcc" localSheetId="33" hidden="1">{"mgmt forecast",#N/A,FALSE,"Mgmt Forecast";"dcf table",#N/A,FALSE,"Mgmt Forecast";"sensitivity",#N/A,FALSE,"Mgmt Forecast";"table inputs",#N/A,FALSE,"Mgmt Forecast";"calculations",#N/A,FALSE,"Mgmt Forecast"}</definedName>
    <definedName name="dcc" localSheetId="32" hidden="1">{"mgmt forecast",#N/A,FALSE,"Mgmt Forecast";"dcf table",#N/A,FALSE,"Mgmt Forecast";"sensitivity",#N/A,FALSE,"Mgmt Forecast";"table inputs",#N/A,FALSE,"Mgmt Forecast";"calculations",#N/A,FALSE,"Mgmt Forecast"}</definedName>
    <definedName name="dcc" localSheetId="7" hidden="1">{"mgmt forecast",#N/A,FALSE,"Mgmt Forecast";"dcf table",#N/A,FALSE,"Mgmt Forecast";"sensitivity",#N/A,FALSE,"Mgmt Forecast";"table inputs",#N/A,FALSE,"Mgmt Forecast";"calculations",#N/A,FALSE,"Mgmt Forecast"}</definedName>
    <definedName name="dcc" localSheetId="29" hidden="1">{"mgmt forecast",#N/A,FALSE,"Mgmt Forecast";"dcf table",#N/A,FALSE,"Mgmt Forecast";"sensitivity",#N/A,FALSE,"Mgmt Forecast";"table inputs",#N/A,FALSE,"Mgmt Forecast";"calculations",#N/A,FALSE,"Mgmt Forecast"}</definedName>
    <definedName name="dcc" localSheetId="1" hidden="1">{"mgmt forecast",#N/A,FALSE,"Mgmt Forecast";"dcf table",#N/A,FALSE,"Mgmt Forecast";"sensitivity",#N/A,FALSE,"Mgmt Forecast";"table inputs",#N/A,FALSE,"Mgmt Forecast";"calculations",#N/A,FALSE,"Mgmt Forecast"}</definedName>
    <definedName name="dcc" localSheetId="31" hidden="1">{"mgmt forecast",#N/A,FALSE,"Mgmt Forecast";"dcf table",#N/A,FALSE,"Mgmt Forecast";"sensitivity",#N/A,FALSE,"Mgmt Forecast";"table inputs",#N/A,FALSE,"Mgmt Forecast";"calculations",#N/A,FALSE,"Mgmt Forecast"}</definedName>
    <definedName name="dcc" hidden="1">{"mgmt forecast",#N/A,FALSE,"Mgmt Forecast";"dcf table",#N/A,FALSE,"Mgmt Forecast";"sensitivity",#N/A,FALSE,"Mgmt Forecast";"table inputs",#N/A,FALSE,"Mgmt Forecast";"calculations",#N/A,FALSE,"Mgmt Forecast"}</definedName>
    <definedName name="DD">#REF!</definedName>
    <definedName name="dfadf" localSheetId="12" hidden="1">{"Line Efficiency",#N/A,FALSE,"Benchmarking"}</definedName>
    <definedName name="dfadf" localSheetId="18" hidden="1">{"Line Efficiency",#N/A,FALSE,"Benchmarking"}</definedName>
    <definedName name="dfadf" localSheetId="19" hidden="1">{"Line Efficiency",#N/A,FALSE,"Benchmarking"}</definedName>
    <definedName name="dfadf" localSheetId="17" hidden="1">{"Line Efficiency",#N/A,FALSE,"Benchmarking"}</definedName>
    <definedName name="dfadf" localSheetId="22" hidden="1">{"Line Efficiency",#N/A,FALSE,"Benchmarking"}</definedName>
    <definedName name="dfadf" localSheetId="10" hidden="1">{"Line Efficiency",#N/A,FALSE,"Benchmarking"}</definedName>
    <definedName name="dfadf" localSheetId="30" hidden="1">{"Line Efficiency",#N/A,FALSE,"Benchmarking"}</definedName>
    <definedName name="dfadf" localSheetId="0" hidden="1">{"Line Efficiency",#N/A,FALSE,"Benchmarking"}</definedName>
    <definedName name="dfadf" localSheetId="3" hidden="1">{"Line Efficiency",#N/A,FALSE,"Benchmarking"}</definedName>
    <definedName name="dfadf" localSheetId="4" hidden="1">{"Line Efficiency",#N/A,FALSE,"Benchmarking"}</definedName>
    <definedName name="dfadf" localSheetId="28" hidden="1">{"Line Efficiency",#N/A,FALSE,"Benchmarking"}</definedName>
    <definedName name="dfadf" localSheetId="33" hidden="1">{"Line Efficiency",#N/A,FALSE,"Benchmarking"}</definedName>
    <definedName name="dfadf" localSheetId="32" hidden="1">{"Line Efficiency",#N/A,FALSE,"Benchmarking"}</definedName>
    <definedName name="dfadf" localSheetId="7" hidden="1">{"Line Efficiency",#N/A,FALSE,"Benchmarking"}</definedName>
    <definedName name="dfadf" localSheetId="29" hidden="1">{"Line Efficiency",#N/A,FALSE,"Benchmarking"}</definedName>
    <definedName name="dfadf" localSheetId="1" hidden="1">{"Line Efficiency",#N/A,FALSE,"Benchmarking"}</definedName>
    <definedName name="dfadf" localSheetId="31" hidden="1">{"Line Efficiency",#N/A,FALSE,"Benchmarking"}</definedName>
    <definedName name="dfadf" hidden="1">{"Line Efficiency",#N/A,FALSE,"Benchmarking"}</definedName>
    <definedName name="dfadfa" localSheetId="12" hidden="1">{#N/A,#N/A,FALSE,"Spain MKT";#N/A,#N/A,FALSE,"Assumptions";#N/A,#N/A,FALSE,"Adve";#N/A,#N/A,FALSE,"E-Commerce";#N/A,#N/A,FALSE,"Opex";#N/A,#N/A,FALSE,"P&amp;L";#N/A,#N/A,FALSE,"FCF &amp; DCF"}</definedName>
    <definedName name="dfadfa" localSheetId="18" hidden="1">{#N/A,#N/A,FALSE,"Spain MKT";#N/A,#N/A,FALSE,"Assumptions";#N/A,#N/A,FALSE,"Adve";#N/A,#N/A,FALSE,"E-Commerce";#N/A,#N/A,FALSE,"Opex";#N/A,#N/A,FALSE,"P&amp;L";#N/A,#N/A,FALSE,"FCF &amp; DCF"}</definedName>
    <definedName name="dfadfa" localSheetId="19" hidden="1">{#N/A,#N/A,FALSE,"Spain MKT";#N/A,#N/A,FALSE,"Assumptions";#N/A,#N/A,FALSE,"Adve";#N/A,#N/A,FALSE,"E-Commerce";#N/A,#N/A,FALSE,"Opex";#N/A,#N/A,FALSE,"P&amp;L";#N/A,#N/A,FALSE,"FCF &amp; DCF"}</definedName>
    <definedName name="dfadfa" localSheetId="17" hidden="1">{#N/A,#N/A,FALSE,"Spain MKT";#N/A,#N/A,FALSE,"Assumptions";#N/A,#N/A,FALSE,"Adve";#N/A,#N/A,FALSE,"E-Commerce";#N/A,#N/A,FALSE,"Opex";#N/A,#N/A,FALSE,"P&amp;L";#N/A,#N/A,FALSE,"FCF &amp; DCF"}</definedName>
    <definedName name="dfadfa" localSheetId="22" hidden="1">{#N/A,#N/A,FALSE,"Spain MKT";#N/A,#N/A,FALSE,"Assumptions";#N/A,#N/A,FALSE,"Adve";#N/A,#N/A,FALSE,"E-Commerce";#N/A,#N/A,FALSE,"Opex";#N/A,#N/A,FALSE,"P&amp;L";#N/A,#N/A,FALSE,"FCF &amp; DCF"}</definedName>
    <definedName name="dfadfa" localSheetId="10" hidden="1">{#N/A,#N/A,FALSE,"Spain MKT";#N/A,#N/A,FALSE,"Assumptions";#N/A,#N/A,FALSE,"Adve";#N/A,#N/A,FALSE,"E-Commerce";#N/A,#N/A,FALSE,"Opex";#N/A,#N/A,FALSE,"P&amp;L";#N/A,#N/A,FALSE,"FCF &amp; DCF"}</definedName>
    <definedName name="dfadfa" localSheetId="30" hidden="1">{#N/A,#N/A,FALSE,"Spain MKT";#N/A,#N/A,FALSE,"Assumptions";#N/A,#N/A,FALSE,"Adve";#N/A,#N/A,FALSE,"E-Commerce";#N/A,#N/A,FALSE,"Opex";#N/A,#N/A,FALSE,"P&amp;L";#N/A,#N/A,FALSE,"FCF &amp; DCF"}</definedName>
    <definedName name="dfadfa" localSheetId="0" hidden="1">{#N/A,#N/A,FALSE,"Spain MKT";#N/A,#N/A,FALSE,"Assumptions";#N/A,#N/A,FALSE,"Adve";#N/A,#N/A,FALSE,"E-Commerce";#N/A,#N/A,FALSE,"Opex";#N/A,#N/A,FALSE,"P&amp;L";#N/A,#N/A,FALSE,"FCF &amp; DCF"}</definedName>
    <definedName name="dfadfa" localSheetId="3" hidden="1">{#N/A,#N/A,FALSE,"Spain MKT";#N/A,#N/A,FALSE,"Assumptions";#N/A,#N/A,FALSE,"Adve";#N/A,#N/A,FALSE,"E-Commerce";#N/A,#N/A,FALSE,"Opex";#N/A,#N/A,FALSE,"P&amp;L";#N/A,#N/A,FALSE,"FCF &amp; DCF"}</definedName>
    <definedName name="dfadfa" localSheetId="4" hidden="1">{#N/A,#N/A,FALSE,"Spain MKT";#N/A,#N/A,FALSE,"Assumptions";#N/A,#N/A,FALSE,"Adve";#N/A,#N/A,FALSE,"E-Commerce";#N/A,#N/A,FALSE,"Opex";#N/A,#N/A,FALSE,"P&amp;L";#N/A,#N/A,FALSE,"FCF &amp; DCF"}</definedName>
    <definedName name="dfadfa" localSheetId="28" hidden="1">{#N/A,#N/A,FALSE,"Spain MKT";#N/A,#N/A,FALSE,"Assumptions";#N/A,#N/A,FALSE,"Adve";#N/A,#N/A,FALSE,"E-Commerce";#N/A,#N/A,FALSE,"Opex";#N/A,#N/A,FALSE,"P&amp;L";#N/A,#N/A,FALSE,"FCF &amp; DCF"}</definedName>
    <definedName name="dfadfa" localSheetId="33" hidden="1">{#N/A,#N/A,FALSE,"Spain MKT";#N/A,#N/A,FALSE,"Assumptions";#N/A,#N/A,FALSE,"Adve";#N/A,#N/A,FALSE,"E-Commerce";#N/A,#N/A,FALSE,"Opex";#N/A,#N/A,FALSE,"P&amp;L";#N/A,#N/A,FALSE,"FCF &amp; DCF"}</definedName>
    <definedName name="dfadfa" localSheetId="32" hidden="1">{#N/A,#N/A,FALSE,"Spain MKT";#N/A,#N/A,FALSE,"Assumptions";#N/A,#N/A,FALSE,"Adve";#N/A,#N/A,FALSE,"E-Commerce";#N/A,#N/A,FALSE,"Opex";#N/A,#N/A,FALSE,"P&amp;L";#N/A,#N/A,FALSE,"FCF &amp; DCF"}</definedName>
    <definedName name="dfadfa" localSheetId="7" hidden="1">{#N/A,#N/A,FALSE,"Spain MKT";#N/A,#N/A,FALSE,"Assumptions";#N/A,#N/A,FALSE,"Adve";#N/A,#N/A,FALSE,"E-Commerce";#N/A,#N/A,FALSE,"Opex";#N/A,#N/A,FALSE,"P&amp;L";#N/A,#N/A,FALSE,"FCF &amp; DCF"}</definedName>
    <definedName name="dfadfa" localSheetId="29" hidden="1">{#N/A,#N/A,FALSE,"Spain MKT";#N/A,#N/A,FALSE,"Assumptions";#N/A,#N/A,FALSE,"Adve";#N/A,#N/A,FALSE,"E-Commerce";#N/A,#N/A,FALSE,"Opex";#N/A,#N/A,FALSE,"P&amp;L";#N/A,#N/A,FALSE,"FCF &amp; DCF"}</definedName>
    <definedName name="dfadfa" localSheetId="1" hidden="1">{#N/A,#N/A,FALSE,"Spain MKT";#N/A,#N/A,FALSE,"Assumptions";#N/A,#N/A,FALSE,"Adve";#N/A,#N/A,FALSE,"E-Commerce";#N/A,#N/A,FALSE,"Opex";#N/A,#N/A,FALSE,"P&amp;L";#N/A,#N/A,FALSE,"FCF &amp; DCF"}</definedName>
    <definedName name="dfadfa" localSheetId="31" hidden="1">{#N/A,#N/A,FALSE,"Spain MKT";#N/A,#N/A,FALSE,"Assumptions";#N/A,#N/A,FALSE,"Adve";#N/A,#N/A,FALSE,"E-Commerce";#N/A,#N/A,FALSE,"Opex";#N/A,#N/A,FALSE,"P&amp;L";#N/A,#N/A,FALSE,"FCF &amp; DCF"}</definedName>
    <definedName name="dfadfa" hidden="1">{#N/A,#N/A,FALSE,"Spain MKT";#N/A,#N/A,FALSE,"Assumptions";#N/A,#N/A,FALSE,"Adve";#N/A,#N/A,FALSE,"E-Commerce";#N/A,#N/A,FALSE,"Opex";#N/A,#N/A,FALSE,"P&amp;L";#N/A,#N/A,FALSE,"FCF &amp; DCF"}</definedName>
    <definedName name="dfaf" localSheetId="12" hidden="1">{"cap_structure",#N/A,FALSE,"Graph-Mkt Cap";"price",#N/A,FALSE,"Graph-Price";"ebit",#N/A,FALSE,"Graph-EBITDA";"ebitda",#N/A,FALSE,"Graph-EBITDA"}</definedName>
    <definedName name="dfaf" localSheetId="18" hidden="1">{"cap_structure",#N/A,FALSE,"Graph-Mkt Cap";"price",#N/A,FALSE,"Graph-Price";"ebit",#N/A,FALSE,"Graph-EBITDA";"ebitda",#N/A,FALSE,"Graph-EBITDA"}</definedName>
    <definedName name="dfaf" localSheetId="19" hidden="1">{"cap_structure",#N/A,FALSE,"Graph-Mkt Cap";"price",#N/A,FALSE,"Graph-Price";"ebit",#N/A,FALSE,"Graph-EBITDA";"ebitda",#N/A,FALSE,"Graph-EBITDA"}</definedName>
    <definedName name="dfaf" localSheetId="17" hidden="1">{"cap_structure",#N/A,FALSE,"Graph-Mkt Cap";"price",#N/A,FALSE,"Graph-Price";"ebit",#N/A,FALSE,"Graph-EBITDA";"ebitda",#N/A,FALSE,"Graph-EBITDA"}</definedName>
    <definedName name="dfaf" localSheetId="22" hidden="1">{"cap_structure",#N/A,FALSE,"Graph-Mkt Cap";"price",#N/A,FALSE,"Graph-Price";"ebit",#N/A,FALSE,"Graph-EBITDA";"ebitda",#N/A,FALSE,"Graph-EBITDA"}</definedName>
    <definedName name="dfaf" localSheetId="10" hidden="1">{"cap_structure",#N/A,FALSE,"Graph-Mkt Cap";"price",#N/A,FALSE,"Graph-Price";"ebit",#N/A,FALSE,"Graph-EBITDA";"ebitda",#N/A,FALSE,"Graph-EBITDA"}</definedName>
    <definedName name="dfaf" localSheetId="30" hidden="1">{"cap_structure",#N/A,FALSE,"Graph-Mkt Cap";"price",#N/A,FALSE,"Graph-Price";"ebit",#N/A,FALSE,"Graph-EBITDA";"ebitda",#N/A,FALSE,"Graph-EBITDA"}</definedName>
    <definedName name="dfaf" localSheetId="0" hidden="1">{"cap_structure",#N/A,FALSE,"Graph-Mkt Cap";"price",#N/A,FALSE,"Graph-Price";"ebit",#N/A,FALSE,"Graph-EBITDA";"ebitda",#N/A,FALSE,"Graph-EBITDA"}</definedName>
    <definedName name="dfaf" localSheetId="3" hidden="1">{"cap_structure",#N/A,FALSE,"Graph-Mkt Cap";"price",#N/A,FALSE,"Graph-Price";"ebit",#N/A,FALSE,"Graph-EBITDA";"ebitda",#N/A,FALSE,"Graph-EBITDA"}</definedName>
    <definedName name="dfaf" localSheetId="4" hidden="1">{"cap_structure",#N/A,FALSE,"Graph-Mkt Cap";"price",#N/A,FALSE,"Graph-Price";"ebit",#N/A,FALSE,"Graph-EBITDA";"ebitda",#N/A,FALSE,"Graph-EBITDA"}</definedName>
    <definedName name="dfaf" localSheetId="28" hidden="1">{"cap_structure",#N/A,FALSE,"Graph-Mkt Cap";"price",#N/A,FALSE,"Graph-Price";"ebit",#N/A,FALSE,"Graph-EBITDA";"ebitda",#N/A,FALSE,"Graph-EBITDA"}</definedName>
    <definedName name="dfaf" localSheetId="33" hidden="1">{"cap_structure",#N/A,FALSE,"Graph-Mkt Cap";"price",#N/A,FALSE,"Graph-Price";"ebit",#N/A,FALSE,"Graph-EBITDA";"ebitda",#N/A,FALSE,"Graph-EBITDA"}</definedName>
    <definedName name="dfaf" localSheetId="32" hidden="1">{"cap_structure",#N/A,FALSE,"Graph-Mkt Cap";"price",#N/A,FALSE,"Graph-Price";"ebit",#N/A,FALSE,"Graph-EBITDA";"ebitda",#N/A,FALSE,"Graph-EBITDA"}</definedName>
    <definedName name="dfaf" localSheetId="7" hidden="1">{"cap_structure",#N/A,FALSE,"Graph-Mkt Cap";"price",#N/A,FALSE,"Graph-Price";"ebit",#N/A,FALSE,"Graph-EBITDA";"ebitda",#N/A,FALSE,"Graph-EBITDA"}</definedName>
    <definedName name="dfaf" localSheetId="29" hidden="1">{"cap_structure",#N/A,FALSE,"Graph-Mkt Cap";"price",#N/A,FALSE,"Graph-Price";"ebit",#N/A,FALSE,"Graph-EBITDA";"ebitda",#N/A,FALSE,"Graph-EBITDA"}</definedName>
    <definedName name="dfaf" localSheetId="1" hidden="1">{"cap_structure",#N/A,FALSE,"Graph-Mkt Cap";"price",#N/A,FALSE,"Graph-Price";"ebit",#N/A,FALSE,"Graph-EBITDA";"ebitda",#N/A,FALSE,"Graph-EBITDA"}</definedName>
    <definedName name="dfaf" localSheetId="31" hidden="1">{"cap_structure",#N/A,FALSE,"Graph-Mkt Cap";"price",#N/A,FALSE,"Graph-Price";"ebit",#N/A,FALSE,"Graph-EBITDA";"ebitda",#N/A,FALSE,"Graph-EBITDA"}</definedName>
    <definedName name="dfaf" hidden="1">{"cap_structure",#N/A,FALSE,"Graph-Mkt Cap";"price",#N/A,FALSE,"Graph-Price";"ebit",#N/A,FALSE,"Graph-EBITDA";"ebitda",#N/A,FALSE,"Graph-EBITDA"}</definedName>
    <definedName name="dfafa" localSheetId="12" hidden="1">{"summary1",#N/A,TRUE,"Comps";"summary2",#N/A,TRUE,"Comps";"summary3",#N/A,TRUE,"Comps"}</definedName>
    <definedName name="dfafa" localSheetId="18" hidden="1">{"summary1",#N/A,TRUE,"Comps";"summary2",#N/A,TRUE,"Comps";"summary3",#N/A,TRUE,"Comps"}</definedName>
    <definedName name="dfafa" localSheetId="19" hidden="1">{"summary1",#N/A,TRUE,"Comps";"summary2",#N/A,TRUE,"Comps";"summary3",#N/A,TRUE,"Comps"}</definedName>
    <definedName name="dfafa" localSheetId="17" hidden="1">{"summary1",#N/A,TRUE,"Comps";"summary2",#N/A,TRUE,"Comps";"summary3",#N/A,TRUE,"Comps"}</definedName>
    <definedName name="dfafa" localSheetId="22" hidden="1">{"summary1",#N/A,TRUE,"Comps";"summary2",#N/A,TRUE,"Comps";"summary3",#N/A,TRUE,"Comps"}</definedName>
    <definedName name="dfafa" localSheetId="10" hidden="1">{"summary1",#N/A,TRUE,"Comps";"summary2",#N/A,TRUE,"Comps";"summary3",#N/A,TRUE,"Comps"}</definedName>
    <definedName name="dfafa" localSheetId="30" hidden="1">{"summary1",#N/A,TRUE,"Comps";"summary2",#N/A,TRUE,"Comps";"summary3",#N/A,TRUE,"Comps"}</definedName>
    <definedName name="dfafa" localSheetId="0" hidden="1">{"summary1",#N/A,TRUE,"Comps";"summary2",#N/A,TRUE,"Comps";"summary3",#N/A,TRUE,"Comps"}</definedName>
    <definedName name="dfafa" localSheetId="3" hidden="1">{"summary1",#N/A,TRUE,"Comps";"summary2",#N/A,TRUE,"Comps";"summary3",#N/A,TRUE,"Comps"}</definedName>
    <definedName name="dfafa" localSheetId="4" hidden="1">{"summary1",#N/A,TRUE,"Comps";"summary2",#N/A,TRUE,"Comps";"summary3",#N/A,TRUE,"Comps"}</definedName>
    <definedName name="dfafa" localSheetId="28" hidden="1">{"summary1",#N/A,TRUE,"Comps";"summary2",#N/A,TRUE,"Comps";"summary3",#N/A,TRUE,"Comps"}</definedName>
    <definedName name="dfafa" localSheetId="33" hidden="1">{"summary1",#N/A,TRUE,"Comps";"summary2",#N/A,TRUE,"Comps";"summary3",#N/A,TRUE,"Comps"}</definedName>
    <definedName name="dfafa" localSheetId="32" hidden="1">{"summary1",#N/A,TRUE,"Comps";"summary2",#N/A,TRUE,"Comps";"summary3",#N/A,TRUE,"Comps"}</definedName>
    <definedName name="dfafa" localSheetId="7" hidden="1">{"summary1",#N/A,TRUE,"Comps";"summary2",#N/A,TRUE,"Comps";"summary3",#N/A,TRUE,"Comps"}</definedName>
    <definedName name="dfafa" localSheetId="29" hidden="1">{"summary1",#N/A,TRUE,"Comps";"summary2",#N/A,TRUE,"Comps";"summary3",#N/A,TRUE,"Comps"}</definedName>
    <definedName name="dfafa" localSheetId="1" hidden="1">{"summary1",#N/A,TRUE,"Comps";"summary2",#N/A,TRUE,"Comps";"summary3",#N/A,TRUE,"Comps"}</definedName>
    <definedName name="dfafa" localSheetId="31" hidden="1">{"summary1",#N/A,TRUE,"Comps";"summary2",#N/A,TRUE,"Comps";"summary3",#N/A,TRUE,"Comps"}</definedName>
    <definedName name="dfafa" hidden="1">{"summary1",#N/A,TRUE,"Comps";"summary2",#N/A,TRUE,"Comps";"summary3",#N/A,TRUE,"Comps"}</definedName>
    <definedName name="dfafadfs" localSheetId="12" hidden="1">{"standalone1",#N/A,FALSE,"DCFBase";"standalone2",#N/A,FALSE,"DCFBase"}</definedName>
    <definedName name="dfafadfs" localSheetId="18" hidden="1">{"standalone1",#N/A,FALSE,"DCFBase";"standalone2",#N/A,FALSE,"DCFBase"}</definedName>
    <definedName name="dfafadfs" localSheetId="19" hidden="1">{"standalone1",#N/A,FALSE,"DCFBase";"standalone2",#N/A,FALSE,"DCFBase"}</definedName>
    <definedName name="dfafadfs" localSheetId="17" hidden="1">{"standalone1",#N/A,FALSE,"DCFBase";"standalone2",#N/A,FALSE,"DCFBase"}</definedName>
    <definedName name="dfafadfs" localSheetId="22" hidden="1">{"standalone1",#N/A,FALSE,"DCFBase";"standalone2",#N/A,FALSE,"DCFBase"}</definedName>
    <definedName name="dfafadfs" localSheetId="10" hidden="1">{"standalone1",#N/A,FALSE,"DCFBase";"standalone2",#N/A,FALSE,"DCFBase"}</definedName>
    <definedName name="dfafadfs" localSheetId="30" hidden="1">{"standalone1",#N/A,FALSE,"DCFBase";"standalone2",#N/A,FALSE,"DCFBase"}</definedName>
    <definedName name="dfafadfs" localSheetId="0" hidden="1">{"standalone1",#N/A,FALSE,"DCFBase";"standalone2",#N/A,FALSE,"DCFBase"}</definedName>
    <definedName name="dfafadfs" localSheetId="3" hidden="1">{"standalone1",#N/A,FALSE,"DCFBase";"standalone2",#N/A,FALSE,"DCFBase"}</definedName>
    <definedName name="dfafadfs" localSheetId="4" hidden="1">{"standalone1",#N/A,FALSE,"DCFBase";"standalone2",#N/A,FALSE,"DCFBase"}</definedName>
    <definedName name="dfafadfs" localSheetId="28" hidden="1">{"standalone1",#N/A,FALSE,"DCFBase";"standalone2",#N/A,FALSE,"DCFBase"}</definedName>
    <definedName name="dfafadfs" localSheetId="33" hidden="1">{"standalone1",#N/A,FALSE,"DCFBase";"standalone2",#N/A,FALSE,"DCFBase"}</definedName>
    <definedName name="dfafadfs" localSheetId="32" hidden="1">{"standalone1",#N/A,FALSE,"DCFBase";"standalone2",#N/A,FALSE,"DCFBase"}</definedName>
    <definedName name="dfafadfs" localSheetId="7" hidden="1">{"standalone1",#N/A,FALSE,"DCFBase";"standalone2",#N/A,FALSE,"DCFBase"}</definedName>
    <definedName name="dfafadfs" localSheetId="29" hidden="1">{"standalone1",#N/A,FALSE,"DCFBase";"standalone2",#N/A,FALSE,"DCFBase"}</definedName>
    <definedName name="dfafadfs" localSheetId="1" hidden="1">{"standalone1",#N/A,FALSE,"DCFBase";"standalone2",#N/A,FALSE,"DCFBase"}</definedName>
    <definedName name="dfafadfs" localSheetId="31" hidden="1">{"standalone1",#N/A,FALSE,"DCFBase";"standalone2",#N/A,FALSE,"DCFBase"}</definedName>
    <definedName name="dfafadfs" hidden="1">{"standalone1",#N/A,FALSE,"DCFBase";"standalone2",#N/A,FALSE,"DCFBase"}</definedName>
    <definedName name="dfafas" localSheetId="12" hidden="1">{#N/A,#N/A,FALSE,"CreditStat";#N/A,#N/A,FALSE,"SPbrkup";#N/A,#N/A,FALSE,"MerSPsyn";#N/A,#N/A,FALSE,"MerSPwKCsyn";#N/A,#N/A,FALSE,"MerSPwKCsyn (2)";#N/A,#N/A,FALSE,"CreditStat (2)"}</definedName>
    <definedName name="dfafas" localSheetId="18" hidden="1">{#N/A,#N/A,FALSE,"CreditStat";#N/A,#N/A,FALSE,"SPbrkup";#N/A,#N/A,FALSE,"MerSPsyn";#N/A,#N/A,FALSE,"MerSPwKCsyn";#N/A,#N/A,FALSE,"MerSPwKCsyn (2)";#N/A,#N/A,FALSE,"CreditStat (2)"}</definedName>
    <definedName name="dfafas" localSheetId="19" hidden="1">{#N/A,#N/A,FALSE,"CreditStat";#N/A,#N/A,FALSE,"SPbrkup";#N/A,#N/A,FALSE,"MerSPsyn";#N/A,#N/A,FALSE,"MerSPwKCsyn";#N/A,#N/A,FALSE,"MerSPwKCsyn (2)";#N/A,#N/A,FALSE,"CreditStat (2)"}</definedName>
    <definedName name="dfafas" localSheetId="17" hidden="1">{#N/A,#N/A,FALSE,"CreditStat";#N/A,#N/A,FALSE,"SPbrkup";#N/A,#N/A,FALSE,"MerSPsyn";#N/A,#N/A,FALSE,"MerSPwKCsyn";#N/A,#N/A,FALSE,"MerSPwKCsyn (2)";#N/A,#N/A,FALSE,"CreditStat (2)"}</definedName>
    <definedName name="dfafas" localSheetId="22" hidden="1">{#N/A,#N/A,FALSE,"CreditStat";#N/A,#N/A,FALSE,"SPbrkup";#N/A,#N/A,FALSE,"MerSPsyn";#N/A,#N/A,FALSE,"MerSPwKCsyn";#N/A,#N/A,FALSE,"MerSPwKCsyn (2)";#N/A,#N/A,FALSE,"CreditStat (2)"}</definedName>
    <definedName name="dfafas" localSheetId="10" hidden="1">{#N/A,#N/A,FALSE,"CreditStat";#N/A,#N/A,FALSE,"SPbrkup";#N/A,#N/A,FALSE,"MerSPsyn";#N/A,#N/A,FALSE,"MerSPwKCsyn";#N/A,#N/A,FALSE,"MerSPwKCsyn (2)";#N/A,#N/A,FALSE,"CreditStat (2)"}</definedName>
    <definedName name="dfafas" localSheetId="30" hidden="1">{#N/A,#N/A,FALSE,"CreditStat";#N/A,#N/A,FALSE,"SPbrkup";#N/A,#N/A,FALSE,"MerSPsyn";#N/A,#N/A,FALSE,"MerSPwKCsyn";#N/A,#N/A,FALSE,"MerSPwKCsyn (2)";#N/A,#N/A,FALSE,"CreditStat (2)"}</definedName>
    <definedName name="dfafas" localSheetId="0" hidden="1">{#N/A,#N/A,FALSE,"CreditStat";#N/A,#N/A,FALSE,"SPbrkup";#N/A,#N/A,FALSE,"MerSPsyn";#N/A,#N/A,FALSE,"MerSPwKCsyn";#N/A,#N/A,FALSE,"MerSPwKCsyn (2)";#N/A,#N/A,FALSE,"CreditStat (2)"}</definedName>
    <definedName name="dfafas" localSheetId="3" hidden="1">{#N/A,#N/A,FALSE,"CreditStat";#N/A,#N/A,FALSE,"SPbrkup";#N/A,#N/A,FALSE,"MerSPsyn";#N/A,#N/A,FALSE,"MerSPwKCsyn";#N/A,#N/A,FALSE,"MerSPwKCsyn (2)";#N/A,#N/A,FALSE,"CreditStat (2)"}</definedName>
    <definedName name="dfafas" localSheetId="4" hidden="1">{#N/A,#N/A,FALSE,"CreditStat";#N/A,#N/A,FALSE,"SPbrkup";#N/A,#N/A,FALSE,"MerSPsyn";#N/A,#N/A,FALSE,"MerSPwKCsyn";#N/A,#N/A,FALSE,"MerSPwKCsyn (2)";#N/A,#N/A,FALSE,"CreditStat (2)"}</definedName>
    <definedName name="dfafas" localSheetId="28" hidden="1">{#N/A,#N/A,FALSE,"CreditStat";#N/A,#N/A,FALSE,"SPbrkup";#N/A,#N/A,FALSE,"MerSPsyn";#N/A,#N/A,FALSE,"MerSPwKCsyn";#N/A,#N/A,FALSE,"MerSPwKCsyn (2)";#N/A,#N/A,FALSE,"CreditStat (2)"}</definedName>
    <definedName name="dfafas" localSheetId="33" hidden="1">{#N/A,#N/A,FALSE,"CreditStat";#N/A,#N/A,FALSE,"SPbrkup";#N/A,#N/A,FALSE,"MerSPsyn";#N/A,#N/A,FALSE,"MerSPwKCsyn";#N/A,#N/A,FALSE,"MerSPwKCsyn (2)";#N/A,#N/A,FALSE,"CreditStat (2)"}</definedName>
    <definedName name="dfafas" localSheetId="32" hidden="1">{#N/A,#N/A,FALSE,"CreditStat";#N/A,#N/A,FALSE,"SPbrkup";#N/A,#N/A,FALSE,"MerSPsyn";#N/A,#N/A,FALSE,"MerSPwKCsyn";#N/A,#N/A,FALSE,"MerSPwKCsyn (2)";#N/A,#N/A,FALSE,"CreditStat (2)"}</definedName>
    <definedName name="dfafas" localSheetId="7" hidden="1">{#N/A,#N/A,FALSE,"CreditStat";#N/A,#N/A,FALSE,"SPbrkup";#N/A,#N/A,FALSE,"MerSPsyn";#N/A,#N/A,FALSE,"MerSPwKCsyn";#N/A,#N/A,FALSE,"MerSPwKCsyn (2)";#N/A,#N/A,FALSE,"CreditStat (2)"}</definedName>
    <definedName name="dfafas" localSheetId="29" hidden="1">{#N/A,#N/A,FALSE,"CreditStat";#N/A,#N/A,FALSE,"SPbrkup";#N/A,#N/A,FALSE,"MerSPsyn";#N/A,#N/A,FALSE,"MerSPwKCsyn";#N/A,#N/A,FALSE,"MerSPwKCsyn (2)";#N/A,#N/A,FALSE,"CreditStat (2)"}</definedName>
    <definedName name="dfafas" localSheetId="1" hidden="1">{#N/A,#N/A,FALSE,"CreditStat";#N/A,#N/A,FALSE,"SPbrkup";#N/A,#N/A,FALSE,"MerSPsyn";#N/A,#N/A,FALSE,"MerSPwKCsyn";#N/A,#N/A,FALSE,"MerSPwKCsyn (2)";#N/A,#N/A,FALSE,"CreditStat (2)"}</definedName>
    <definedName name="dfafas" localSheetId="31" hidden="1">{#N/A,#N/A,FALSE,"CreditStat";#N/A,#N/A,FALSE,"SPbrkup";#N/A,#N/A,FALSE,"MerSPsyn";#N/A,#N/A,FALSE,"MerSPwKCsyn";#N/A,#N/A,FALSE,"MerSPwKCsyn (2)";#N/A,#N/A,FALSE,"CreditStat (2)"}</definedName>
    <definedName name="dfafas" hidden="1">{#N/A,#N/A,FALSE,"CreditStat";#N/A,#N/A,FALSE,"SPbrkup";#N/A,#N/A,FALSE,"MerSPsyn";#N/A,#N/A,FALSE,"MerSPwKCsyn";#N/A,#N/A,FALSE,"MerSPwKCsyn (2)";#N/A,#N/A,FALSE,"CreditStat (2)"}</definedName>
    <definedName name="dfas" localSheetId="12" hidden="1">{#N/A,#N/A,FALSE,"Contribution Analysis"}</definedName>
    <definedName name="dfas" localSheetId="18" hidden="1">{#N/A,#N/A,FALSE,"Contribution Analysis"}</definedName>
    <definedName name="dfas" localSheetId="19" hidden="1">{#N/A,#N/A,FALSE,"Contribution Analysis"}</definedName>
    <definedName name="dfas" localSheetId="17" hidden="1">{#N/A,#N/A,FALSE,"Contribution Analysis"}</definedName>
    <definedName name="dfas" localSheetId="22" hidden="1">{#N/A,#N/A,FALSE,"Contribution Analysis"}</definedName>
    <definedName name="dfas" localSheetId="10" hidden="1">{#N/A,#N/A,FALSE,"Contribution Analysis"}</definedName>
    <definedName name="dfas" localSheetId="30" hidden="1">{#N/A,#N/A,FALSE,"Contribution Analysis"}</definedName>
    <definedName name="dfas" localSheetId="0" hidden="1">{#N/A,#N/A,FALSE,"Contribution Analysis"}</definedName>
    <definedName name="dfas" localSheetId="3" hidden="1">{#N/A,#N/A,FALSE,"Contribution Analysis"}</definedName>
    <definedName name="dfas" localSheetId="4" hidden="1">{#N/A,#N/A,FALSE,"Contribution Analysis"}</definedName>
    <definedName name="dfas" localSheetId="28" hidden="1">{#N/A,#N/A,FALSE,"Contribution Analysis"}</definedName>
    <definedName name="dfas" localSheetId="33" hidden="1">{#N/A,#N/A,FALSE,"Contribution Analysis"}</definedName>
    <definedName name="dfas" localSheetId="32" hidden="1">{#N/A,#N/A,FALSE,"Contribution Analysis"}</definedName>
    <definedName name="dfas" localSheetId="7" hidden="1">{#N/A,#N/A,FALSE,"Contribution Analysis"}</definedName>
    <definedName name="dfas" localSheetId="29" hidden="1">{#N/A,#N/A,FALSE,"Contribution Analysis"}</definedName>
    <definedName name="dfas" localSheetId="1" hidden="1">{#N/A,#N/A,FALSE,"Contribution Analysis"}</definedName>
    <definedName name="dfas" localSheetId="31" hidden="1">{#N/A,#N/A,FALSE,"Contribution Analysis"}</definedName>
    <definedName name="dfas" hidden="1">{#N/A,#N/A,FALSE,"Contribution Analysis"}</definedName>
    <definedName name="dfasd" localSheetId="12" hidden="1">{"Tarifica91",#N/A,FALSE,"Tariffs";"Tarifica92",#N/A,FALSE,"Tariffs";"Tarifica93",#N/A,FALSE,"Tariffs";"Tarifica94",#N/A,FALSE,"Tariffs";"Tarifica95",#N/A,FALSE,"Tariffs";"Tarifica96",#N/A,FALSE,"Tariffs"}</definedName>
    <definedName name="dfasd" localSheetId="18" hidden="1">{"Tarifica91",#N/A,FALSE,"Tariffs";"Tarifica92",#N/A,FALSE,"Tariffs";"Tarifica93",#N/A,FALSE,"Tariffs";"Tarifica94",#N/A,FALSE,"Tariffs";"Tarifica95",#N/A,FALSE,"Tariffs";"Tarifica96",#N/A,FALSE,"Tariffs"}</definedName>
    <definedName name="dfasd" localSheetId="19" hidden="1">{"Tarifica91",#N/A,FALSE,"Tariffs";"Tarifica92",#N/A,FALSE,"Tariffs";"Tarifica93",#N/A,FALSE,"Tariffs";"Tarifica94",#N/A,FALSE,"Tariffs";"Tarifica95",#N/A,FALSE,"Tariffs";"Tarifica96",#N/A,FALSE,"Tariffs"}</definedName>
    <definedName name="dfasd" localSheetId="17" hidden="1">{"Tarifica91",#N/A,FALSE,"Tariffs";"Tarifica92",#N/A,FALSE,"Tariffs";"Tarifica93",#N/A,FALSE,"Tariffs";"Tarifica94",#N/A,FALSE,"Tariffs";"Tarifica95",#N/A,FALSE,"Tariffs";"Tarifica96",#N/A,FALSE,"Tariffs"}</definedName>
    <definedName name="dfasd" localSheetId="22" hidden="1">{"Tarifica91",#N/A,FALSE,"Tariffs";"Tarifica92",#N/A,FALSE,"Tariffs";"Tarifica93",#N/A,FALSE,"Tariffs";"Tarifica94",#N/A,FALSE,"Tariffs";"Tarifica95",#N/A,FALSE,"Tariffs";"Tarifica96",#N/A,FALSE,"Tariffs"}</definedName>
    <definedName name="dfasd" localSheetId="10" hidden="1">{"Tarifica91",#N/A,FALSE,"Tariffs";"Tarifica92",#N/A,FALSE,"Tariffs";"Tarifica93",#N/A,FALSE,"Tariffs";"Tarifica94",#N/A,FALSE,"Tariffs";"Tarifica95",#N/A,FALSE,"Tariffs";"Tarifica96",#N/A,FALSE,"Tariffs"}</definedName>
    <definedName name="dfasd" localSheetId="30" hidden="1">{"Tarifica91",#N/A,FALSE,"Tariffs";"Tarifica92",#N/A,FALSE,"Tariffs";"Tarifica93",#N/A,FALSE,"Tariffs";"Tarifica94",#N/A,FALSE,"Tariffs";"Tarifica95",#N/A,FALSE,"Tariffs";"Tarifica96",#N/A,FALSE,"Tariffs"}</definedName>
    <definedName name="dfasd" localSheetId="0" hidden="1">{"Tarifica91",#N/A,FALSE,"Tariffs";"Tarifica92",#N/A,FALSE,"Tariffs";"Tarifica93",#N/A,FALSE,"Tariffs";"Tarifica94",#N/A,FALSE,"Tariffs";"Tarifica95",#N/A,FALSE,"Tariffs";"Tarifica96",#N/A,FALSE,"Tariffs"}</definedName>
    <definedName name="dfasd" localSheetId="3" hidden="1">{"Tarifica91",#N/A,FALSE,"Tariffs";"Tarifica92",#N/A,FALSE,"Tariffs";"Tarifica93",#N/A,FALSE,"Tariffs";"Tarifica94",#N/A,FALSE,"Tariffs";"Tarifica95",#N/A,FALSE,"Tariffs";"Tarifica96",#N/A,FALSE,"Tariffs"}</definedName>
    <definedName name="dfasd" localSheetId="4" hidden="1">{"Tarifica91",#N/A,FALSE,"Tariffs";"Tarifica92",#N/A,FALSE,"Tariffs";"Tarifica93",#N/A,FALSE,"Tariffs";"Tarifica94",#N/A,FALSE,"Tariffs";"Tarifica95",#N/A,FALSE,"Tariffs";"Tarifica96",#N/A,FALSE,"Tariffs"}</definedName>
    <definedName name="dfasd" localSheetId="28" hidden="1">{"Tarifica91",#N/A,FALSE,"Tariffs";"Tarifica92",#N/A,FALSE,"Tariffs";"Tarifica93",#N/A,FALSE,"Tariffs";"Tarifica94",#N/A,FALSE,"Tariffs";"Tarifica95",#N/A,FALSE,"Tariffs";"Tarifica96",#N/A,FALSE,"Tariffs"}</definedName>
    <definedName name="dfasd" localSheetId="33" hidden="1">{"Tarifica91",#N/A,FALSE,"Tariffs";"Tarifica92",#N/A,FALSE,"Tariffs";"Tarifica93",#N/A,FALSE,"Tariffs";"Tarifica94",#N/A,FALSE,"Tariffs";"Tarifica95",#N/A,FALSE,"Tariffs";"Tarifica96",#N/A,FALSE,"Tariffs"}</definedName>
    <definedName name="dfasd" localSheetId="32" hidden="1">{"Tarifica91",#N/A,FALSE,"Tariffs";"Tarifica92",#N/A,FALSE,"Tariffs";"Tarifica93",#N/A,FALSE,"Tariffs";"Tarifica94",#N/A,FALSE,"Tariffs";"Tarifica95",#N/A,FALSE,"Tariffs";"Tarifica96",#N/A,FALSE,"Tariffs"}</definedName>
    <definedName name="dfasd" localSheetId="7" hidden="1">{"Tarifica91",#N/A,FALSE,"Tariffs";"Tarifica92",#N/A,FALSE,"Tariffs";"Tarifica93",#N/A,FALSE,"Tariffs";"Tarifica94",#N/A,FALSE,"Tariffs";"Tarifica95",#N/A,FALSE,"Tariffs";"Tarifica96",#N/A,FALSE,"Tariffs"}</definedName>
    <definedName name="dfasd" localSheetId="29" hidden="1">{"Tarifica91",#N/A,FALSE,"Tariffs";"Tarifica92",#N/A,FALSE,"Tariffs";"Tarifica93",#N/A,FALSE,"Tariffs";"Tarifica94",#N/A,FALSE,"Tariffs";"Tarifica95",#N/A,FALSE,"Tariffs";"Tarifica96",#N/A,FALSE,"Tariffs"}</definedName>
    <definedName name="dfasd" localSheetId="1" hidden="1">{"Tarifica91",#N/A,FALSE,"Tariffs";"Tarifica92",#N/A,FALSE,"Tariffs";"Tarifica93",#N/A,FALSE,"Tariffs";"Tarifica94",#N/A,FALSE,"Tariffs";"Tarifica95",#N/A,FALSE,"Tariffs";"Tarifica96",#N/A,FALSE,"Tariffs"}</definedName>
    <definedName name="dfasd" localSheetId="31" hidden="1">{"Tarifica91",#N/A,FALSE,"Tariffs";"Tarifica92",#N/A,FALSE,"Tariffs";"Tarifica93",#N/A,FALSE,"Tariffs";"Tarifica94",#N/A,FALSE,"Tariffs";"Tarifica95",#N/A,FALSE,"Tariffs";"Tarifica96",#N/A,FALSE,"Tariffs"}</definedName>
    <definedName name="dfasd" hidden="1">{"Tarifica91",#N/A,FALSE,"Tariffs";"Tarifica92",#N/A,FALSE,"Tariffs";"Tarifica93",#N/A,FALSE,"Tariffs";"Tarifica94",#N/A,FALSE,"Tariffs";"Tarifica95",#N/A,FALSE,"Tariffs";"Tarifica96",#N/A,FALSE,"Tariffs"}</definedName>
    <definedName name="dfasdfa" localSheetId="12" hidden="1">{"mgmt forecast",#N/A,FALSE,"Mgmt Forecast";"dcf table",#N/A,FALSE,"Mgmt Forecast";"sensitivity",#N/A,FALSE,"Mgmt Forecast";"table inputs",#N/A,FALSE,"Mgmt Forecast";"calculations",#N/A,FALSE,"Mgmt Forecast"}</definedName>
    <definedName name="dfasdfa" localSheetId="18" hidden="1">{"mgmt forecast",#N/A,FALSE,"Mgmt Forecast";"dcf table",#N/A,FALSE,"Mgmt Forecast";"sensitivity",#N/A,FALSE,"Mgmt Forecast";"table inputs",#N/A,FALSE,"Mgmt Forecast";"calculations",#N/A,FALSE,"Mgmt Forecast"}</definedName>
    <definedName name="dfasdfa" localSheetId="19" hidden="1">{"mgmt forecast",#N/A,FALSE,"Mgmt Forecast";"dcf table",#N/A,FALSE,"Mgmt Forecast";"sensitivity",#N/A,FALSE,"Mgmt Forecast";"table inputs",#N/A,FALSE,"Mgmt Forecast";"calculations",#N/A,FALSE,"Mgmt Forecast"}</definedName>
    <definedName name="dfasdfa" localSheetId="17" hidden="1">{"mgmt forecast",#N/A,FALSE,"Mgmt Forecast";"dcf table",#N/A,FALSE,"Mgmt Forecast";"sensitivity",#N/A,FALSE,"Mgmt Forecast";"table inputs",#N/A,FALSE,"Mgmt Forecast";"calculations",#N/A,FALSE,"Mgmt Forecast"}</definedName>
    <definedName name="dfasdfa" localSheetId="22" hidden="1">{"mgmt forecast",#N/A,FALSE,"Mgmt Forecast";"dcf table",#N/A,FALSE,"Mgmt Forecast";"sensitivity",#N/A,FALSE,"Mgmt Forecast";"table inputs",#N/A,FALSE,"Mgmt Forecast";"calculations",#N/A,FALSE,"Mgmt Forecast"}</definedName>
    <definedName name="dfasdfa" localSheetId="10" hidden="1">{"mgmt forecast",#N/A,FALSE,"Mgmt Forecast";"dcf table",#N/A,FALSE,"Mgmt Forecast";"sensitivity",#N/A,FALSE,"Mgmt Forecast";"table inputs",#N/A,FALSE,"Mgmt Forecast";"calculations",#N/A,FALSE,"Mgmt Forecast"}</definedName>
    <definedName name="dfasdfa" localSheetId="30" hidden="1">{"mgmt forecast",#N/A,FALSE,"Mgmt Forecast";"dcf table",#N/A,FALSE,"Mgmt Forecast";"sensitivity",#N/A,FALSE,"Mgmt Forecast";"table inputs",#N/A,FALSE,"Mgmt Forecast";"calculations",#N/A,FALSE,"Mgmt Forecast"}</definedName>
    <definedName name="dfasdfa" localSheetId="0" hidden="1">{"mgmt forecast",#N/A,FALSE,"Mgmt Forecast";"dcf table",#N/A,FALSE,"Mgmt Forecast";"sensitivity",#N/A,FALSE,"Mgmt Forecast";"table inputs",#N/A,FALSE,"Mgmt Forecast";"calculations",#N/A,FALSE,"Mgmt Forecast"}</definedName>
    <definedName name="dfasdfa" localSheetId="3" hidden="1">{"mgmt forecast",#N/A,FALSE,"Mgmt Forecast";"dcf table",#N/A,FALSE,"Mgmt Forecast";"sensitivity",#N/A,FALSE,"Mgmt Forecast";"table inputs",#N/A,FALSE,"Mgmt Forecast";"calculations",#N/A,FALSE,"Mgmt Forecast"}</definedName>
    <definedName name="dfasdfa" localSheetId="4" hidden="1">{"mgmt forecast",#N/A,FALSE,"Mgmt Forecast";"dcf table",#N/A,FALSE,"Mgmt Forecast";"sensitivity",#N/A,FALSE,"Mgmt Forecast";"table inputs",#N/A,FALSE,"Mgmt Forecast";"calculations",#N/A,FALSE,"Mgmt Forecast"}</definedName>
    <definedName name="dfasdfa" localSheetId="28" hidden="1">{"mgmt forecast",#N/A,FALSE,"Mgmt Forecast";"dcf table",#N/A,FALSE,"Mgmt Forecast";"sensitivity",#N/A,FALSE,"Mgmt Forecast";"table inputs",#N/A,FALSE,"Mgmt Forecast";"calculations",#N/A,FALSE,"Mgmt Forecast"}</definedName>
    <definedName name="dfasdfa" localSheetId="33" hidden="1">{"mgmt forecast",#N/A,FALSE,"Mgmt Forecast";"dcf table",#N/A,FALSE,"Mgmt Forecast";"sensitivity",#N/A,FALSE,"Mgmt Forecast";"table inputs",#N/A,FALSE,"Mgmt Forecast";"calculations",#N/A,FALSE,"Mgmt Forecast"}</definedName>
    <definedName name="dfasdfa" localSheetId="32" hidden="1">{"mgmt forecast",#N/A,FALSE,"Mgmt Forecast";"dcf table",#N/A,FALSE,"Mgmt Forecast";"sensitivity",#N/A,FALSE,"Mgmt Forecast";"table inputs",#N/A,FALSE,"Mgmt Forecast";"calculations",#N/A,FALSE,"Mgmt Forecast"}</definedName>
    <definedName name="dfasdfa" localSheetId="7" hidden="1">{"mgmt forecast",#N/A,FALSE,"Mgmt Forecast";"dcf table",#N/A,FALSE,"Mgmt Forecast";"sensitivity",#N/A,FALSE,"Mgmt Forecast";"table inputs",#N/A,FALSE,"Mgmt Forecast";"calculations",#N/A,FALSE,"Mgmt Forecast"}</definedName>
    <definedName name="dfasdfa" localSheetId="29" hidden="1">{"mgmt forecast",#N/A,FALSE,"Mgmt Forecast";"dcf table",#N/A,FALSE,"Mgmt Forecast";"sensitivity",#N/A,FALSE,"Mgmt Forecast";"table inputs",#N/A,FALSE,"Mgmt Forecast";"calculations",#N/A,FALSE,"Mgmt Forecast"}</definedName>
    <definedName name="dfasdfa" localSheetId="1" hidden="1">{"mgmt forecast",#N/A,FALSE,"Mgmt Forecast";"dcf table",#N/A,FALSE,"Mgmt Forecast";"sensitivity",#N/A,FALSE,"Mgmt Forecast";"table inputs",#N/A,FALSE,"Mgmt Forecast";"calculations",#N/A,FALSE,"Mgmt Forecast"}</definedName>
    <definedName name="dfasdfa" localSheetId="31" hidden="1">{"mgmt forecast",#N/A,FALSE,"Mgmt Forecast";"dcf table",#N/A,FALSE,"Mgmt Forecast";"sensitivity",#N/A,FALSE,"Mgmt Forecast";"table inputs",#N/A,FALSE,"Mgmt Forecast";"calculations",#N/A,FALSE,"Mgmt Forecast"}</definedName>
    <definedName name="dfasdfa" hidden="1">{"mgmt forecast",#N/A,FALSE,"Mgmt Forecast";"dcf table",#N/A,FALSE,"Mgmt Forecast";"sensitivity",#N/A,FALSE,"Mgmt Forecast";"table inputs",#N/A,FALSE,"Mgmt Forecast";"calculations",#N/A,FALSE,"Mgmt Forecast"}</definedName>
    <definedName name="dfasdfc" localSheetId="12" hidden="1">{"coverall",#N/A,FALSE,"Definitions";"cover1",#N/A,FALSE,"Definitions";"cover2",#N/A,FALSE,"Definitions";"cover3",#N/A,FALSE,"Definitions";"cover4",#N/A,FALSE,"Definitions";"cover5",#N/A,FALSE,"Definitions";"blank",#N/A,FALSE,"Definitions"}</definedName>
    <definedName name="dfasdfc" localSheetId="18" hidden="1">{"coverall",#N/A,FALSE,"Definitions";"cover1",#N/A,FALSE,"Definitions";"cover2",#N/A,FALSE,"Definitions";"cover3",#N/A,FALSE,"Definitions";"cover4",#N/A,FALSE,"Definitions";"cover5",#N/A,FALSE,"Definitions";"blank",#N/A,FALSE,"Definitions"}</definedName>
    <definedName name="dfasdfc" localSheetId="19" hidden="1">{"coverall",#N/A,FALSE,"Definitions";"cover1",#N/A,FALSE,"Definitions";"cover2",#N/A,FALSE,"Definitions";"cover3",#N/A,FALSE,"Definitions";"cover4",#N/A,FALSE,"Definitions";"cover5",#N/A,FALSE,"Definitions";"blank",#N/A,FALSE,"Definitions"}</definedName>
    <definedName name="dfasdfc" localSheetId="17" hidden="1">{"coverall",#N/A,FALSE,"Definitions";"cover1",#N/A,FALSE,"Definitions";"cover2",#N/A,FALSE,"Definitions";"cover3",#N/A,FALSE,"Definitions";"cover4",#N/A,FALSE,"Definitions";"cover5",#N/A,FALSE,"Definitions";"blank",#N/A,FALSE,"Definitions"}</definedName>
    <definedName name="dfasdfc" localSheetId="22" hidden="1">{"coverall",#N/A,FALSE,"Definitions";"cover1",#N/A,FALSE,"Definitions";"cover2",#N/A,FALSE,"Definitions";"cover3",#N/A,FALSE,"Definitions";"cover4",#N/A,FALSE,"Definitions";"cover5",#N/A,FALSE,"Definitions";"blank",#N/A,FALSE,"Definitions"}</definedName>
    <definedName name="dfasdfc" localSheetId="10" hidden="1">{"coverall",#N/A,FALSE,"Definitions";"cover1",#N/A,FALSE,"Definitions";"cover2",#N/A,FALSE,"Definitions";"cover3",#N/A,FALSE,"Definitions";"cover4",#N/A,FALSE,"Definitions";"cover5",#N/A,FALSE,"Definitions";"blank",#N/A,FALSE,"Definitions"}</definedName>
    <definedName name="dfasdfc" localSheetId="30" hidden="1">{"coverall",#N/A,FALSE,"Definitions";"cover1",#N/A,FALSE,"Definitions";"cover2",#N/A,FALSE,"Definitions";"cover3",#N/A,FALSE,"Definitions";"cover4",#N/A,FALSE,"Definitions";"cover5",#N/A,FALSE,"Definitions";"blank",#N/A,FALSE,"Definitions"}</definedName>
    <definedName name="dfasdfc" localSheetId="0" hidden="1">{"coverall",#N/A,FALSE,"Definitions";"cover1",#N/A,FALSE,"Definitions";"cover2",#N/A,FALSE,"Definitions";"cover3",#N/A,FALSE,"Definitions";"cover4",#N/A,FALSE,"Definitions";"cover5",#N/A,FALSE,"Definitions";"blank",#N/A,FALSE,"Definitions"}</definedName>
    <definedName name="dfasdfc" localSheetId="3" hidden="1">{"coverall",#N/A,FALSE,"Definitions";"cover1",#N/A,FALSE,"Definitions";"cover2",#N/A,FALSE,"Definitions";"cover3",#N/A,FALSE,"Definitions";"cover4",#N/A,FALSE,"Definitions";"cover5",#N/A,FALSE,"Definitions";"blank",#N/A,FALSE,"Definitions"}</definedName>
    <definedName name="dfasdfc" localSheetId="4" hidden="1">{"coverall",#N/A,FALSE,"Definitions";"cover1",#N/A,FALSE,"Definitions";"cover2",#N/A,FALSE,"Definitions";"cover3",#N/A,FALSE,"Definitions";"cover4",#N/A,FALSE,"Definitions";"cover5",#N/A,FALSE,"Definitions";"blank",#N/A,FALSE,"Definitions"}</definedName>
    <definedName name="dfasdfc" localSheetId="28" hidden="1">{"coverall",#N/A,FALSE,"Definitions";"cover1",#N/A,FALSE,"Definitions";"cover2",#N/A,FALSE,"Definitions";"cover3",#N/A,FALSE,"Definitions";"cover4",#N/A,FALSE,"Definitions";"cover5",#N/A,FALSE,"Definitions";"blank",#N/A,FALSE,"Definitions"}</definedName>
    <definedName name="dfasdfc" localSheetId="33" hidden="1">{"coverall",#N/A,FALSE,"Definitions";"cover1",#N/A,FALSE,"Definitions";"cover2",#N/A,FALSE,"Definitions";"cover3",#N/A,FALSE,"Definitions";"cover4",#N/A,FALSE,"Definitions";"cover5",#N/A,FALSE,"Definitions";"blank",#N/A,FALSE,"Definitions"}</definedName>
    <definedName name="dfasdfc" localSheetId="32" hidden="1">{"coverall",#N/A,FALSE,"Definitions";"cover1",#N/A,FALSE,"Definitions";"cover2",#N/A,FALSE,"Definitions";"cover3",#N/A,FALSE,"Definitions";"cover4",#N/A,FALSE,"Definitions";"cover5",#N/A,FALSE,"Definitions";"blank",#N/A,FALSE,"Definitions"}</definedName>
    <definedName name="dfasdfc" localSheetId="7" hidden="1">{"coverall",#N/A,FALSE,"Definitions";"cover1",#N/A,FALSE,"Definitions";"cover2",#N/A,FALSE,"Definitions";"cover3",#N/A,FALSE,"Definitions";"cover4",#N/A,FALSE,"Definitions";"cover5",#N/A,FALSE,"Definitions";"blank",#N/A,FALSE,"Definitions"}</definedName>
    <definedName name="dfasdfc" localSheetId="29" hidden="1">{"coverall",#N/A,FALSE,"Definitions";"cover1",#N/A,FALSE,"Definitions";"cover2",#N/A,FALSE,"Definitions";"cover3",#N/A,FALSE,"Definitions";"cover4",#N/A,FALSE,"Definitions";"cover5",#N/A,FALSE,"Definitions";"blank",#N/A,FALSE,"Definitions"}</definedName>
    <definedName name="dfasdfc" localSheetId="1" hidden="1">{"coverall",#N/A,FALSE,"Definitions";"cover1",#N/A,FALSE,"Definitions";"cover2",#N/A,FALSE,"Definitions";"cover3",#N/A,FALSE,"Definitions";"cover4",#N/A,FALSE,"Definitions";"cover5",#N/A,FALSE,"Definitions";"blank",#N/A,FALSE,"Definitions"}</definedName>
    <definedName name="dfasdfc" localSheetId="31" hidden="1">{"coverall",#N/A,FALSE,"Definitions";"cover1",#N/A,FALSE,"Definitions";"cover2",#N/A,FALSE,"Definitions";"cover3",#N/A,FALSE,"Definitions";"cover4",#N/A,FALSE,"Definitions";"cover5",#N/A,FALSE,"Definitions";"blank",#N/A,FALSE,"Definitions"}</definedName>
    <definedName name="dfasdfc" hidden="1">{"coverall",#N/A,FALSE,"Definitions";"cover1",#N/A,FALSE,"Definitions";"cover2",#N/A,FALSE,"Definitions";"cover3",#N/A,FALSE,"Definitions";"cover4",#N/A,FALSE,"Definitions";"cover5",#N/A,FALSE,"Definitions";"blank",#N/A,FALSE,"Definitions"}</definedName>
    <definedName name="dhdhd" localSheetId="12"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hdhd" localSheetId="18"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hdhd" localSheetId="19"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hdhd" localSheetId="17"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hdhd" localSheetId="22"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hdhd" localSheetId="10"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hdhd" localSheetId="30"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hdhd" localSheetId="0"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hdhd" localSheetId="3"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hdhd" localSheetId="4"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hdhd" localSheetId="28"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hdhd" localSheetId="33"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hdhd" localSheetId="32"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hdhd" localSheetId="7"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hdhd" localSheetId="29"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hdhd" localSheetId="1"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hdhd" localSheetId="31"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hdhd"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qpoie" localSheetId="12" hidden="1">{"subs",#N/A,FALSE,"database ";"proportional",#N/A,FALSE,"database "}</definedName>
    <definedName name="dqpoie" localSheetId="18" hidden="1">{"subs",#N/A,FALSE,"database ";"proportional",#N/A,FALSE,"database "}</definedName>
    <definedName name="dqpoie" localSheetId="19" hidden="1">{"subs",#N/A,FALSE,"database ";"proportional",#N/A,FALSE,"database "}</definedName>
    <definedName name="dqpoie" localSheetId="17" hidden="1">{"subs",#N/A,FALSE,"database ";"proportional",#N/A,FALSE,"database "}</definedName>
    <definedName name="dqpoie" localSheetId="22" hidden="1">{"subs",#N/A,FALSE,"database ";"proportional",#N/A,FALSE,"database "}</definedName>
    <definedName name="dqpoie" localSheetId="10" hidden="1">{"subs",#N/A,FALSE,"database ";"proportional",#N/A,FALSE,"database "}</definedName>
    <definedName name="dqpoie" localSheetId="30" hidden="1">{"subs",#N/A,FALSE,"database ";"proportional",#N/A,FALSE,"database "}</definedName>
    <definedName name="dqpoie" localSheetId="0" hidden="1">{"subs",#N/A,FALSE,"database ";"proportional",#N/A,FALSE,"database "}</definedName>
    <definedName name="dqpoie" localSheetId="3" hidden="1">{"subs",#N/A,FALSE,"database ";"proportional",#N/A,FALSE,"database "}</definedName>
    <definedName name="dqpoie" localSheetId="4" hidden="1">{"subs",#N/A,FALSE,"database ";"proportional",#N/A,FALSE,"database "}</definedName>
    <definedName name="dqpoie" localSheetId="28" hidden="1">{"subs",#N/A,FALSE,"database ";"proportional",#N/A,FALSE,"database "}</definedName>
    <definedName name="dqpoie" localSheetId="33" hidden="1">{"subs",#N/A,FALSE,"database ";"proportional",#N/A,FALSE,"database "}</definedName>
    <definedName name="dqpoie" localSheetId="32" hidden="1">{"subs",#N/A,FALSE,"database ";"proportional",#N/A,FALSE,"database "}</definedName>
    <definedName name="dqpoie" localSheetId="7" hidden="1">{"subs",#N/A,FALSE,"database ";"proportional",#N/A,FALSE,"database "}</definedName>
    <definedName name="dqpoie" localSheetId="29" hidden="1">{"subs",#N/A,FALSE,"database ";"proportional",#N/A,FALSE,"database "}</definedName>
    <definedName name="dqpoie" localSheetId="1" hidden="1">{"subs",#N/A,FALSE,"database ";"proportional",#N/A,FALSE,"database "}</definedName>
    <definedName name="dqpoie" localSheetId="31" hidden="1">{"subs",#N/A,FALSE,"database ";"proportional",#N/A,FALSE,"database "}</definedName>
    <definedName name="dqpoie" hidden="1">{"subs",#N/A,FALSE,"database ";"proportional",#N/A,FALSE,"database "}</definedName>
    <definedName name="dxsdw" localSheetId="12" hidden="1">{"sweden",#N/A,FALSE,"Sweden";"germany",#N/A,FALSE,"Germany";"portugal",#N/A,FALSE,"Portugal";"belgium",#N/A,FALSE,"Belgium";"japan",#N/A,FALSE,"Japan ";"italy",#N/A,FALSE,"Italy";"spain",#N/A,FALSE,"Spain";"korea",#N/A,FALSE,"Korea"}</definedName>
    <definedName name="dxsdw" localSheetId="18" hidden="1">{"sweden",#N/A,FALSE,"Sweden";"germany",#N/A,FALSE,"Germany";"portugal",#N/A,FALSE,"Portugal";"belgium",#N/A,FALSE,"Belgium";"japan",#N/A,FALSE,"Japan ";"italy",#N/A,FALSE,"Italy";"spain",#N/A,FALSE,"Spain";"korea",#N/A,FALSE,"Korea"}</definedName>
    <definedName name="dxsdw" localSheetId="19" hidden="1">{"sweden",#N/A,FALSE,"Sweden";"germany",#N/A,FALSE,"Germany";"portugal",#N/A,FALSE,"Portugal";"belgium",#N/A,FALSE,"Belgium";"japan",#N/A,FALSE,"Japan ";"italy",#N/A,FALSE,"Italy";"spain",#N/A,FALSE,"Spain";"korea",#N/A,FALSE,"Korea"}</definedName>
    <definedName name="dxsdw" localSheetId="17" hidden="1">{"sweden",#N/A,FALSE,"Sweden";"germany",#N/A,FALSE,"Germany";"portugal",#N/A,FALSE,"Portugal";"belgium",#N/A,FALSE,"Belgium";"japan",#N/A,FALSE,"Japan ";"italy",#N/A,FALSE,"Italy";"spain",#N/A,FALSE,"Spain";"korea",#N/A,FALSE,"Korea"}</definedName>
    <definedName name="dxsdw" localSheetId="22" hidden="1">{"sweden",#N/A,FALSE,"Sweden";"germany",#N/A,FALSE,"Germany";"portugal",#N/A,FALSE,"Portugal";"belgium",#N/A,FALSE,"Belgium";"japan",#N/A,FALSE,"Japan ";"italy",#N/A,FALSE,"Italy";"spain",#N/A,FALSE,"Spain";"korea",#N/A,FALSE,"Korea"}</definedName>
    <definedName name="dxsdw" localSheetId="10" hidden="1">{"sweden",#N/A,FALSE,"Sweden";"germany",#N/A,FALSE,"Germany";"portugal",#N/A,FALSE,"Portugal";"belgium",#N/A,FALSE,"Belgium";"japan",#N/A,FALSE,"Japan ";"italy",#N/A,FALSE,"Italy";"spain",#N/A,FALSE,"Spain";"korea",#N/A,FALSE,"Korea"}</definedName>
    <definedName name="dxsdw" localSheetId="30" hidden="1">{"sweden",#N/A,FALSE,"Sweden";"germany",#N/A,FALSE,"Germany";"portugal",#N/A,FALSE,"Portugal";"belgium",#N/A,FALSE,"Belgium";"japan",#N/A,FALSE,"Japan ";"italy",#N/A,FALSE,"Italy";"spain",#N/A,FALSE,"Spain";"korea",#N/A,FALSE,"Korea"}</definedName>
    <definedName name="dxsdw" localSheetId="0" hidden="1">{"sweden",#N/A,FALSE,"Sweden";"germany",#N/A,FALSE,"Germany";"portugal",#N/A,FALSE,"Portugal";"belgium",#N/A,FALSE,"Belgium";"japan",#N/A,FALSE,"Japan ";"italy",#N/A,FALSE,"Italy";"spain",#N/A,FALSE,"Spain";"korea",#N/A,FALSE,"Korea"}</definedName>
    <definedName name="dxsdw" localSheetId="3" hidden="1">{"sweden",#N/A,FALSE,"Sweden";"germany",#N/A,FALSE,"Germany";"portugal",#N/A,FALSE,"Portugal";"belgium",#N/A,FALSE,"Belgium";"japan",#N/A,FALSE,"Japan ";"italy",#N/A,FALSE,"Italy";"spain",#N/A,FALSE,"Spain";"korea",#N/A,FALSE,"Korea"}</definedName>
    <definedName name="dxsdw" localSheetId="4" hidden="1">{"sweden",#N/A,FALSE,"Sweden";"germany",#N/A,FALSE,"Germany";"portugal",#N/A,FALSE,"Portugal";"belgium",#N/A,FALSE,"Belgium";"japan",#N/A,FALSE,"Japan ";"italy",#N/A,FALSE,"Italy";"spain",#N/A,FALSE,"Spain";"korea",#N/A,FALSE,"Korea"}</definedName>
    <definedName name="dxsdw" localSheetId="28" hidden="1">{"sweden",#N/A,FALSE,"Sweden";"germany",#N/A,FALSE,"Germany";"portugal",#N/A,FALSE,"Portugal";"belgium",#N/A,FALSE,"Belgium";"japan",#N/A,FALSE,"Japan ";"italy",#N/A,FALSE,"Italy";"spain",#N/A,FALSE,"Spain";"korea",#N/A,FALSE,"Korea"}</definedName>
    <definedName name="dxsdw" localSheetId="33" hidden="1">{"sweden",#N/A,FALSE,"Sweden";"germany",#N/A,FALSE,"Germany";"portugal",#N/A,FALSE,"Portugal";"belgium",#N/A,FALSE,"Belgium";"japan",#N/A,FALSE,"Japan ";"italy",#N/A,FALSE,"Italy";"spain",#N/A,FALSE,"Spain";"korea",#N/A,FALSE,"Korea"}</definedName>
    <definedName name="dxsdw" localSheetId="32" hidden="1">{"sweden",#N/A,FALSE,"Sweden";"germany",#N/A,FALSE,"Germany";"portugal",#N/A,FALSE,"Portugal";"belgium",#N/A,FALSE,"Belgium";"japan",#N/A,FALSE,"Japan ";"italy",#N/A,FALSE,"Italy";"spain",#N/A,FALSE,"Spain";"korea",#N/A,FALSE,"Korea"}</definedName>
    <definedName name="dxsdw" localSheetId="7" hidden="1">{"sweden",#N/A,FALSE,"Sweden";"germany",#N/A,FALSE,"Germany";"portugal",#N/A,FALSE,"Portugal";"belgium",#N/A,FALSE,"Belgium";"japan",#N/A,FALSE,"Japan ";"italy",#N/A,FALSE,"Italy";"spain",#N/A,FALSE,"Spain";"korea",#N/A,FALSE,"Korea"}</definedName>
    <definedName name="dxsdw" localSheetId="29" hidden="1">{"sweden",#N/A,FALSE,"Sweden";"germany",#N/A,FALSE,"Germany";"portugal",#N/A,FALSE,"Portugal";"belgium",#N/A,FALSE,"Belgium";"japan",#N/A,FALSE,"Japan ";"italy",#N/A,FALSE,"Italy";"spain",#N/A,FALSE,"Spain";"korea",#N/A,FALSE,"Korea"}</definedName>
    <definedName name="dxsdw" localSheetId="1" hidden="1">{"sweden",#N/A,FALSE,"Sweden";"germany",#N/A,FALSE,"Germany";"portugal",#N/A,FALSE,"Portugal";"belgium",#N/A,FALSE,"Belgium";"japan",#N/A,FALSE,"Japan ";"italy",#N/A,FALSE,"Italy";"spain",#N/A,FALSE,"Spain";"korea",#N/A,FALSE,"Korea"}</definedName>
    <definedName name="dxsdw" localSheetId="31" hidden="1">{"sweden",#N/A,FALSE,"Sweden";"germany",#N/A,FALSE,"Germany";"portugal",#N/A,FALSE,"Portugal";"belgium",#N/A,FALSE,"Belgium";"japan",#N/A,FALSE,"Japan ";"italy",#N/A,FALSE,"Italy";"spain",#N/A,FALSE,"Spain";"korea",#N/A,FALSE,"Korea"}</definedName>
    <definedName name="dxsdw" hidden="1">{"sweden",#N/A,FALSE,"Sweden";"germany",#N/A,FALSE,"Germany";"portugal",#N/A,FALSE,"Portugal";"belgium",#N/A,FALSE,"Belgium";"japan",#N/A,FALSE,"Japan ";"italy",#N/A,FALSE,"Italy";"spain",#N/A,FALSE,"Spain";"korea",#N/A,FALSE,"Korea"}</definedName>
    <definedName name="EGP_REF" localSheetId="0">#REF!</definedName>
    <definedName name="EGP_REF" localSheetId="28">#REF!</definedName>
    <definedName name="EGP_REF" localSheetId="7">#REF!</definedName>
    <definedName name="EGP_REF" localSheetId="29">#REF!</definedName>
    <definedName name="EGP_REF" localSheetId="31">#REF!</definedName>
    <definedName name="EGP_REF">#REF!</definedName>
    <definedName name="Egp_ref_" localSheetId="7">#REF!</definedName>
    <definedName name="EGP_UP" localSheetId="0">#REF!</definedName>
    <definedName name="EGP_UP" localSheetId="28">#REF!</definedName>
    <definedName name="EGP_UP" localSheetId="7">#REF!</definedName>
    <definedName name="EGP_UP" localSheetId="29">#REF!</definedName>
    <definedName name="EGP_UP" localSheetId="31">#REF!</definedName>
    <definedName name="EGP_UP">#REF!</definedName>
    <definedName name="emc" localSheetId="7">#REF!</definedName>
    <definedName name="erqerq" localSheetId="12" hidden="1">{"Tariff Comparison",#N/A,FALSE,"Benchmarking";"Tariff Comparison 2",#N/A,FALSE,"Benchmarking";"Tariff Comparison 3",#N/A,FALSE,"Benchmarking"}</definedName>
    <definedName name="erqerq" localSheetId="18" hidden="1">{"Tariff Comparison",#N/A,FALSE,"Benchmarking";"Tariff Comparison 2",#N/A,FALSE,"Benchmarking";"Tariff Comparison 3",#N/A,FALSE,"Benchmarking"}</definedName>
    <definedName name="erqerq" localSheetId="19" hidden="1">{"Tariff Comparison",#N/A,FALSE,"Benchmarking";"Tariff Comparison 2",#N/A,FALSE,"Benchmarking";"Tariff Comparison 3",#N/A,FALSE,"Benchmarking"}</definedName>
    <definedName name="erqerq" localSheetId="17" hidden="1">{"Tariff Comparison",#N/A,FALSE,"Benchmarking";"Tariff Comparison 2",#N/A,FALSE,"Benchmarking";"Tariff Comparison 3",#N/A,FALSE,"Benchmarking"}</definedName>
    <definedName name="erqerq" localSheetId="22" hidden="1">{"Tariff Comparison",#N/A,FALSE,"Benchmarking";"Tariff Comparison 2",#N/A,FALSE,"Benchmarking";"Tariff Comparison 3",#N/A,FALSE,"Benchmarking"}</definedName>
    <definedName name="erqerq" localSheetId="10" hidden="1">{"Tariff Comparison",#N/A,FALSE,"Benchmarking";"Tariff Comparison 2",#N/A,FALSE,"Benchmarking";"Tariff Comparison 3",#N/A,FALSE,"Benchmarking"}</definedName>
    <definedName name="erqerq" localSheetId="30" hidden="1">{"Tariff Comparison",#N/A,FALSE,"Benchmarking";"Tariff Comparison 2",#N/A,FALSE,"Benchmarking";"Tariff Comparison 3",#N/A,FALSE,"Benchmarking"}</definedName>
    <definedName name="erqerq" localSheetId="0" hidden="1">{"Tariff Comparison",#N/A,FALSE,"Benchmarking";"Tariff Comparison 2",#N/A,FALSE,"Benchmarking";"Tariff Comparison 3",#N/A,FALSE,"Benchmarking"}</definedName>
    <definedName name="erqerq" localSheetId="3" hidden="1">{"Tariff Comparison",#N/A,FALSE,"Benchmarking";"Tariff Comparison 2",#N/A,FALSE,"Benchmarking";"Tariff Comparison 3",#N/A,FALSE,"Benchmarking"}</definedName>
    <definedName name="erqerq" localSheetId="4" hidden="1">{"Tariff Comparison",#N/A,FALSE,"Benchmarking";"Tariff Comparison 2",#N/A,FALSE,"Benchmarking";"Tariff Comparison 3",#N/A,FALSE,"Benchmarking"}</definedName>
    <definedName name="erqerq" localSheetId="28" hidden="1">{"Tariff Comparison",#N/A,FALSE,"Benchmarking";"Tariff Comparison 2",#N/A,FALSE,"Benchmarking";"Tariff Comparison 3",#N/A,FALSE,"Benchmarking"}</definedName>
    <definedName name="erqerq" localSheetId="33" hidden="1">{"Tariff Comparison",#N/A,FALSE,"Benchmarking";"Tariff Comparison 2",#N/A,FALSE,"Benchmarking";"Tariff Comparison 3",#N/A,FALSE,"Benchmarking"}</definedName>
    <definedName name="erqerq" localSheetId="32" hidden="1">{"Tariff Comparison",#N/A,FALSE,"Benchmarking";"Tariff Comparison 2",#N/A,FALSE,"Benchmarking";"Tariff Comparison 3",#N/A,FALSE,"Benchmarking"}</definedName>
    <definedName name="erqerq" localSheetId="7" hidden="1">{"Tariff Comparison",#N/A,FALSE,"Benchmarking";"Tariff Comparison 2",#N/A,FALSE,"Benchmarking";"Tariff Comparison 3",#N/A,FALSE,"Benchmarking"}</definedName>
    <definedName name="erqerq" localSheetId="29" hidden="1">{"Tariff Comparison",#N/A,FALSE,"Benchmarking";"Tariff Comparison 2",#N/A,FALSE,"Benchmarking";"Tariff Comparison 3",#N/A,FALSE,"Benchmarking"}</definedName>
    <definedName name="erqerq" localSheetId="1" hidden="1">{"Tariff Comparison",#N/A,FALSE,"Benchmarking";"Tariff Comparison 2",#N/A,FALSE,"Benchmarking";"Tariff Comparison 3",#N/A,FALSE,"Benchmarking"}</definedName>
    <definedName name="erqerq" localSheetId="31" hidden="1">{"Tariff Comparison",#N/A,FALSE,"Benchmarking";"Tariff Comparison 2",#N/A,FALSE,"Benchmarking";"Tariff Comparison 3",#N/A,FALSE,"Benchmarking"}</definedName>
    <definedName name="erqerq" hidden="1">{"Tariff Comparison",#N/A,FALSE,"Benchmarking";"Tariff Comparison 2",#N/A,FALSE,"Benchmarking";"Tariff Comparison 3",#N/A,FALSE,"Benchmarking"}</definedName>
    <definedName name="erqw" localSheetId="12"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erqw" localSheetId="18"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erqw" localSheetId="19"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erqw" localSheetId="17"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erqw" localSheetId="22"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erqw" localSheetId="10"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erqw" localSheetId="30"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erqw" localSheetId="0"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erqw" localSheetId="3"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erqw"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erqw" localSheetId="28"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erqw" localSheetId="33"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erqw" localSheetId="32"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erqw" localSheetId="7"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erqw" localSheetId="29"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erqw" localSheetId="1"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erqw" localSheetId="31"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erqw"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ev.Calculation" hidden="1">-4135</definedName>
    <definedName name="ev.Initialized" hidden="1">FALSE</definedName>
    <definedName name="fadf" localSheetId="12"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df" localSheetId="18"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df" localSheetId="19"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df" localSheetId="17"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df" localSheetId="22"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df" localSheetId="10"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df" localSheetId="30"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df" localSheetId="0"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df" localSheetId="3"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df" localSheetId="4"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df" localSheetId="28"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df" localSheetId="33"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df" localSheetId="32"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df" localSheetId="7"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df" localSheetId="29"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df" localSheetId="1"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df" localSheetId="31"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df"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ds" localSheetId="12" hidden="1">{#N/A,#N/A,FALSE,"Report Print"}</definedName>
    <definedName name="fads" localSheetId="18" hidden="1">{#N/A,#N/A,FALSE,"Report Print"}</definedName>
    <definedName name="fads" localSheetId="19" hidden="1">{#N/A,#N/A,FALSE,"Report Print"}</definedName>
    <definedName name="fads" localSheetId="17" hidden="1">{#N/A,#N/A,FALSE,"Report Print"}</definedName>
    <definedName name="fads" localSheetId="22" hidden="1">{#N/A,#N/A,FALSE,"Report Print"}</definedName>
    <definedName name="fads" localSheetId="10" hidden="1">{#N/A,#N/A,FALSE,"Report Print"}</definedName>
    <definedName name="fads" localSheetId="30" hidden="1">{#N/A,#N/A,FALSE,"Report Print"}</definedName>
    <definedName name="fads" localSheetId="0" hidden="1">{#N/A,#N/A,FALSE,"Report Print"}</definedName>
    <definedName name="fads" localSheetId="3" hidden="1">{#N/A,#N/A,FALSE,"Report Print"}</definedName>
    <definedName name="fads" localSheetId="4" hidden="1">{#N/A,#N/A,FALSE,"Report Print"}</definedName>
    <definedName name="fads" localSheetId="28" hidden="1">{#N/A,#N/A,FALSE,"Report Print"}</definedName>
    <definedName name="fads" localSheetId="33" hidden="1">{#N/A,#N/A,FALSE,"Report Print"}</definedName>
    <definedName name="fads" localSheetId="32" hidden="1">{#N/A,#N/A,FALSE,"Report Print"}</definedName>
    <definedName name="fads" localSheetId="7" hidden="1">{#N/A,#N/A,FALSE,"Report Print"}</definedName>
    <definedName name="fads" localSheetId="29" hidden="1">{#N/A,#N/A,FALSE,"Report Print"}</definedName>
    <definedName name="fads" localSheetId="1" hidden="1">{#N/A,#N/A,FALSE,"Report Print"}</definedName>
    <definedName name="fads" localSheetId="31" hidden="1">{#N/A,#N/A,FALSE,"Report Print"}</definedName>
    <definedName name="fads" hidden="1">{#N/A,#N/A,FALSE,"Report Print"}</definedName>
    <definedName name="fadsaf" localSheetId="12" hidden="1">{"Line Efficiency",#N/A,FALSE,"Benchmarking"}</definedName>
    <definedName name="fadsaf" localSheetId="18" hidden="1">{"Line Efficiency",#N/A,FALSE,"Benchmarking"}</definedName>
    <definedName name="fadsaf" localSheetId="19" hidden="1">{"Line Efficiency",#N/A,FALSE,"Benchmarking"}</definedName>
    <definedName name="fadsaf" localSheetId="17" hidden="1">{"Line Efficiency",#N/A,FALSE,"Benchmarking"}</definedName>
    <definedName name="fadsaf" localSheetId="22" hidden="1">{"Line Efficiency",#N/A,FALSE,"Benchmarking"}</definedName>
    <definedName name="fadsaf" localSheetId="10" hidden="1">{"Line Efficiency",#N/A,FALSE,"Benchmarking"}</definedName>
    <definedName name="fadsaf" localSheetId="30" hidden="1">{"Line Efficiency",#N/A,FALSE,"Benchmarking"}</definedName>
    <definedName name="fadsaf" localSheetId="0" hidden="1">{"Line Efficiency",#N/A,FALSE,"Benchmarking"}</definedName>
    <definedName name="fadsaf" localSheetId="3" hidden="1">{"Line Efficiency",#N/A,FALSE,"Benchmarking"}</definedName>
    <definedName name="fadsaf" localSheetId="4" hidden="1">{"Line Efficiency",#N/A,FALSE,"Benchmarking"}</definedName>
    <definedName name="fadsaf" localSheetId="28" hidden="1">{"Line Efficiency",#N/A,FALSE,"Benchmarking"}</definedName>
    <definedName name="fadsaf" localSheetId="33" hidden="1">{"Line Efficiency",#N/A,FALSE,"Benchmarking"}</definedName>
    <definedName name="fadsaf" localSheetId="32" hidden="1">{"Line Efficiency",#N/A,FALSE,"Benchmarking"}</definedName>
    <definedName name="fadsaf" localSheetId="7" hidden="1">{"Line Efficiency",#N/A,FALSE,"Benchmarking"}</definedName>
    <definedName name="fadsaf" localSheetId="29" hidden="1">{"Line Efficiency",#N/A,FALSE,"Benchmarking"}</definedName>
    <definedName name="fadsaf" localSheetId="1" hidden="1">{"Line Efficiency",#N/A,FALSE,"Benchmarking"}</definedName>
    <definedName name="fadsaf" localSheetId="31" hidden="1">{"Line Efficiency",#N/A,FALSE,"Benchmarking"}</definedName>
    <definedName name="fadsaf" hidden="1">{"Line Efficiency",#N/A,FALSE,"Benchmarking"}</definedName>
    <definedName name="faf" localSheetId="12"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f" localSheetId="18"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f" localSheetId="19"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f" localSheetId="17"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f" localSheetId="22"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f" localSheetId="10"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f" localSheetId="30"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f" localSheetId="0"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f" localSheetId="3"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f" localSheetId="4"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f" localSheetId="28"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f" localSheetId="33"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f" localSheetId="32"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f" localSheetId="7"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f" localSheetId="29"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f" localSheetId="1"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f" localSheetId="31"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f"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fafa" localSheetId="12" hidden="1">{"print 1",#N/A,FALSE,"PrimeCo PCS";"print 2",#N/A,FALSE,"PrimeCo PCS";"valuation",#N/A,FALSE,"PrimeCo PCS"}</definedName>
    <definedName name="fafa" localSheetId="18" hidden="1">{"print 1",#N/A,FALSE,"PrimeCo PCS";"print 2",#N/A,FALSE,"PrimeCo PCS";"valuation",#N/A,FALSE,"PrimeCo PCS"}</definedName>
    <definedName name="fafa" localSheetId="19" hidden="1">{"print 1",#N/A,FALSE,"PrimeCo PCS";"print 2",#N/A,FALSE,"PrimeCo PCS";"valuation",#N/A,FALSE,"PrimeCo PCS"}</definedName>
    <definedName name="fafa" localSheetId="17" hidden="1">{"print 1",#N/A,FALSE,"PrimeCo PCS";"print 2",#N/A,FALSE,"PrimeCo PCS";"valuation",#N/A,FALSE,"PrimeCo PCS"}</definedName>
    <definedName name="fafa" localSheetId="22" hidden="1">{"print 1",#N/A,FALSE,"PrimeCo PCS";"print 2",#N/A,FALSE,"PrimeCo PCS";"valuation",#N/A,FALSE,"PrimeCo PCS"}</definedName>
    <definedName name="fafa" localSheetId="10" hidden="1">{"print 1",#N/A,FALSE,"PrimeCo PCS";"print 2",#N/A,FALSE,"PrimeCo PCS";"valuation",#N/A,FALSE,"PrimeCo PCS"}</definedName>
    <definedName name="fafa" localSheetId="30" hidden="1">{"print 1",#N/A,FALSE,"PrimeCo PCS";"print 2",#N/A,FALSE,"PrimeCo PCS";"valuation",#N/A,FALSE,"PrimeCo PCS"}</definedName>
    <definedName name="fafa" localSheetId="0" hidden="1">{"print 1",#N/A,FALSE,"PrimeCo PCS";"print 2",#N/A,FALSE,"PrimeCo PCS";"valuation",#N/A,FALSE,"PrimeCo PCS"}</definedName>
    <definedName name="fafa" localSheetId="3" hidden="1">{"print 1",#N/A,FALSE,"PrimeCo PCS";"print 2",#N/A,FALSE,"PrimeCo PCS";"valuation",#N/A,FALSE,"PrimeCo PCS"}</definedName>
    <definedName name="fafa" localSheetId="4" hidden="1">{"print 1",#N/A,FALSE,"PrimeCo PCS";"print 2",#N/A,FALSE,"PrimeCo PCS";"valuation",#N/A,FALSE,"PrimeCo PCS"}</definedName>
    <definedName name="fafa" localSheetId="28" hidden="1">{"print 1",#N/A,FALSE,"PrimeCo PCS";"print 2",#N/A,FALSE,"PrimeCo PCS";"valuation",#N/A,FALSE,"PrimeCo PCS"}</definedName>
    <definedName name="fafa" localSheetId="33" hidden="1">{"print 1",#N/A,FALSE,"PrimeCo PCS";"print 2",#N/A,FALSE,"PrimeCo PCS";"valuation",#N/A,FALSE,"PrimeCo PCS"}</definedName>
    <definedName name="fafa" localSheetId="32" hidden="1">{"print 1",#N/A,FALSE,"PrimeCo PCS";"print 2",#N/A,FALSE,"PrimeCo PCS";"valuation",#N/A,FALSE,"PrimeCo PCS"}</definedName>
    <definedName name="fafa" localSheetId="7" hidden="1">{"print 1",#N/A,FALSE,"PrimeCo PCS";"print 2",#N/A,FALSE,"PrimeCo PCS";"valuation",#N/A,FALSE,"PrimeCo PCS"}</definedName>
    <definedName name="fafa" localSheetId="29" hidden="1">{"print 1",#N/A,FALSE,"PrimeCo PCS";"print 2",#N/A,FALSE,"PrimeCo PCS";"valuation",#N/A,FALSE,"PrimeCo PCS"}</definedName>
    <definedName name="fafa" localSheetId="1" hidden="1">{"print 1",#N/A,FALSE,"PrimeCo PCS";"print 2",#N/A,FALSE,"PrimeCo PCS";"valuation",#N/A,FALSE,"PrimeCo PCS"}</definedName>
    <definedName name="fafa" localSheetId="31" hidden="1">{"print 1",#N/A,FALSE,"PrimeCo PCS";"print 2",#N/A,FALSE,"PrimeCo PCS";"valuation",#N/A,FALSE,"PrimeCo PCS"}</definedName>
    <definedName name="fafa" hidden="1">{"print 1",#N/A,FALSE,"PrimeCo PCS";"print 2",#N/A,FALSE,"PrimeCo PCS";"valuation",#N/A,FALSE,"PrimeCo PCS"}</definedName>
    <definedName name="fafd" localSheetId="12" hidden="1">{"inputs raw data",#N/A,TRUE,"INPUT"}</definedName>
    <definedName name="fafd" localSheetId="18" hidden="1">{"inputs raw data",#N/A,TRUE,"INPUT"}</definedName>
    <definedName name="fafd" localSheetId="19" hidden="1">{"inputs raw data",#N/A,TRUE,"INPUT"}</definedName>
    <definedName name="fafd" localSheetId="17" hidden="1">{"inputs raw data",#N/A,TRUE,"INPUT"}</definedName>
    <definedName name="fafd" localSheetId="22" hidden="1">{"inputs raw data",#N/A,TRUE,"INPUT"}</definedName>
    <definedName name="fafd" localSheetId="10" hidden="1">{"inputs raw data",#N/A,TRUE,"INPUT"}</definedName>
    <definedName name="fafd" localSheetId="30" hidden="1">{"inputs raw data",#N/A,TRUE,"INPUT"}</definedName>
    <definedName name="fafd" localSheetId="0" hidden="1">{"inputs raw data",#N/A,TRUE,"INPUT"}</definedName>
    <definedName name="fafd" localSheetId="3" hidden="1">{"inputs raw data",#N/A,TRUE,"INPUT"}</definedName>
    <definedName name="fafd" localSheetId="4" hidden="1">{"inputs raw data",#N/A,TRUE,"INPUT"}</definedName>
    <definedName name="fafd" localSheetId="28" hidden="1">{"inputs raw data",#N/A,TRUE,"INPUT"}</definedName>
    <definedName name="fafd" localSheetId="33" hidden="1">{"inputs raw data",#N/A,TRUE,"INPUT"}</definedName>
    <definedName name="fafd" localSheetId="32" hidden="1">{"inputs raw data",#N/A,TRUE,"INPUT"}</definedName>
    <definedName name="fafd" localSheetId="7" hidden="1">{"inputs raw data",#N/A,TRUE,"INPUT"}</definedName>
    <definedName name="fafd" localSheetId="29" hidden="1">{"inputs raw data",#N/A,TRUE,"INPUT"}</definedName>
    <definedName name="fafd" localSheetId="1" hidden="1">{"inputs raw data",#N/A,TRUE,"INPUT"}</definedName>
    <definedName name="fafd" localSheetId="31" hidden="1">{"inputs raw data",#N/A,TRUE,"INPUT"}</definedName>
    <definedName name="fafd" hidden="1">{"inputs raw data",#N/A,TRUE,"INPUT"}</definedName>
    <definedName name="fasc" localSheetId="12" hidden="1">{"mgmt forecast",#N/A,FALSE,"Mgmt Forecast";"dcf table",#N/A,FALSE,"Mgmt Forecast";"sensitivity",#N/A,FALSE,"Mgmt Forecast";"table inputs",#N/A,FALSE,"Mgmt Forecast";"calculations",#N/A,FALSE,"Mgmt Forecast"}</definedName>
    <definedName name="fasc" localSheetId="18" hidden="1">{"mgmt forecast",#N/A,FALSE,"Mgmt Forecast";"dcf table",#N/A,FALSE,"Mgmt Forecast";"sensitivity",#N/A,FALSE,"Mgmt Forecast";"table inputs",#N/A,FALSE,"Mgmt Forecast";"calculations",#N/A,FALSE,"Mgmt Forecast"}</definedName>
    <definedName name="fasc" localSheetId="19" hidden="1">{"mgmt forecast",#N/A,FALSE,"Mgmt Forecast";"dcf table",#N/A,FALSE,"Mgmt Forecast";"sensitivity",#N/A,FALSE,"Mgmt Forecast";"table inputs",#N/A,FALSE,"Mgmt Forecast";"calculations",#N/A,FALSE,"Mgmt Forecast"}</definedName>
    <definedName name="fasc" localSheetId="17" hidden="1">{"mgmt forecast",#N/A,FALSE,"Mgmt Forecast";"dcf table",#N/A,FALSE,"Mgmt Forecast";"sensitivity",#N/A,FALSE,"Mgmt Forecast";"table inputs",#N/A,FALSE,"Mgmt Forecast";"calculations",#N/A,FALSE,"Mgmt Forecast"}</definedName>
    <definedName name="fasc" localSheetId="22" hidden="1">{"mgmt forecast",#N/A,FALSE,"Mgmt Forecast";"dcf table",#N/A,FALSE,"Mgmt Forecast";"sensitivity",#N/A,FALSE,"Mgmt Forecast";"table inputs",#N/A,FALSE,"Mgmt Forecast";"calculations",#N/A,FALSE,"Mgmt Forecast"}</definedName>
    <definedName name="fasc" localSheetId="10" hidden="1">{"mgmt forecast",#N/A,FALSE,"Mgmt Forecast";"dcf table",#N/A,FALSE,"Mgmt Forecast";"sensitivity",#N/A,FALSE,"Mgmt Forecast";"table inputs",#N/A,FALSE,"Mgmt Forecast";"calculations",#N/A,FALSE,"Mgmt Forecast"}</definedName>
    <definedName name="fasc" localSheetId="30" hidden="1">{"mgmt forecast",#N/A,FALSE,"Mgmt Forecast";"dcf table",#N/A,FALSE,"Mgmt Forecast";"sensitivity",#N/A,FALSE,"Mgmt Forecast";"table inputs",#N/A,FALSE,"Mgmt Forecast";"calculations",#N/A,FALSE,"Mgmt Forecast"}</definedName>
    <definedName name="fasc" localSheetId="0" hidden="1">{"mgmt forecast",#N/A,FALSE,"Mgmt Forecast";"dcf table",#N/A,FALSE,"Mgmt Forecast";"sensitivity",#N/A,FALSE,"Mgmt Forecast";"table inputs",#N/A,FALSE,"Mgmt Forecast";"calculations",#N/A,FALSE,"Mgmt Forecast"}</definedName>
    <definedName name="fasc" localSheetId="3" hidden="1">{"mgmt forecast",#N/A,FALSE,"Mgmt Forecast";"dcf table",#N/A,FALSE,"Mgmt Forecast";"sensitivity",#N/A,FALSE,"Mgmt Forecast";"table inputs",#N/A,FALSE,"Mgmt Forecast";"calculations",#N/A,FALSE,"Mgmt Forecast"}</definedName>
    <definedName name="fasc" localSheetId="4" hidden="1">{"mgmt forecast",#N/A,FALSE,"Mgmt Forecast";"dcf table",#N/A,FALSE,"Mgmt Forecast";"sensitivity",#N/A,FALSE,"Mgmt Forecast";"table inputs",#N/A,FALSE,"Mgmt Forecast";"calculations",#N/A,FALSE,"Mgmt Forecast"}</definedName>
    <definedName name="fasc" localSheetId="28" hidden="1">{"mgmt forecast",#N/A,FALSE,"Mgmt Forecast";"dcf table",#N/A,FALSE,"Mgmt Forecast";"sensitivity",#N/A,FALSE,"Mgmt Forecast";"table inputs",#N/A,FALSE,"Mgmt Forecast";"calculations",#N/A,FALSE,"Mgmt Forecast"}</definedName>
    <definedName name="fasc" localSheetId="33" hidden="1">{"mgmt forecast",#N/A,FALSE,"Mgmt Forecast";"dcf table",#N/A,FALSE,"Mgmt Forecast";"sensitivity",#N/A,FALSE,"Mgmt Forecast";"table inputs",#N/A,FALSE,"Mgmt Forecast";"calculations",#N/A,FALSE,"Mgmt Forecast"}</definedName>
    <definedName name="fasc" localSheetId="32" hidden="1">{"mgmt forecast",#N/A,FALSE,"Mgmt Forecast";"dcf table",#N/A,FALSE,"Mgmt Forecast";"sensitivity",#N/A,FALSE,"Mgmt Forecast";"table inputs",#N/A,FALSE,"Mgmt Forecast";"calculations",#N/A,FALSE,"Mgmt Forecast"}</definedName>
    <definedName name="fasc" localSheetId="7" hidden="1">{"mgmt forecast",#N/A,FALSE,"Mgmt Forecast";"dcf table",#N/A,FALSE,"Mgmt Forecast";"sensitivity",#N/A,FALSE,"Mgmt Forecast";"table inputs",#N/A,FALSE,"Mgmt Forecast";"calculations",#N/A,FALSE,"Mgmt Forecast"}</definedName>
    <definedName name="fasc" localSheetId="29" hidden="1">{"mgmt forecast",#N/A,FALSE,"Mgmt Forecast";"dcf table",#N/A,FALSE,"Mgmt Forecast";"sensitivity",#N/A,FALSE,"Mgmt Forecast";"table inputs",#N/A,FALSE,"Mgmt Forecast";"calculations",#N/A,FALSE,"Mgmt Forecast"}</definedName>
    <definedName name="fasc" localSheetId="1" hidden="1">{"mgmt forecast",#N/A,FALSE,"Mgmt Forecast";"dcf table",#N/A,FALSE,"Mgmt Forecast";"sensitivity",#N/A,FALSE,"Mgmt Forecast";"table inputs",#N/A,FALSE,"Mgmt Forecast";"calculations",#N/A,FALSE,"Mgmt Forecast"}</definedName>
    <definedName name="fasc" localSheetId="31" hidden="1">{"mgmt forecast",#N/A,FALSE,"Mgmt Forecast";"dcf table",#N/A,FALSE,"Mgmt Forecast";"sensitivity",#N/A,FALSE,"Mgmt Forecast";"table inputs",#N/A,FALSE,"Mgmt Forecast";"calculations",#N/A,FALSE,"Mgmt Forecast"}</definedName>
    <definedName name="fasc" hidden="1">{"mgmt forecast",#N/A,FALSE,"Mgmt Forecast";"dcf table",#N/A,FALSE,"Mgmt Forecast";"sensitivity",#N/A,FALSE,"Mgmt Forecast";"table inputs",#N/A,FALSE,"Mgmt Forecast";"calculations",#N/A,FALSE,"Mgmt Forecast"}</definedName>
    <definedName name="fasdgas" localSheetId="12" hidden="1">{"IS",#N/A,FALSE,"IS";"RPTIS",#N/A,FALSE,"RPTIS";"STATS",#N/A,FALSE,"STATS";"CELL",#N/A,FALSE,"CELL";"BS",#N/A,FALSE,"BS"}</definedName>
    <definedName name="fasdgas" localSheetId="18" hidden="1">{"IS",#N/A,FALSE,"IS";"RPTIS",#N/A,FALSE,"RPTIS";"STATS",#N/A,FALSE,"STATS";"CELL",#N/A,FALSE,"CELL";"BS",#N/A,FALSE,"BS"}</definedName>
    <definedName name="fasdgas" localSheetId="19" hidden="1">{"IS",#N/A,FALSE,"IS";"RPTIS",#N/A,FALSE,"RPTIS";"STATS",#N/A,FALSE,"STATS";"CELL",#N/A,FALSE,"CELL";"BS",#N/A,FALSE,"BS"}</definedName>
    <definedName name="fasdgas" localSheetId="17" hidden="1">{"IS",#N/A,FALSE,"IS";"RPTIS",#N/A,FALSE,"RPTIS";"STATS",#N/A,FALSE,"STATS";"CELL",#N/A,FALSE,"CELL";"BS",#N/A,FALSE,"BS"}</definedName>
    <definedName name="fasdgas" localSheetId="22" hidden="1">{"IS",#N/A,FALSE,"IS";"RPTIS",#N/A,FALSE,"RPTIS";"STATS",#N/A,FALSE,"STATS";"CELL",#N/A,FALSE,"CELL";"BS",#N/A,FALSE,"BS"}</definedName>
    <definedName name="fasdgas" localSheetId="10" hidden="1">{"IS",#N/A,FALSE,"IS";"RPTIS",#N/A,FALSE,"RPTIS";"STATS",#N/A,FALSE,"STATS";"CELL",#N/A,FALSE,"CELL";"BS",#N/A,FALSE,"BS"}</definedName>
    <definedName name="fasdgas" localSheetId="30" hidden="1">{"IS",#N/A,FALSE,"IS";"RPTIS",#N/A,FALSE,"RPTIS";"STATS",#N/A,FALSE,"STATS";"CELL",#N/A,FALSE,"CELL";"BS",#N/A,FALSE,"BS"}</definedName>
    <definedName name="fasdgas" localSheetId="0" hidden="1">{"IS",#N/A,FALSE,"IS";"RPTIS",#N/A,FALSE,"RPTIS";"STATS",#N/A,FALSE,"STATS";"CELL",#N/A,FALSE,"CELL";"BS",#N/A,FALSE,"BS"}</definedName>
    <definedName name="fasdgas" localSheetId="3" hidden="1">{"IS",#N/A,FALSE,"IS";"RPTIS",#N/A,FALSE,"RPTIS";"STATS",#N/A,FALSE,"STATS";"CELL",#N/A,FALSE,"CELL";"BS",#N/A,FALSE,"BS"}</definedName>
    <definedName name="fasdgas" localSheetId="4" hidden="1">{"IS",#N/A,FALSE,"IS";"RPTIS",#N/A,FALSE,"RPTIS";"STATS",#N/A,FALSE,"STATS";"CELL",#N/A,FALSE,"CELL";"BS",#N/A,FALSE,"BS"}</definedName>
    <definedName name="fasdgas" localSheetId="28" hidden="1">{"IS",#N/A,FALSE,"IS";"RPTIS",#N/A,FALSE,"RPTIS";"STATS",#N/A,FALSE,"STATS";"CELL",#N/A,FALSE,"CELL";"BS",#N/A,FALSE,"BS"}</definedName>
    <definedName name="fasdgas" localSheetId="33" hidden="1">{"IS",#N/A,FALSE,"IS";"RPTIS",#N/A,FALSE,"RPTIS";"STATS",#N/A,FALSE,"STATS";"CELL",#N/A,FALSE,"CELL";"BS",#N/A,FALSE,"BS"}</definedName>
    <definedName name="fasdgas" localSheetId="32" hidden="1">{"IS",#N/A,FALSE,"IS";"RPTIS",#N/A,FALSE,"RPTIS";"STATS",#N/A,FALSE,"STATS";"CELL",#N/A,FALSE,"CELL";"BS",#N/A,FALSE,"BS"}</definedName>
    <definedName name="fasdgas" localSheetId="7" hidden="1">{"IS",#N/A,FALSE,"IS";"RPTIS",#N/A,FALSE,"RPTIS";"STATS",#N/A,FALSE,"STATS";"CELL",#N/A,FALSE,"CELL";"BS",#N/A,FALSE,"BS"}</definedName>
    <definedName name="fasdgas" localSheetId="29" hidden="1">{"IS",#N/A,FALSE,"IS";"RPTIS",#N/A,FALSE,"RPTIS";"STATS",#N/A,FALSE,"STATS";"CELL",#N/A,FALSE,"CELL";"BS",#N/A,FALSE,"BS"}</definedName>
    <definedName name="fasdgas" localSheetId="1" hidden="1">{"IS",#N/A,FALSE,"IS";"RPTIS",#N/A,FALSE,"RPTIS";"STATS",#N/A,FALSE,"STATS";"CELL",#N/A,FALSE,"CELL";"BS",#N/A,FALSE,"BS"}</definedName>
    <definedName name="fasdgas" localSheetId="31" hidden="1">{"IS",#N/A,FALSE,"IS";"RPTIS",#N/A,FALSE,"RPTIS";"STATS",#N/A,FALSE,"STATS";"CELL",#N/A,FALSE,"CELL";"BS",#N/A,FALSE,"BS"}</definedName>
    <definedName name="fasdgas" hidden="1">{"IS",#N/A,FALSE,"IS";"RPTIS",#N/A,FALSE,"RPTIS";"STATS",#N/A,FALSE,"STATS";"CELL",#N/A,FALSE,"CELL";"BS",#N/A,FALSE,"BS"}</definedName>
    <definedName name="fdafa" localSheetId="12" hidden="1">{"summary1",#N/A,TRUE,"Comps";"summary2",#N/A,TRUE,"Comps";"summary3",#N/A,TRUE,"Comps"}</definedName>
    <definedName name="fdafa" localSheetId="18" hidden="1">{"summary1",#N/A,TRUE,"Comps";"summary2",#N/A,TRUE,"Comps";"summary3",#N/A,TRUE,"Comps"}</definedName>
    <definedName name="fdafa" localSheetId="19" hidden="1">{"summary1",#N/A,TRUE,"Comps";"summary2",#N/A,TRUE,"Comps";"summary3",#N/A,TRUE,"Comps"}</definedName>
    <definedName name="fdafa" localSheetId="17" hidden="1">{"summary1",#N/A,TRUE,"Comps";"summary2",#N/A,TRUE,"Comps";"summary3",#N/A,TRUE,"Comps"}</definedName>
    <definedName name="fdafa" localSheetId="22" hidden="1">{"summary1",#N/A,TRUE,"Comps";"summary2",#N/A,TRUE,"Comps";"summary3",#N/A,TRUE,"Comps"}</definedName>
    <definedName name="fdafa" localSheetId="10" hidden="1">{"summary1",#N/A,TRUE,"Comps";"summary2",#N/A,TRUE,"Comps";"summary3",#N/A,TRUE,"Comps"}</definedName>
    <definedName name="fdafa" localSheetId="30" hidden="1">{"summary1",#N/A,TRUE,"Comps";"summary2",#N/A,TRUE,"Comps";"summary3",#N/A,TRUE,"Comps"}</definedName>
    <definedName name="fdafa" localSheetId="0" hidden="1">{"summary1",#N/A,TRUE,"Comps";"summary2",#N/A,TRUE,"Comps";"summary3",#N/A,TRUE,"Comps"}</definedName>
    <definedName name="fdafa" localSheetId="3" hidden="1">{"summary1",#N/A,TRUE,"Comps";"summary2",#N/A,TRUE,"Comps";"summary3",#N/A,TRUE,"Comps"}</definedName>
    <definedName name="fdafa" localSheetId="4" hidden="1">{"summary1",#N/A,TRUE,"Comps";"summary2",#N/A,TRUE,"Comps";"summary3",#N/A,TRUE,"Comps"}</definedName>
    <definedName name="fdafa" localSheetId="28" hidden="1">{"summary1",#N/A,TRUE,"Comps";"summary2",#N/A,TRUE,"Comps";"summary3",#N/A,TRUE,"Comps"}</definedName>
    <definedName name="fdafa" localSheetId="33" hidden="1">{"summary1",#N/A,TRUE,"Comps";"summary2",#N/A,TRUE,"Comps";"summary3",#N/A,TRUE,"Comps"}</definedName>
    <definedName name="fdafa" localSheetId="32" hidden="1">{"summary1",#N/A,TRUE,"Comps";"summary2",#N/A,TRUE,"Comps";"summary3",#N/A,TRUE,"Comps"}</definedName>
    <definedName name="fdafa" localSheetId="7" hidden="1">{"summary1",#N/A,TRUE,"Comps";"summary2",#N/A,TRUE,"Comps";"summary3",#N/A,TRUE,"Comps"}</definedName>
    <definedName name="fdafa" localSheetId="29" hidden="1">{"summary1",#N/A,TRUE,"Comps";"summary2",#N/A,TRUE,"Comps";"summary3",#N/A,TRUE,"Comps"}</definedName>
    <definedName name="fdafa" localSheetId="1" hidden="1">{"summary1",#N/A,TRUE,"Comps";"summary2",#N/A,TRUE,"Comps";"summary3",#N/A,TRUE,"Comps"}</definedName>
    <definedName name="fdafa" localSheetId="31" hidden="1">{"summary1",#N/A,TRUE,"Comps";"summary2",#N/A,TRUE,"Comps";"summary3",#N/A,TRUE,"Comps"}</definedName>
    <definedName name="fdafa" hidden="1">{"summary1",#N/A,TRUE,"Comps";"summary2",#N/A,TRUE,"Comps";"summary3",#N/A,TRUE,"Comps"}</definedName>
    <definedName name="fdafcc" localSheetId="12" hidden="1">{"summary1",#N/A,TRUE,"Comps";"summary2",#N/A,TRUE,"Comps";"summary3",#N/A,TRUE,"Comps"}</definedName>
    <definedName name="fdafcc" localSheetId="18" hidden="1">{"summary1",#N/A,TRUE,"Comps";"summary2",#N/A,TRUE,"Comps";"summary3",#N/A,TRUE,"Comps"}</definedName>
    <definedName name="fdafcc" localSheetId="19" hidden="1">{"summary1",#N/A,TRUE,"Comps";"summary2",#N/A,TRUE,"Comps";"summary3",#N/A,TRUE,"Comps"}</definedName>
    <definedName name="fdafcc" localSheetId="17" hidden="1">{"summary1",#N/A,TRUE,"Comps";"summary2",#N/A,TRUE,"Comps";"summary3",#N/A,TRUE,"Comps"}</definedName>
    <definedName name="fdafcc" localSheetId="22" hidden="1">{"summary1",#N/A,TRUE,"Comps";"summary2",#N/A,TRUE,"Comps";"summary3",#N/A,TRUE,"Comps"}</definedName>
    <definedName name="fdafcc" localSheetId="10" hidden="1">{"summary1",#N/A,TRUE,"Comps";"summary2",#N/A,TRUE,"Comps";"summary3",#N/A,TRUE,"Comps"}</definedName>
    <definedName name="fdafcc" localSheetId="30" hidden="1">{"summary1",#N/A,TRUE,"Comps";"summary2",#N/A,TRUE,"Comps";"summary3",#N/A,TRUE,"Comps"}</definedName>
    <definedName name="fdafcc" localSheetId="0" hidden="1">{"summary1",#N/A,TRUE,"Comps";"summary2",#N/A,TRUE,"Comps";"summary3",#N/A,TRUE,"Comps"}</definedName>
    <definedName name="fdafcc" localSheetId="3" hidden="1">{"summary1",#N/A,TRUE,"Comps";"summary2",#N/A,TRUE,"Comps";"summary3",#N/A,TRUE,"Comps"}</definedName>
    <definedName name="fdafcc" localSheetId="4" hidden="1">{"summary1",#N/A,TRUE,"Comps";"summary2",#N/A,TRUE,"Comps";"summary3",#N/A,TRUE,"Comps"}</definedName>
    <definedName name="fdafcc" localSheetId="28" hidden="1">{"summary1",#N/A,TRUE,"Comps";"summary2",#N/A,TRUE,"Comps";"summary3",#N/A,TRUE,"Comps"}</definedName>
    <definedName name="fdafcc" localSheetId="33" hidden="1">{"summary1",#N/A,TRUE,"Comps";"summary2",#N/A,TRUE,"Comps";"summary3",#N/A,TRUE,"Comps"}</definedName>
    <definedName name="fdafcc" localSheetId="32" hidden="1">{"summary1",#N/A,TRUE,"Comps";"summary2",#N/A,TRUE,"Comps";"summary3",#N/A,TRUE,"Comps"}</definedName>
    <definedName name="fdafcc" localSheetId="7" hidden="1">{"summary1",#N/A,TRUE,"Comps";"summary2",#N/A,TRUE,"Comps";"summary3",#N/A,TRUE,"Comps"}</definedName>
    <definedName name="fdafcc" localSheetId="29" hidden="1">{"summary1",#N/A,TRUE,"Comps";"summary2",#N/A,TRUE,"Comps";"summary3",#N/A,TRUE,"Comps"}</definedName>
    <definedName name="fdafcc" localSheetId="1" hidden="1">{"summary1",#N/A,TRUE,"Comps";"summary2",#N/A,TRUE,"Comps";"summary3",#N/A,TRUE,"Comps"}</definedName>
    <definedName name="fdafcc" localSheetId="31" hidden="1">{"summary1",#N/A,TRUE,"Comps";"summary2",#N/A,TRUE,"Comps";"summary3",#N/A,TRUE,"Comps"}</definedName>
    <definedName name="fdafcc" hidden="1">{"summary1",#N/A,TRUE,"Comps";"summary2",#N/A,TRUE,"Comps";"summary3",#N/A,TRUE,"Comps"}</definedName>
    <definedName name="fdsgf" localSheetId="12" hidden="1">{"Employee Efficiency",#N/A,FALSE,"Benchmarking"}</definedName>
    <definedName name="fdsgf" localSheetId="18" hidden="1">{"Employee Efficiency",#N/A,FALSE,"Benchmarking"}</definedName>
    <definedName name="fdsgf" localSheetId="19" hidden="1">{"Employee Efficiency",#N/A,FALSE,"Benchmarking"}</definedName>
    <definedName name="fdsgf" localSheetId="17" hidden="1">{"Employee Efficiency",#N/A,FALSE,"Benchmarking"}</definedName>
    <definedName name="fdsgf" localSheetId="22" hidden="1">{"Employee Efficiency",#N/A,FALSE,"Benchmarking"}</definedName>
    <definedName name="fdsgf" localSheetId="10" hidden="1">{"Employee Efficiency",#N/A,FALSE,"Benchmarking"}</definedName>
    <definedName name="fdsgf" localSheetId="30" hidden="1">{"Employee Efficiency",#N/A,FALSE,"Benchmarking"}</definedName>
    <definedName name="fdsgf" localSheetId="0" hidden="1">{"Employee Efficiency",#N/A,FALSE,"Benchmarking"}</definedName>
    <definedName name="fdsgf" localSheetId="3" hidden="1">{"Employee Efficiency",#N/A,FALSE,"Benchmarking"}</definedName>
    <definedName name="fdsgf" localSheetId="4" hidden="1">{"Employee Efficiency",#N/A,FALSE,"Benchmarking"}</definedName>
    <definedName name="fdsgf" localSheetId="28" hidden="1">{"Employee Efficiency",#N/A,FALSE,"Benchmarking"}</definedName>
    <definedName name="fdsgf" localSheetId="33" hidden="1">{"Employee Efficiency",#N/A,FALSE,"Benchmarking"}</definedName>
    <definedName name="fdsgf" localSheetId="32" hidden="1">{"Employee Efficiency",#N/A,FALSE,"Benchmarking"}</definedName>
    <definedName name="fdsgf" localSheetId="7" hidden="1">{"Employee Efficiency",#N/A,FALSE,"Benchmarking"}</definedName>
    <definedName name="fdsgf" localSheetId="29" hidden="1">{"Employee Efficiency",#N/A,FALSE,"Benchmarking"}</definedName>
    <definedName name="fdsgf" localSheetId="1" hidden="1">{"Employee Efficiency",#N/A,FALSE,"Benchmarking"}</definedName>
    <definedName name="fdsgf" localSheetId="31" hidden="1">{"Employee Efficiency",#N/A,FALSE,"Benchmarking"}</definedName>
    <definedName name="fdsgf" hidden="1">{"Employee Efficiency",#N/A,FALSE,"Benchmarking"}</definedName>
    <definedName name="ffeffn" localSheetId="12" hidden="1">{"Side 1",#N/A,FALSE,"Hovedark";"Side 2",#N/A,FALSE,"Hovedark";"Cash Flow",#N/A,FALSE,"Hovedark";"Valuation",#N/A,FALSE,"Valuation";"Bagside DK",#N/A,FALSE,"Bagside";"Overblik",#N/A,FALSE,"Butikker";"Egne_but",#N/A,FALSE,"Butikker";"Andet_salg",#N/A,FALSE,"Butikker";"Halvår",#N/A,FALSE,"Halvår";"Investeringer",#N/A,FALSE,"Investeringer"}</definedName>
    <definedName name="ffeffn" localSheetId="18" hidden="1">{"Side 1",#N/A,FALSE,"Hovedark";"Side 2",#N/A,FALSE,"Hovedark";"Cash Flow",#N/A,FALSE,"Hovedark";"Valuation",#N/A,FALSE,"Valuation";"Bagside DK",#N/A,FALSE,"Bagside";"Overblik",#N/A,FALSE,"Butikker";"Egne_but",#N/A,FALSE,"Butikker";"Andet_salg",#N/A,FALSE,"Butikker";"Halvår",#N/A,FALSE,"Halvår";"Investeringer",#N/A,FALSE,"Investeringer"}</definedName>
    <definedName name="ffeffn" localSheetId="19" hidden="1">{"Side 1",#N/A,FALSE,"Hovedark";"Side 2",#N/A,FALSE,"Hovedark";"Cash Flow",#N/A,FALSE,"Hovedark";"Valuation",#N/A,FALSE,"Valuation";"Bagside DK",#N/A,FALSE,"Bagside";"Overblik",#N/A,FALSE,"Butikker";"Egne_but",#N/A,FALSE,"Butikker";"Andet_salg",#N/A,FALSE,"Butikker";"Halvår",#N/A,FALSE,"Halvår";"Investeringer",#N/A,FALSE,"Investeringer"}</definedName>
    <definedName name="ffeffn" localSheetId="17" hidden="1">{"Side 1",#N/A,FALSE,"Hovedark";"Side 2",#N/A,FALSE,"Hovedark";"Cash Flow",#N/A,FALSE,"Hovedark";"Valuation",#N/A,FALSE,"Valuation";"Bagside DK",#N/A,FALSE,"Bagside";"Overblik",#N/A,FALSE,"Butikker";"Egne_but",#N/A,FALSE,"Butikker";"Andet_salg",#N/A,FALSE,"Butikker";"Halvår",#N/A,FALSE,"Halvår";"Investeringer",#N/A,FALSE,"Investeringer"}</definedName>
    <definedName name="ffeffn" localSheetId="22" hidden="1">{"Side 1",#N/A,FALSE,"Hovedark";"Side 2",#N/A,FALSE,"Hovedark";"Cash Flow",#N/A,FALSE,"Hovedark";"Valuation",#N/A,FALSE,"Valuation";"Bagside DK",#N/A,FALSE,"Bagside";"Overblik",#N/A,FALSE,"Butikker";"Egne_but",#N/A,FALSE,"Butikker";"Andet_salg",#N/A,FALSE,"Butikker";"Halvår",#N/A,FALSE,"Halvår";"Investeringer",#N/A,FALSE,"Investeringer"}</definedName>
    <definedName name="ffeffn" localSheetId="10" hidden="1">{"Side 1",#N/A,FALSE,"Hovedark";"Side 2",#N/A,FALSE,"Hovedark";"Cash Flow",#N/A,FALSE,"Hovedark";"Valuation",#N/A,FALSE,"Valuation";"Bagside DK",#N/A,FALSE,"Bagside";"Overblik",#N/A,FALSE,"Butikker";"Egne_but",#N/A,FALSE,"Butikker";"Andet_salg",#N/A,FALSE,"Butikker";"Halvår",#N/A,FALSE,"Halvår";"Investeringer",#N/A,FALSE,"Investeringer"}</definedName>
    <definedName name="ffeffn" localSheetId="30" hidden="1">{"Side 1",#N/A,FALSE,"Hovedark";"Side 2",#N/A,FALSE,"Hovedark";"Cash Flow",#N/A,FALSE,"Hovedark";"Valuation",#N/A,FALSE,"Valuation";"Bagside DK",#N/A,FALSE,"Bagside";"Overblik",#N/A,FALSE,"Butikker";"Egne_but",#N/A,FALSE,"Butikker";"Andet_salg",#N/A,FALSE,"Butikker";"Halvår",#N/A,FALSE,"Halvår";"Investeringer",#N/A,FALSE,"Investeringer"}</definedName>
    <definedName name="ffeffn" localSheetId="0" hidden="1">{"Side 1",#N/A,FALSE,"Hovedark";"Side 2",#N/A,FALSE,"Hovedark";"Cash Flow",#N/A,FALSE,"Hovedark";"Valuation",#N/A,FALSE,"Valuation";"Bagside DK",#N/A,FALSE,"Bagside";"Overblik",#N/A,FALSE,"Butikker";"Egne_but",#N/A,FALSE,"Butikker";"Andet_salg",#N/A,FALSE,"Butikker";"Halvår",#N/A,FALSE,"Halvår";"Investeringer",#N/A,FALSE,"Investeringer"}</definedName>
    <definedName name="ffeffn" localSheetId="3" hidden="1">{"Side 1",#N/A,FALSE,"Hovedark";"Side 2",#N/A,FALSE,"Hovedark";"Cash Flow",#N/A,FALSE,"Hovedark";"Valuation",#N/A,FALSE,"Valuation";"Bagside DK",#N/A,FALSE,"Bagside";"Overblik",#N/A,FALSE,"Butikker";"Egne_but",#N/A,FALSE,"Butikker";"Andet_salg",#N/A,FALSE,"Butikker";"Halvår",#N/A,FALSE,"Halvår";"Investeringer",#N/A,FALSE,"Investeringer"}</definedName>
    <definedName name="ffeffn" localSheetId="4" hidden="1">{"Side 1",#N/A,FALSE,"Hovedark";"Side 2",#N/A,FALSE,"Hovedark";"Cash Flow",#N/A,FALSE,"Hovedark";"Valuation",#N/A,FALSE,"Valuation";"Bagside DK",#N/A,FALSE,"Bagside";"Overblik",#N/A,FALSE,"Butikker";"Egne_but",#N/A,FALSE,"Butikker";"Andet_salg",#N/A,FALSE,"Butikker";"Halvår",#N/A,FALSE,"Halvår";"Investeringer",#N/A,FALSE,"Investeringer"}</definedName>
    <definedName name="ffeffn" localSheetId="28" hidden="1">{"Side 1",#N/A,FALSE,"Hovedark";"Side 2",#N/A,FALSE,"Hovedark";"Cash Flow",#N/A,FALSE,"Hovedark";"Valuation",#N/A,FALSE,"Valuation";"Bagside DK",#N/A,FALSE,"Bagside";"Overblik",#N/A,FALSE,"Butikker";"Egne_but",#N/A,FALSE,"Butikker";"Andet_salg",#N/A,FALSE,"Butikker";"Halvår",#N/A,FALSE,"Halvår";"Investeringer",#N/A,FALSE,"Investeringer"}</definedName>
    <definedName name="ffeffn" localSheetId="33" hidden="1">{"Side 1",#N/A,FALSE,"Hovedark";"Side 2",#N/A,FALSE,"Hovedark";"Cash Flow",#N/A,FALSE,"Hovedark";"Valuation",#N/A,FALSE,"Valuation";"Bagside DK",#N/A,FALSE,"Bagside";"Overblik",#N/A,FALSE,"Butikker";"Egne_but",#N/A,FALSE,"Butikker";"Andet_salg",#N/A,FALSE,"Butikker";"Halvår",#N/A,FALSE,"Halvår";"Investeringer",#N/A,FALSE,"Investeringer"}</definedName>
    <definedName name="ffeffn" localSheetId="32" hidden="1">{"Side 1",#N/A,FALSE,"Hovedark";"Side 2",#N/A,FALSE,"Hovedark";"Cash Flow",#N/A,FALSE,"Hovedark";"Valuation",#N/A,FALSE,"Valuation";"Bagside DK",#N/A,FALSE,"Bagside";"Overblik",#N/A,FALSE,"Butikker";"Egne_but",#N/A,FALSE,"Butikker";"Andet_salg",#N/A,FALSE,"Butikker";"Halvår",#N/A,FALSE,"Halvår";"Investeringer",#N/A,FALSE,"Investeringer"}</definedName>
    <definedName name="ffeffn" localSheetId="7" hidden="1">{"Side 1",#N/A,FALSE,"Hovedark";"Side 2",#N/A,FALSE,"Hovedark";"Cash Flow",#N/A,FALSE,"Hovedark";"Valuation",#N/A,FALSE,"Valuation";"Bagside DK",#N/A,FALSE,"Bagside";"Overblik",#N/A,FALSE,"Butikker";"Egne_but",#N/A,FALSE,"Butikker";"Andet_salg",#N/A,FALSE,"Butikker";"Halvår",#N/A,FALSE,"Halvår";"Investeringer",#N/A,FALSE,"Investeringer"}</definedName>
    <definedName name="ffeffn" localSheetId="29" hidden="1">{"Side 1",#N/A,FALSE,"Hovedark";"Side 2",#N/A,FALSE,"Hovedark";"Cash Flow",#N/A,FALSE,"Hovedark";"Valuation",#N/A,FALSE,"Valuation";"Bagside DK",#N/A,FALSE,"Bagside";"Overblik",#N/A,FALSE,"Butikker";"Egne_but",#N/A,FALSE,"Butikker";"Andet_salg",#N/A,FALSE,"Butikker";"Halvår",#N/A,FALSE,"Halvår";"Investeringer",#N/A,FALSE,"Investeringer"}</definedName>
    <definedName name="ffeffn" localSheetId="1" hidden="1">{"Side 1",#N/A,FALSE,"Hovedark";"Side 2",#N/A,FALSE,"Hovedark";"Cash Flow",#N/A,FALSE,"Hovedark";"Valuation",#N/A,FALSE,"Valuation";"Bagside DK",#N/A,FALSE,"Bagside";"Overblik",#N/A,FALSE,"Butikker";"Egne_but",#N/A,FALSE,"Butikker";"Andet_salg",#N/A,FALSE,"Butikker";"Halvår",#N/A,FALSE,"Halvår";"Investeringer",#N/A,FALSE,"Investeringer"}</definedName>
    <definedName name="ffeffn" localSheetId="31" hidden="1">{"Side 1",#N/A,FALSE,"Hovedark";"Side 2",#N/A,FALSE,"Hovedark";"Cash Flow",#N/A,FALSE,"Hovedark";"Valuation",#N/A,FALSE,"Valuation";"Bagside DK",#N/A,FALSE,"Bagside";"Overblik",#N/A,FALSE,"Butikker";"Egne_but",#N/A,FALSE,"Butikker";"Andet_salg",#N/A,FALSE,"Butikker";"Halvår",#N/A,FALSE,"Halvår";"Investeringer",#N/A,FALSE,"Investeringer"}</definedName>
    <definedName name="ffeffn" hidden="1">{"Side 1",#N/A,FALSE,"Hovedark";"Side 2",#N/A,FALSE,"Hovedark";"Cash Flow",#N/A,FALSE,"Hovedark";"Valuation",#N/A,FALSE,"Valuation";"Bagside DK",#N/A,FALSE,"Bagside";"Overblik",#N/A,FALSE,"Butikker";"Egne_but",#N/A,FALSE,"Butikker";"Andet_salg",#N/A,FALSE,"Butikker";"Halvår",#N/A,FALSE,"Halvår";"Investeringer",#N/A,FALSE,"Investeringer"}</definedName>
    <definedName name="fgdsgfsd" localSheetId="12" hidden="1">{"inputs raw data",#N/A,TRUE,"INPUT"}</definedName>
    <definedName name="fgdsgfsd" localSheetId="18" hidden="1">{"inputs raw data",#N/A,TRUE,"INPUT"}</definedName>
    <definedName name="fgdsgfsd" localSheetId="19" hidden="1">{"inputs raw data",#N/A,TRUE,"INPUT"}</definedName>
    <definedName name="fgdsgfsd" localSheetId="17" hidden="1">{"inputs raw data",#N/A,TRUE,"INPUT"}</definedName>
    <definedName name="fgdsgfsd" localSheetId="22" hidden="1">{"inputs raw data",#N/A,TRUE,"INPUT"}</definedName>
    <definedName name="fgdsgfsd" localSheetId="10" hidden="1">{"inputs raw data",#N/A,TRUE,"INPUT"}</definedName>
    <definedName name="fgdsgfsd" localSheetId="30" hidden="1">{"inputs raw data",#N/A,TRUE,"INPUT"}</definedName>
    <definedName name="fgdsgfsd" localSheetId="0" hidden="1">{"inputs raw data",#N/A,TRUE,"INPUT"}</definedName>
    <definedName name="fgdsgfsd" localSheetId="3" hidden="1">{"inputs raw data",#N/A,TRUE,"INPUT"}</definedName>
    <definedName name="fgdsgfsd" localSheetId="4" hidden="1">{"inputs raw data",#N/A,TRUE,"INPUT"}</definedName>
    <definedName name="fgdsgfsd" localSheetId="28" hidden="1">{"inputs raw data",#N/A,TRUE,"INPUT"}</definedName>
    <definedName name="fgdsgfsd" localSheetId="33" hidden="1">{"inputs raw data",#N/A,TRUE,"INPUT"}</definedName>
    <definedName name="fgdsgfsd" localSheetId="32" hidden="1">{"inputs raw data",#N/A,TRUE,"INPUT"}</definedName>
    <definedName name="fgdsgfsd" localSheetId="7" hidden="1">{"inputs raw data",#N/A,TRUE,"INPUT"}</definedName>
    <definedName name="fgdsgfsd" localSheetId="29" hidden="1">{"inputs raw data",#N/A,TRUE,"INPUT"}</definedName>
    <definedName name="fgdsgfsd" localSheetId="1" hidden="1">{"inputs raw data",#N/A,TRUE,"INPUT"}</definedName>
    <definedName name="fgdsgfsd" localSheetId="31" hidden="1">{"inputs raw data",#N/A,TRUE,"INPUT"}</definedName>
    <definedName name="fgdsgfsd" hidden="1">{"inputs raw data",#N/A,TRUE,"INPUT"}</definedName>
    <definedName name="fhf" localSheetId="12" hidden="1">{#N/A,#N/A,FALSE,"CA";#N/A,#N/A,FALSE,"CN";#N/A,#N/A,FALSE,"Inv";#N/A,#N/A,FALSE,"Inv Acc";"Miguel_balance",#N/A,FALSE,"Bal";#N/A,#N/A,FALSE,"Plantilla";#N/A,#N/A,FALSE,"CA (2)";#N/A,#N/A,FALSE,"CN (2)"}</definedName>
    <definedName name="fhf" localSheetId="18" hidden="1">{#N/A,#N/A,FALSE,"CA";#N/A,#N/A,FALSE,"CN";#N/A,#N/A,FALSE,"Inv";#N/A,#N/A,FALSE,"Inv Acc";"Miguel_balance",#N/A,FALSE,"Bal";#N/A,#N/A,FALSE,"Plantilla";#N/A,#N/A,FALSE,"CA (2)";#N/A,#N/A,FALSE,"CN (2)"}</definedName>
    <definedName name="fhf" localSheetId="19" hidden="1">{#N/A,#N/A,FALSE,"CA";#N/A,#N/A,FALSE,"CN";#N/A,#N/A,FALSE,"Inv";#N/A,#N/A,FALSE,"Inv Acc";"Miguel_balance",#N/A,FALSE,"Bal";#N/A,#N/A,FALSE,"Plantilla";#N/A,#N/A,FALSE,"CA (2)";#N/A,#N/A,FALSE,"CN (2)"}</definedName>
    <definedName name="fhf" localSheetId="17" hidden="1">{#N/A,#N/A,FALSE,"CA";#N/A,#N/A,FALSE,"CN";#N/A,#N/A,FALSE,"Inv";#N/A,#N/A,FALSE,"Inv Acc";"Miguel_balance",#N/A,FALSE,"Bal";#N/A,#N/A,FALSE,"Plantilla";#N/A,#N/A,FALSE,"CA (2)";#N/A,#N/A,FALSE,"CN (2)"}</definedName>
    <definedName name="fhf" localSheetId="22" hidden="1">{#N/A,#N/A,FALSE,"CA";#N/A,#N/A,FALSE,"CN";#N/A,#N/A,FALSE,"Inv";#N/A,#N/A,FALSE,"Inv Acc";"Miguel_balance",#N/A,FALSE,"Bal";#N/A,#N/A,FALSE,"Plantilla";#N/A,#N/A,FALSE,"CA (2)";#N/A,#N/A,FALSE,"CN (2)"}</definedName>
    <definedName name="fhf" localSheetId="10" hidden="1">{#N/A,#N/A,FALSE,"CA";#N/A,#N/A,FALSE,"CN";#N/A,#N/A,FALSE,"Inv";#N/A,#N/A,FALSE,"Inv Acc";"Miguel_balance",#N/A,FALSE,"Bal";#N/A,#N/A,FALSE,"Plantilla";#N/A,#N/A,FALSE,"CA (2)";#N/A,#N/A,FALSE,"CN (2)"}</definedName>
    <definedName name="fhf" localSheetId="30" hidden="1">{#N/A,#N/A,FALSE,"CA";#N/A,#N/A,FALSE,"CN";#N/A,#N/A,FALSE,"Inv";#N/A,#N/A,FALSE,"Inv Acc";"Miguel_balance",#N/A,FALSE,"Bal";#N/A,#N/A,FALSE,"Plantilla";#N/A,#N/A,FALSE,"CA (2)";#N/A,#N/A,FALSE,"CN (2)"}</definedName>
    <definedName name="fhf" localSheetId="0" hidden="1">{#N/A,#N/A,FALSE,"CA";#N/A,#N/A,FALSE,"CN";#N/A,#N/A,FALSE,"Inv";#N/A,#N/A,FALSE,"Inv Acc";"Miguel_balance",#N/A,FALSE,"Bal";#N/A,#N/A,FALSE,"Plantilla";#N/A,#N/A,FALSE,"CA (2)";#N/A,#N/A,FALSE,"CN (2)"}</definedName>
    <definedName name="fhf" localSheetId="3" hidden="1">{#N/A,#N/A,FALSE,"CA";#N/A,#N/A,FALSE,"CN";#N/A,#N/A,FALSE,"Inv";#N/A,#N/A,FALSE,"Inv Acc";"Miguel_balance",#N/A,FALSE,"Bal";#N/A,#N/A,FALSE,"Plantilla";#N/A,#N/A,FALSE,"CA (2)";#N/A,#N/A,FALSE,"CN (2)"}</definedName>
    <definedName name="fhf" localSheetId="4" hidden="1">{#N/A,#N/A,FALSE,"CA";#N/A,#N/A,FALSE,"CN";#N/A,#N/A,FALSE,"Inv";#N/A,#N/A,FALSE,"Inv Acc";"Miguel_balance",#N/A,FALSE,"Bal";#N/A,#N/A,FALSE,"Plantilla";#N/A,#N/A,FALSE,"CA (2)";#N/A,#N/A,FALSE,"CN (2)"}</definedName>
    <definedName name="fhf" localSheetId="28" hidden="1">{#N/A,#N/A,FALSE,"CA";#N/A,#N/A,FALSE,"CN";#N/A,#N/A,FALSE,"Inv";#N/A,#N/A,FALSE,"Inv Acc";"Miguel_balance",#N/A,FALSE,"Bal";#N/A,#N/A,FALSE,"Plantilla";#N/A,#N/A,FALSE,"CA (2)";#N/A,#N/A,FALSE,"CN (2)"}</definedName>
    <definedName name="fhf" localSheetId="33" hidden="1">{#N/A,#N/A,FALSE,"CA";#N/A,#N/A,FALSE,"CN";#N/A,#N/A,FALSE,"Inv";#N/A,#N/A,FALSE,"Inv Acc";"Miguel_balance",#N/A,FALSE,"Bal";#N/A,#N/A,FALSE,"Plantilla";#N/A,#N/A,FALSE,"CA (2)";#N/A,#N/A,FALSE,"CN (2)"}</definedName>
    <definedName name="fhf" localSheetId="32" hidden="1">{#N/A,#N/A,FALSE,"CA";#N/A,#N/A,FALSE,"CN";#N/A,#N/A,FALSE,"Inv";#N/A,#N/A,FALSE,"Inv Acc";"Miguel_balance",#N/A,FALSE,"Bal";#N/A,#N/A,FALSE,"Plantilla";#N/A,#N/A,FALSE,"CA (2)";#N/A,#N/A,FALSE,"CN (2)"}</definedName>
    <definedName name="fhf" localSheetId="7" hidden="1">{#N/A,#N/A,FALSE,"CA";#N/A,#N/A,FALSE,"CN";#N/A,#N/A,FALSE,"Inv";#N/A,#N/A,FALSE,"Inv Acc";"Miguel_balance",#N/A,FALSE,"Bal";#N/A,#N/A,FALSE,"Plantilla";#N/A,#N/A,FALSE,"CA (2)";#N/A,#N/A,FALSE,"CN (2)"}</definedName>
    <definedName name="fhf" localSheetId="29" hidden="1">{#N/A,#N/A,FALSE,"CA";#N/A,#N/A,FALSE,"CN";#N/A,#N/A,FALSE,"Inv";#N/A,#N/A,FALSE,"Inv Acc";"Miguel_balance",#N/A,FALSE,"Bal";#N/A,#N/A,FALSE,"Plantilla";#N/A,#N/A,FALSE,"CA (2)";#N/A,#N/A,FALSE,"CN (2)"}</definedName>
    <definedName name="fhf" localSheetId="1" hidden="1">{#N/A,#N/A,FALSE,"CA";#N/A,#N/A,FALSE,"CN";#N/A,#N/A,FALSE,"Inv";#N/A,#N/A,FALSE,"Inv Acc";"Miguel_balance",#N/A,FALSE,"Bal";#N/A,#N/A,FALSE,"Plantilla";#N/A,#N/A,FALSE,"CA (2)";#N/A,#N/A,FALSE,"CN (2)"}</definedName>
    <definedName name="fhf" localSheetId="31" hidden="1">{#N/A,#N/A,FALSE,"CA";#N/A,#N/A,FALSE,"CN";#N/A,#N/A,FALSE,"Inv";#N/A,#N/A,FALSE,"Inv Acc";"Miguel_balance",#N/A,FALSE,"Bal";#N/A,#N/A,FALSE,"Plantilla";#N/A,#N/A,FALSE,"CA (2)";#N/A,#N/A,FALSE,"CN (2)"}</definedName>
    <definedName name="fhf" hidden="1">{#N/A,#N/A,FALSE,"CA";#N/A,#N/A,FALSE,"CN";#N/A,#N/A,FALSE,"Inv";#N/A,#N/A,FALSE,"Inv Acc";"Miguel_balance",#N/A,FALSE,"Bal";#N/A,#N/A,FALSE,"Plantilla";#N/A,#N/A,FALSE,"CA (2)";#N/A,#N/A,FALSE,"CN (2)"}</definedName>
    <definedName name="flemming" localSheetId="12" hidden="1">{"Side 1",#N/A,FALSE,"Hovedark";"Side 2",#N/A,FALSE,"Hovedark";"Cash Flow",#N/A,FALSE,"Hovedark";"Bagside DK",#N/A,FALSE,"Bagside";"Bidrag",#N/A,FALSE,"Bidrag";"Valuation",#N/A,FALSE,"Valuation";"Privatforbrug",#N/A,FALSE,"Macro";"Penetreing",#N/A,FALSE,"Oms. forv.";"Prod_Markeder",#N/A,FALSE,"Oms. forv.";"penetreing",#N/A,FALSE,"Penetrering"}</definedName>
    <definedName name="flemming" localSheetId="18" hidden="1">{"Side 1",#N/A,FALSE,"Hovedark";"Side 2",#N/A,FALSE,"Hovedark";"Cash Flow",#N/A,FALSE,"Hovedark";"Bagside DK",#N/A,FALSE,"Bagside";"Bidrag",#N/A,FALSE,"Bidrag";"Valuation",#N/A,FALSE,"Valuation";"Privatforbrug",#N/A,FALSE,"Macro";"Penetreing",#N/A,FALSE,"Oms. forv.";"Prod_Markeder",#N/A,FALSE,"Oms. forv.";"penetreing",#N/A,FALSE,"Penetrering"}</definedName>
    <definedName name="flemming" localSheetId="19" hidden="1">{"Side 1",#N/A,FALSE,"Hovedark";"Side 2",#N/A,FALSE,"Hovedark";"Cash Flow",#N/A,FALSE,"Hovedark";"Bagside DK",#N/A,FALSE,"Bagside";"Bidrag",#N/A,FALSE,"Bidrag";"Valuation",#N/A,FALSE,"Valuation";"Privatforbrug",#N/A,FALSE,"Macro";"Penetreing",#N/A,FALSE,"Oms. forv.";"Prod_Markeder",#N/A,FALSE,"Oms. forv.";"penetreing",#N/A,FALSE,"Penetrering"}</definedName>
    <definedName name="flemming" localSheetId="17" hidden="1">{"Side 1",#N/A,FALSE,"Hovedark";"Side 2",#N/A,FALSE,"Hovedark";"Cash Flow",#N/A,FALSE,"Hovedark";"Bagside DK",#N/A,FALSE,"Bagside";"Bidrag",#N/A,FALSE,"Bidrag";"Valuation",#N/A,FALSE,"Valuation";"Privatforbrug",#N/A,FALSE,"Macro";"Penetreing",#N/A,FALSE,"Oms. forv.";"Prod_Markeder",#N/A,FALSE,"Oms. forv.";"penetreing",#N/A,FALSE,"Penetrering"}</definedName>
    <definedName name="flemming" localSheetId="22" hidden="1">{"Side 1",#N/A,FALSE,"Hovedark";"Side 2",#N/A,FALSE,"Hovedark";"Cash Flow",#N/A,FALSE,"Hovedark";"Bagside DK",#N/A,FALSE,"Bagside";"Bidrag",#N/A,FALSE,"Bidrag";"Valuation",#N/A,FALSE,"Valuation";"Privatforbrug",#N/A,FALSE,"Macro";"Penetreing",#N/A,FALSE,"Oms. forv.";"Prod_Markeder",#N/A,FALSE,"Oms. forv.";"penetreing",#N/A,FALSE,"Penetrering"}</definedName>
    <definedName name="flemming" localSheetId="10" hidden="1">{"Side 1",#N/A,FALSE,"Hovedark";"Side 2",#N/A,FALSE,"Hovedark";"Cash Flow",#N/A,FALSE,"Hovedark";"Bagside DK",#N/A,FALSE,"Bagside";"Bidrag",#N/A,FALSE,"Bidrag";"Valuation",#N/A,FALSE,"Valuation";"Privatforbrug",#N/A,FALSE,"Macro";"Penetreing",#N/A,FALSE,"Oms. forv.";"Prod_Markeder",#N/A,FALSE,"Oms. forv.";"penetreing",#N/A,FALSE,"Penetrering"}</definedName>
    <definedName name="flemming" localSheetId="30" hidden="1">{"Side 1",#N/A,FALSE,"Hovedark";"Side 2",#N/A,FALSE,"Hovedark";"Cash Flow",#N/A,FALSE,"Hovedark";"Bagside DK",#N/A,FALSE,"Bagside";"Bidrag",#N/A,FALSE,"Bidrag";"Valuation",#N/A,FALSE,"Valuation";"Privatforbrug",#N/A,FALSE,"Macro";"Penetreing",#N/A,FALSE,"Oms. forv.";"Prod_Markeder",#N/A,FALSE,"Oms. forv.";"penetreing",#N/A,FALSE,"Penetrering"}</definedName>
    <definedName name="flemming" localSheetId="0" hidden="1">{"Side 1",#N/A,FALSE,"Hovedark";"Side 2",#N/A,FALSE,"Hovedark";"Cash Flow",#N/A,FALSE,"Hovedark";"Bagside DK",#N/A,FALSE,"Bagside";"Bidrag",#N/A,FALSE,"Bidrag";"Valuation",#N/A,FALSE,"Valuation";"Privatforbrug",#N/A,FALSE,"Macro";"Penetreing",#N/A,FALSE,"Oms. forv.";"Prod_Markeder",#N/A,FALSE,"Oms. forv.";"penetreing",#N/A,FALSE,"Penetrering"}</definedName>
    <definedName name="flemming" localSheetId="3" hidden="1">{"Side 1",#N/A,FALSE,"Hovedark";"Side 2",#N/A,FALSE,"Hovedark";"Cash Flow",#N/A,FALSE,"Hovedark";"Bagside DK",#N/A,FALSE,"Bagside";"Bidrag",#N/A,FALSE,"Bidrag";"Valuation",#N/A,FALSE,"Valuation";"Privatforbrug",#N/A,FALSE,"Macro";"Penetreing",#N/A,FALSE,"Oms. forv.";"Prod_Markeder",#N/A,FALSE,"Oms. forv.";"penetreing",#N/A,FALSE,"Penetrering"}</definedName>
    <definedName name="flemming" localSheetId="4" hidden="1">{"Side 1",#N/A,FALSE,"Hovedark";"Side 2",#N/A,FALSE,"Hovedark";"Cash Flow",#N/A,FALSE,"Hovedark";"Bagside DK",#N/A,FALSE,"Bagside";"Bidrag",#N/A,FALSE,"Bidrag";"Valuation",#N/A,FALSE,"Valuation";"Privatforbrug",#N/A,FALSE,"Macro";"Penetreing",#N/A,FALSE,"Oms. forv.";"Prod_Markeder",#N/A,FALSE,"Oms. forv.";"penetreing",#N/A,FALSE,"Penetrering"}</definedName>
    <definedName name="flemming" localSheetId="28" hidden="1">{"Side 1",#N/A,FALSE,"Hovedark";"Side 2",#N/A,FALSE,"Hovedark";"Cash Flow",#N/A,FALSE,"Hovedark";"Bagside DK",#N/A,FALSE,"Bagside";"Bidrag",#N/A,FALSE,"Bidrag";"Valuation",#N/A,FALSE,"Valuation";"Privatforbrug",#N/A,FALSE,"Macro";"Penetreing",#N/A,FALSE,"Oms. forv.";"Prod_Markeder",#N/A,FALSE,"Oms. forv.";"penetreing",#N/A,FALSE,"Penetrering"}</definedName>
    <definedName name="flemming" localSheetId="33" hidden="1">{"Side 1",#N/A,FALSE,"Hovedark";"Side 2",#N/A,FALSE,"Hovedark";"Cash Flow",#N/A,FALSE,"Hovedark";"Bagside DK",#N/A,FALSE,"Bagside";"Bidrag",#N/A,FALSE,"Bidrag";"Valuation",#N/A,FALSE,"Valuation";"Privatforbrug",#N/A,FALSE,"Macro";"Penetreing",#N/A,FALSE,"Oms. forv.";"Prod_Markeder",#N/A,FALSE,"Oms. forv.";"penetreing",#N/A,FALSE,"Penetrering"}</definedName>
    <definedName name="flemming" localSheetId="32" hidden="1">{"Side 1",#N/A,FALSE,"Hovedark";"Side 2",#N/A,FALSE,"Hovedark";"Cash Flow",#N/A,FALSE,"Hovedark";"Bagside DK",#N/A,FALSE,"Bagside";"Bidrag",#N/A,FALSE,"Bidrag";"Valuation",#N/A,FALSE,"Valuation";"Privatforbrug",#N/A,FALSE,"Macro";"Penetreing",#N/A,FALSE,"Oms. forv.";"Prod_Markeder",#N/A,FALSE,"Oms. forv.";"penetreing",#N/A,FALSE,"Penetrering"}</definedName>
    <definedName name="flemming" localSheetId="7" hidden="1">{"Side 1",#N/A,FALSE,"Hovedark";"Side 2",#N/A,FALSE,"Hovedark";"Cash Flow",#N/A,FALSE,"Hovedark";"Bagside DK",#N/A,FALSE,"Bagside";"Bidrag",#N/A,FALSE,"Bidrag";"Valuation",#N/A,FALSE,"Valuation";"Privatforbrug",#N/A,FALSE,"Macro";"Penetreing",#N/A,FALSE,"Oms. forv.";"Prod_Markeder",#N/A,FALSE,"Oms. forv.";"penetreing",#N/A,FALSE,"Penetrering"}</definedName>
    <definedName name="flemming" localSheetId="29" hidden="1">{"Side 1",#N/A,FALSE,"Hovedark";"Side 2",#N/A,FALSE,"Hovedark";"Cash Flow",#N/A,FALSE,"Hovedark";"Bagside DK",#N/A,FALSE,"Bagside";"Bidrag",#N/A,FALSE,"Bidrag";"Valuation",#N/A,FALSE,"Valuation";"Privatforbrug",#N/A,FALSE,"Macro";"Penetreing",#N/A,FALSE,"Oms. forv.";"Prod_Markeder",#N/A,FALSE,"Oms. forv.";"penetreing",#N/A,FALSE,"Penetrering"}</definedName>
    <definedName name="flemming" localSheetId="1" hidden="1">{"Side 1",#N/A,FALSE,"Hovedark";"Side 2",#N/A,FALSE,"Hovedark";"Cash Flow",#N/A,FALSE,"Hovedark";"Bagside DK",#N/A,FALSE,"Bagside";"Bidrag",#N/A,FALSE,"Bidrag";"Valuation",#N/A,FALSE,"Valuation";"Privatforbrug",#N/A,FALSE,"Macro";"Penetreing",#N/A,FALSE,"Oms. forv.";"Prod_Markeder",#N/A,FALSE,"Oms. forv.";"penetreing",#N/A,FALSE,"Penetrering"}</definedName>
    <definedName name="flemming" localSheetId="31" hidden="1">{"Side 1",#N/A,FALSE,"Hovedark";"Side 2",#N/A,FALSE,"Hovedark";"Cash Flow",#N/A,FALSE,"Hovedark";"Bagside DK",#N/A,FALSE,"Bagside";"Bidrag",#N/A,FALSE,"Bidrag";"Valuation",#N/A,FALSE,"Valuation";"Privatforbrug",#N/A,FALSE,"Macro";"Penetreing",#N/A,FALSE,"Oms. forv.";"Prod_Markeder",#N/A,FALSE,"Oms. forv.";"penetreing",#N/A,FALSE,"Penetrering"}</definedName>
    <definedName name="flemming" hidden="1">{"Side 1",#N/A,FALSE,"Hovedark";"Side 2",#N/A,FALSE,"Hovedark";"Cash Flow",#N/A,FALSE,"Hovedark";"Bagside DK",#N/A,FALSE,"Bagside";"Bidrag",#N/A,FALSE,"Bidrag";"Valuation",#N/A,FALSE,"Valuation";"Privatforbrug",#N/A,FALSE,"Macro";"Penetreing",#N/A,FALSE,"Oms. forv.";"Prod_Markeder",#N/A,FALSE,"Oms. forv.";"penetreing",#N/A,FALSE,"Penetrering"}</definedName>
    <definedName name="gert" localSheetId="12" hidden="1">{"Res_og_nøgle",#N/A,FALSE,"Hovedark";"Balance",#N/A,FALSE,"Hovedark";"Bagside_DK",#N/A,FALSE,"Bagside"}</definedName>
    <definedName name="gert" localSheetId="18" hidden="1">{"Res_og_nøgle",#N/A,FALSE,"Hovedark";"Balance",#N/A,FALSE,"Hovedark";"Bagside_DK",#N/A,FALSE,"Bagside"}</definedName>
    <definedName name="gert" localSheetId="19" hidden="1">{"Res_og_nøgle",#N/A,FALSE,"Hovedark";"Balance",#N/A,FALSE,"Hovedark";"Bagside_DK",#N/A,FALSE,"Bagside"}</definedName>
    <definedName name="gert" localSheetId="17" hidden="1">{"Res_og_nøgle",#N/A,FALSE,"Hovedark";"Balance",#N/A,FALSE,"Hovedark";"Bagside_DK",#N/A,FALSE,"Bagside"}</definedName>
    <definedName name="gert" localSheetId="22" hidden="1">{"Res_og_nøgle",#N/A,FALSE,"Hovedark";"Balance",#N/A,FALSE,"Hovedark";"Bagside_DK",#N/A,FALSE,"Bagside"}</definedName>
    <definedName name="gert" localSheetId="10" hidden="1">{"Res_og_nøgle",#N/A,FALSE,"Hovedark";"Balance",#N/A,FALSE,"Hovedark";"Bagside_DK",#N/A,FALSE,"Bagside"}</definedName>
    <definedName name="gert" localSheetId="30" hidden="1">{"Res_og_nøgle",#N/A,FALSE,"Hovedark";"Balance",#N/A,FALSE,"Hovedark";"Bagside_DK",#N/A,FALSE,"Bagside"}</definedName>
    <definedName name="gert" localSheetId="0" hidden="1">{"Res_og_nøgle",#N/A,FALSE,"Hovedark";"Balance",#N/A,FALSE,"Hovedark";"Bagside_DK",#N/A,FALSE,"Bagside"}</definedName>
    <definedName name="gert" localSheetId="3" hidden="1">{"Res_og_nøgle",#N/A,FALSE,"Hovedark";"Balance",#N/A,FALSE,"Hovedark";"Bagside_DK",#N/A,FALSE,"Bagside"}</definedName>
    <definedName name="gert" localSheetId="4" hidden="1">{"Res_og_nøgle",#N/A,FALSE,"Hovedark";"Balance",#N/A,FALSE,"Hovedark";"Bagside_DK",#N/A,FALSE,"Bagside"}</definedName>
    <definedName name="gert" localSheetId="28" hidden="1">{"Res_og_nøgle",#N/A,FALSE,"Hovedark";"Balance",#N/A,FALSE,"Hovedark";"Bagside_DK",#N/A,FALSE,"Bagside"}</definedName>
    <definedName name="gert" localSheetId="33" hidden="1">{"Res_og_nøgle",#N/A,FALSE,"Hovedark";"Balance",#N/A,FALSE,"Hovedark";"Bagside_DK",#N/A,FALSE,"Bagside"}</definedName>
    <definedName name="gert" localSheetId="32" hidden="1">{"Res_og_nøgle",#N/A,FALSE,"Hovedark";"Balance",#N/A,FALSE,"Hovedark";"Bagside_DK",#N/A,FALSE,"Bagside"}</definedName>
    <definedName name="gert" localSheetId="7" hidden="1">{"Res_og_nøgle",#N/A,FALSE,"Hovedark";"Balance",#N/A,FALSE,"Hovedark";"Bagside_DK",#N/A,FALSE,"Bagside"}</definedName>
    <definedName name="gert" localSheetId="29" hidden="1">{"Res_og_nøgle",#N/A,FALSE,"Hovedark";"Balance",#N/A,FALSE,"Hovedark";"Bagside_DK",#N/A,FALSE,"Bagside"}</definedName>
    <definedName name="gert" localSheetId="1" hidden="1">{"Res_og_nøgle",#N/A,FALSE,"Hovedark";"Balance",#N/A,FALSE,"Hovedark";"Bagside_DK",#N/A,FALSE,"Bagside"}</definedName>
    <definedName name="gert" localSheetId="31" hidden="1">{"Res_og_nøgle",#N/A,FALSE,"Hovedark";"Balance",#N/A,FALSE,"Hovedark";"Bagside_DK",#N/A,FALSE,"Bagside"}</definedName>
    <definedName name="gert" hidden="1">{"Res_og_nøgle",#N/A,FALSE,"Hovedark";"Balance",#N/A,FALSE,"Hovedark";"Bagside_DK",#N/A,FALSE,"Bagside"}</definedName>
    <definedName name="ghdgh" localSheetId="12" hidden="1">{"mgmt forecast",#N/A,FALSE,"Mgmt Forecast";"dcf table",#N/A,FALSE,"Mgmt Forecast";"sensitivity",#N/A,FALSE,"Mgmt Forecast";"table inputs",#N/A,FALSE,"Mgmt Forecast";"calculations",#N/A,FALSE,"Mgmt Forecast"}</definedName>
    <definedName name="ghdgh" localSheetId="18" hidden="1">{"mgmt forecast",#N/A,FALSE,"Mgmt Forecast";"dcf table",#N/A,FALSE,"Mgmt Forecast";"sensitivity",#N/A,FALSE,"Mgmt Forecast";"table inputs",#N/A,FALSE,"Mgmt Forecast";"calculations",#N/A,FALSE,"Mgmt Forecast"}</definedName>
    <definedName name="ghdgh" localSheetId="19" hidden="1">{"mgmt forecast",#N/A,FALSE,"Mgmt Forecast";"dcf table",#N/A,FALSE,"Mgmt Forecast";"sensitivity",#N/A,FALSE,"Mgmt Forecast";"table inputs",#N/A,FALSE,"Mgmt Forecast";"calculations",#N/A,FALSE,"Mgmt Forecast"}</definedName>
    <definedName name="ghdgh" localSheetId="17" hidden="1">{"mgmt forecast",#N/A,FALSE,"Mgmt Forecast";"dcf table",#N/A,FALSE,"Mgmt Forecast";"sensitivity",#N/A,FALSE,"Mgmt Forecast";"table inputs",#N/A,FALSE,"Mgmt Forecast";"calculations",#N/A,FALSE,"Mgmt Forecast"}</definedName>
    <definedName name="ghdgh" localSheetId="22" hidden="1">{"mgmt forecast",#N/A,FALSE,"Mgmt Forecast";"dcf table",#N/A,FALSE,"Mgmt Forecast";"sensitivity",#N/A,FALSE,"Mgmt Forecast";"table inputs",#N/A,FALSE,"Mgmt Forecast";"calculations",#N/A,FALSE,"Mgmt Forecast"}</definedName>
    <definedName name="ghdgh" localSheetId="10" hidden="1">{"mgmt forecast",#N/A,FALSE,"Mgmt Forecast";"dcf table",#N/A,FALSE,"Mgmt Forecast";"sensitivity",#N/A,FALSE,"Mgmt Forecast";"table inputs",#N/A,FALSE,"Mgmt Forecast";"calculations",#N/A,FALSE,"Mgmt Forecast"}</definedName>
    <definedName name="ghdgh" localSheetId="30" hidden="1">{"mgmt forecast",#N/A,FALSE,"Mgmt Forecast";"dcf table",#N/A,FALSE,"Mgmt Forecast";"sensitivity",#N/A,FALSE,"Mgmt Forecast";"table inputs",#N/A,FALSE,"Mgmt Forecast";"calculations",#N/A,FALSE,"Mgmt Forecast"}</definedName>
    <definedName name="ghdgh" localSheetId="0" hidden="1">{"mgmt forecast",#N/A,FALSE,"Mgmt Forecast";"dcf table",#N/A,FALSE,"Mgmt Forecast";"sensitivity",#N/A,FALSE,"Mgmt Forecast";"table inputs",#N/A,FALSE,"Mgmt Forecast";"calculations",#N/A,FALSE,"Mgmt Forecast"}</definedName>
    <definedName name="ghdgh" localSheetId="3" hidden="1">{"mgmt forecast",#N/A,FALSE,"Mgmt Forecast";"dcf table",#N/A,FALSE,"Mgmt Forecast";"sensitivity",#N/A,FALSE,"Mgmt Forecast";"table inputs",#N/A,FALSE,"Mgmt Forecast";"calculations",#N/A,FALSE,"Mgmt Forecast"}</definedName>
    <definedName name="ghdgh" localSheetId="4" hidden="1">{"mgmt forecast",#N/A,FALSE,"Mgmt Forecast";"dcf table",#N/A,FALSE,"Mgmt Forecast";"sensitivity",#N/A,FALSE,"Mgmt Forecast";"table inputs",#N/A,FALSE,"Mgmt Forecast";"calculations",#N/A,FALSE,"Mgmt Forecast"}</definedName>
    <definedName name="ghdgh" localSheetId="28" hidden="1">{"mgmt forecast",#N/A,FALSE,"Mgmt Forecast";"dcf table",#N/A,FALSE,"Mgmt Forecast";"sensitivity",#N/A,FALSE,"Mgmt Forecast";"table inputs",#N/A,FALSE,"Mgmt Forecast";"calculations",#N/A,FALSE,"Mgmt Forecast"}</definedName>
    <definedName name="ghdgh" localSheetId="33" hidden="1">{"mgmt forecast",#N/A,FALSE,"Mgmt Forecast";"dcf table",#N/A,FALSE,"Mgmt Forecast";"sensitivity",#N/A,FALSE,"Mgmt Forecast";"table inputs",#N/A,FALSE,"Mgmt Forecast";"calculations",#N/A,FALSE,"Mgmt Forecast"}</definedName>
    <definedName name="ghdgh" localSheetId="32" hidden="1">{"mgmt forecast",#N/A,FALSE,"Mgmt Forecast";"dcf table",#N/A,FALSE,"Mgmt Forecast";"sensitivity",#N/A,FALSE,"Mgmt Forecast";"table inputs",#N/A,FALSE,"Mgmt Forecast";"calculations",#N/A,FALSE,"Mgmt Forecast"}</definedName>
    <definedName name="ghdgh" localSheetId="7" hidden="1">{"mgmt forecast",#N/A,FALSE,"Mgmt Forecast";"dcf table",#N/A,FALSE,"Mgmt Forecast";"sensitivity",#N/A,FALSE,"Mgmt Forecast";"table inputs",#N/A,FALSE,"Mgmt Forecast";"calculations",#N/A,FALSE,"Mgmt Forecast"}</definedName>
    <definedName name="ghdgh" localSheetId="29" hidden="1">{"mgmt forecast",#N/A,FALSE,"Mgmt Forecast";"dcf table",#N/A,FALSE,"Mgmt Forecast";"sensitivity",#N/A,FALSE,"Mgmt Forecast";"table inputs",#N/A,FALSE,"Mgmt Forecast";"calculations",#N/A,FALSE,"Mgmt Forecast"}</definedName>
    <definedName name="ghdgh" localSheetId="1" hidden="1">{"mgmt forecast",#N/A,FALSE,"Mgmt Forecast";"dcf table",#N/A,FALSE,"Mgmt Forecast";"sensitivity",#N/A,FALSE,"Mgmt Forecast";"table inputs",#N/A,FALSE,"Mgmt Forecast";"calculations",#N/A,FALSE,"Mgmt Forecast"}</definedName>
    <definedName name="ghdgh" localSheetId="31" hidden="1">{"mgmt forecast",#N/A,FALSE,"Mgmt Forecast";"dcf table",#N/A,FALSE,"Mgmt Forecast";"sensitivity",#N/A,FALSE,"Mgmt Forecast";"table inputs",#N/A,FALSE,"Mgmt Forecast";"calculations",#N/A,FALSE,"Mgmt Forecast"}</definedName>
    <definedName name="ghdgh" hidden="1">{"mgmt forecast",#N/A,FALSE,"Mgmt Forecast";"dcf table",#N/A,FALSE,"Mgmt Forecast";"sensitivity",#N/A,FALSE,"Mgmt Forecast";"table inputs",#N/A,FALSE,"Mgmt Forecast";"calculations",#N/A,FALSE,"Mgmt Forecast"}</definedName>
    <definedName name="gls_ACT_EST_ROW" hidden="1">#REF!</definedName>
    <definedName name="gls_ACT_FORM_OFFSET" hidden="1">#REF!</definedName>
    <definedName name="gls_ADMIN" hidden="1">#REF!</definedName>
    <definedName name="gls_ALLOW_BOTH_PC" hidden="1">#REF!</definedName>
    <definedName name="gls_ALLOW_PARENT_OR_CONSOLIDATED" hidden="1">#REF!</definedName>
    <definedName name="gls_ALLOW_PUBLISH" hidden="1">#REF!</definedName>
    <definedName name="gls_AnalystEmpNoHeading" hidden="1">#REF!</definedName>
    <definedName name="gls_AnalystNameHeading" hidden="1">#REF!</definedName>
    <definedName name="gls_CF_BEGINS" hidden="1">#REF!</definedName>
    <definedName name="gls_CFD_CHANGEACT" hidden="1">#REF!</definedName>
    <definedName name="gls_CFD_CHANGEEST" hidden="1">#REF!</definedName>
    <definedName name="gls_CFD_FIRSTAVAIL" hidden="1">#REF!</definedName>
    <definedName name="gls_CFD_LISTAVAIL" hidden="1">#REF!</definedName>
    <definedName name="gls_CFD_SELECTED" hidden="1">#REF!</definedName>
    <definedName name="gls_CHANGED_NAMES" hidden="1">#REF!</definedName>
    <definedName name="gls_CHG_KEY_USER" hidden="1">#REF!</definedName>
    <definedName name="gls_CHG_SEL_ONLY" hidden="1">#REF!</definedName>
    <definedName name="gls_COMPANY_WORKBOOK_ID" hidden="1">#REF!</definedName>
    <definedName name="gls_DELETED_PERIODS" hidden="1">#REF!</definedName>
    <definedName name="gls_EST_FORM_OFFSET" hidden="1">#REF!</definedName>
    <definedName name="gls_EXC_NOT_EXT" hidden="1">#REF!</definedName>
    <definedName name="gls_EXISTING_PERIODS" hidden="1">#REF!</definedName>
    <definedName name="gls_EXT_BELOW_PBT" hidden="1">#REF!</definedName>
    <definedName name="gls_EXT_LINK_GLOSS" hidden="1">#REF!</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#REF!</definedName>
    <definedName name="gls_GW_IN" hidden="1">#REF!</definedName>
    <definedName name="gls_IIAA_IN" hidden="1">#REF!</definedName>
    <definedName name="gls_InterimValue" hidden="1">#REF!</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#REF!</definedName>
    <definedName name="gls_NEXT_PK" hidden="1">#REF!</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#REF!</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#REF!</definedName>
    <definedName name="gls_SaveWkbForNewPeriodCodes" hidden="1">#REF!</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#REF!</definedName>
    <definedName name="gls_SHOW_KEY_VAL_COLUMN" hidden="1">#REF!</definedName>
    <definedName name="gls_SHOW_KEY_VALUES" hidden="1">#REF!</definedName>
    <definedName name="gls_SHOW_LINKED_ITEMS" hidden="1">#REF!</definedName>
    <definedName name="gls_SHOW_LOCAL_NAMES" hidden="1">#REF!</definedName>
    <definedName name="gls_SHOW_MULTIPLIERS" hidden="1">#REF!</definedName>
    <definedName name="gls_SHOW_PK_COLUMN" hidden="1">#REF!</definedName>
    <definedName name="gls_SHOW_STATUS_INFORMATION" hidden="1">#REF!</definedName>
    <definedName name="gls_SHOW_UNITS" hidden="1">#REF!</definedName>
    <definedName name="gls_SPARE_YEARS" hidden="1">#REF!</definedName>
    <definedName name="gls_SPECIAL_DIALOG" hidden="1">#REF!</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#REF!</definedName>
    <definedName name="gls_TEMP_PERIOD_CODE" hidden="1">#REF!</definedName>
    <definedName name="gls_THISWORKBOOK_NAME" hidden="1">#REF!</definedName>
    <definedName name="gls_UNUSUAL_POS" hidden="1">#REF!</definedName>
    <definedName name="gls_USER_CELL_FORMAT" hidden="1">#REF!</definedName>
    <definedName name="gls_USING_CONSOLIDATED" hidden="1">#REF!</definedName>
    <definedName name="gls_YEAR_AE_CONTROL" hidden="1">#REF!</definedName>
    <definedName name="gls_YEAR_END_ROW" hidden="1">#REF!</definedName>
    <definedName name="gls_YetToRunStartupWizard" hidden="1">#REF!</definedName>
    <definedName name="gunnar" localSheetId="12" hidden="1">{"Side 1",#N/A,FALSE,"Hovedark";"Side 2",#N/A,FALSE,"Hovedark";"Cash Flow",#N/A,FALSE,"Hovedark";"Kvartaler",#N/A,FALSE,"Kvartaler";"Div_1",#N/A,FALSE,"Divisioner";"Div_2",#N/A,FALSE,"Divisioner";"Aggregeret",#N/A,FALSE,"Divisioner";"Oppsummering",#N/A,FALSE,"Divisioner";"Produkter",#N/A,FALSE,"Produkter";"Bakside",#N/A,FALSE,"Bagside"}</definedName>
    <definedName name="gunnar" localSheetId="18" hidden="1">{"Side 1",#N/A,FALSE,"Hovedark";"Side 2",#N/A,FALSE,"Hovedark";"Cash Flow",#N/A,FALSE,"Hovedark";"Kvartaler",#N/A,FALSE,"Kvartaler";"Div_1",#N/A,FALSE,"Divisioner";"Div_2",#N/A,FALSE,"Divisioner";"Aggregeret",#N/A,FALSE,"Divisioner";"Oppsummering",#N/A,FALSE,"Divisioner";"Produkter",#N/A,FALSE,"Produkter";"Bakside",#N/A,FALSE,"Bagside"}</definedName>
    <definedName name="gunnar" localSheetId="19" hidden="1">{"Side 1",#N/A,FALSE,"Hovedark";"Side 2",#N/A,FALSE,"Hovedark";"Cash Flow",#N/A,FALSE,"Hovedark";"Kvartaler",#N/A,FALSE,"Kvartaler";"Div_1",#N/A,FALSE,"Divisioner";"Div_2",#N/A,FALSE,"Divisioner";"Aggregeret",#N/A,FALSE,"Divisioner";"Oppsummering",#N/A,FALSE,"Divisioner";"Produkter",#N/A,FALSE,"Produkter";"Bakside",#N/A,FALSE,"Bagside"}</definedName>
    <definedName name="gunnar" localSheetId="17" hidden="1">{"Side 1",#N/A,FALSE,"Hovedark";"Side 2",#N/A,FALSE,"Hovedark";"Cash Flow",#N/A,FALSE,"Hovedark";"Kvartaler",#N/A,FALSE,"Kvartaler";"Div_1",#N/A,FALSE,"Divisioner";"Div_2",#N/A,FALSE,"Divisioner";"Aggregeret",#N/A,FALSE,"Divisioner";"Oppsummering",#N/A,FALSE,"Divisioner";"Produkter",#N/A,FALSE,"Produkter";"Bakside",#N/A,FALSE,"Bagside"}</definedName>
    <definedName name="gunnar" localSheetId="22" hidden="1">{"Side 1",#N/A,FALSE,"Hovedark";"Side 2",#N/A,FALSE,"Hovedark";"Cash Flow",#N/A,FALSE,"Hovedark";"Kvartaler",#N/A,FALSE,"Kvartaler";"Div_1",#N/A,FALSE,"Divisioner";"Div_2",#N/A,FALSE,"Divisioner";"Aggregeret",#N/A,FALSE,"Divisioner";"Oppsummering",#N/A,FALSE,"Divisioner";"Produkter",#N/A,FALSE,"Produkter";"Bakside",#N/A,FALSE,"Bagside"}</definedName>
    <definedName name="gunnar" localSheetId="10" hidden="1">{"Side 1",#N/A,FALSE,"Hovedark";"Side 2",#N/A,FALSE,"Hovedark";"Cash Flow",#N/A,FALSE,"Hovedark";"Kvartaler",#N/A,FALSE,"Kvartaler";"Div_1",#N/A,FALSE,"Divisioner";"Div_2",#N/A,FALSE,"Divisioner";"Aggregeret",#N/A,FALSE,"Divisioner";"Oppsummering",#N/A,FALSE,"Divisioner";"Produkter",#N/A,FALSE,"Produkter";"Bakside",#N/A,FALSE,"Bagside"}</definedName>
    <definedName name="gunnar" localSheetId="30" hidden="1">{"Side 1",#N/A,FALSE,"Hovedark";"Side 2",#N/A,FALSE,"Hovedark";"Cash Flow",#N/A,FALSE,"Hovedark";"Kvartaler",#N/A,FALSE,"Kvartaler";"Div_1",#N/A,FALSE,"Divisioner";"Div_2",#N/A,FALSE,"Divisioner";"Aggregeret",#N/A,FALSE,"Divisioner";"Oppsummering",#N/A,FALSE,"Divisioner";"Produkter",#N/A,FALSE,"Produkter";"Bakside",#N/A,FALSE,"Bagside"}</definedName>
    <definedName name="gunnar" localSheetId="0" hidden="1">{"Side 1",#N/A,FALSE,"Hovedark";"Side 2",#N/A,FALSE,"Hovedark";"Cash Flow",#N/A,FALSE,"Hovedark";"Kvartaler",#N/A,FALSE,"Kvartaler";"Div_1",#N/A,FALSE,"Divisioner";"Div_2",#N/A,FALSE,"Divisioner";"Aggregeret",#N/A,FALSE,"Divisioner";"Oppsummering",#N/A,FALSE,"Divisioner";"Produkter",#N/A,FALSE,"Produkter";"Bakside",#N/A,FALSE,"Bagside"}</definedName>
    <definedName name="gunnar" localSheetId="3" hidden="1">{"Side 1",#N/A,FALSE,"Hovedark";"Side 2",#N/A,FALSE,"Hovedark";"Cash Flow",#N/A,FALSE,"Hovedark";"Kvartaler",#N/A,FALSE,"Kvartaler";"Div_1",#N/A,FALSE,"Divisioner";"Div_2",#N/A,FALSE,"Divisioner";"Aggregeret",#N/A,FALSE,"Divisioner";"Oppsummering",#N/A,FALSE,"Divisioner";"Produkter",#N/A,FALSE,"Produkter";"Bakside",#N/A,FALSE,"Bagside"}</definedName>
    <definedName name="gunnar" localSheetId="4" hidden="1">{"Side 1",#N/A,FALSE,"Hovedark";"Side 2",#N/A,FALSE,"Hovedark";"Cash Flow",#N/A,FALSE,"Hovedark";"Kvartaler",#N/A,FALSE,"Kvartaler";"Div_1",#N/A,FALSE,"Divisioner";"Div_2",#N/A,FALSE,"Divisioner";"Aggregeret",#N/A,FALSE,"Divisioner";"Oppsummering",#N/A,FALSE,"Divisioner";"Produkter",#N/A,FALSE,"Produkter";"Bakside",#N/A,FALSE,"Bagside"}</definedName>
    <definedName name="gunnar" localSheetId="28" hidden="1">{"Side 1",#N/A,FALSE,"Hovedark";"Side 2",#N/A,FALSE,"Hovedark";"Cash Flow",#N/A,FALSE,"Hovedark";"Kvartaler",#N/A,FALSE,"Kvartaler";"Div_1",#N/A,FALSE,"Divisioner";"Div_2",#N/A,FALSE,"Divisioner";"Aggregeret",#N/A,FALSE,"Divisioner";"Oppsummering",#N/A,FALSE,"Divisioner";"Produkter",#N/A,FALSE,"Produkter";"Bakside",#N/A,FALSE,"Bagside"}</definedName>
    <definedName name="gunnar" localSheetId="33" hidden="1">{"Side 1",#N/A,FALSE,"Hovedark";"Side 2",#N/A,FALSE,"Hovedark";"Cash Flow",#N/A,FALSE,"Hovedark";"Kvartaler",#N/A,FALSE,"Kvartaler";"Div_1",#N/A,FALSE,"Divisioner";"Div_2",#N/A,FALSE,"Divisioner";"Aggregeret",#N/A,FALSE,"Divisioner";"Oppsummering",#N/A,FALSE,"Divisioner";"Produkter",#N/A,FALSE,"Produkter";"Bakside",#N/A,FALSE,"Bagside"}</definedName>
    <definedName name="gunnar" localSheetId="32" hidden="1">{"Side 1",#N/A,FALSE,"Hovedark";"Side 2",#N/A,FALSE,"Hovedark";"Cash Flow",#N/A,FALSE,"Hovedark";"Kvartaler",#N/A,FALSE,"Kvartaler";"Div_1",#N/A,FALSE,"Divisioner";"Div_2",#N/A,FALSE,"Divisioner";"Aggregeret",#N/A,FALSE,"Divisioner";"Oppsummering",#N/A,FALSE,"Divisioner";"Produkter",#N/A,FALSE,"Produkter";"Bakside",#N/A,FALSE,"Bagside"}</definedName>
    <definedName name="gunnar" localSheetId="7" hidden="1">{"Side 1",#N/A,FALSE,"Hovedark";"Side 2",#N/A,FALSE,"Hovedark";"Cash Flow",#N/A,FALSE,"Hovedark";"Kvartaler",#N/A,FALSE,"Kvartaler";"Div_1",#N/A,FALSE,"Divisioner";"Div_2",#N/A,FALSE,"Divisioner";"Aggregeret",#N/A,FALSE,"Divisioner";"Oppsummering",#N/A,FALSE,"Divisioner";"Produkter",#N/A,FALSE,"Produkter";"Bakside",#N/A,FALSE,"Bagside"}</definedName>
    <definedName name="gunnar" localSheetId="29" hidden="1">{"Side 1",#N/A,FALSE,"Hovedark";"Side 2",#N/A,FALSE,"Hovedark";"Cash Flow",#N/A,FALSE,"Hovedark";"Kvartaler",#N/A,FALSE,"Kvartaler";"Div_1",#N/A,FALSE,"Divisioner";"Div_2",#N/A,FALSE,"Divisioner";"Aggregeret",#N/A,FALSE,"Divisioner";"Oppsummering",#N/A,FALSE,"Divisioner";"Produkter",#N/A,FALSE,"Produkter";"Bakside",#N/A,FALSE,"Bagside"}</definedName>
    <definedName name="gunnar" localSheetId="1" hidden="1">{"Side 1",#N/A,FALSE,"Hovedark";"Side 2",#N/A,FALSE,"Hovedark";"Cash Flow",#N/A,FALSE,"Hovedark";"Kvartaler",#N/A,FALSE,"Kvartaler";"Div_1",#N/A,FALSE,"Divisioner";"Div_2",#N/A,FALSE,"Divisioner";"Aggregeret",#N/A,FALSE,"Divisioner";"Oppsummering",#N/A,FALSE,"Divisioner";"Produkter",#N/A,FALSE,"Produkter";"Bakside",#N/A,FALSE,"Bagside"}</definedName>
    <definedName name="gunnar" localSheetId="31" hidden="1">{"Side 1",#N/A,FALSE,"Hovedark";"Side 2",#N/A,FALSE,"Hovedark";"Cash Flow",#N/A,FALSE,"Hovedark";"Kvartaler",#N/A,FALSE,"Kvartaler";"Div_1",#N/A,FALSE,"Divisioner";"Div_2",#N/A,FALSE,"Divisioner";"Aggregeret",#N/A,FALSE,"Divisioner";"Oppsummering",#N/A,FALSE,"Divisioner";"Produkter",#N/A,FALSE,"Produkter";"Bakside",#N/A,FALSE,"Bagside"}</definedName>
    <definedName name="gunnar" hidden="1">{"Side 1",#N/A,FALSE,"Hovedark";"Side 2",#N/A,FALSE,"Hovedark";"Cash Flow",#N/A,FALSE,"Hovedark";"Kvartaler",#N/A,FALSE,"Kvartaler";"Div_1",#N/A,FALSE,"Divisioner";"Div_2",#N/A,FALSE,"Divisioner";"Aggregeret",#N/A,FALSE,"Divisioner";"Oppsummering",#N/A,FALSE,"Divisioner";"Produkter",#N/A,FALSE,"Produkter";"Bakside",#N/A,FALSE,"Bagside"}</definedName>
    <definedName name="gwen" localSheetId="12" hidden="1">{"Resultat",#N/A,TRUE,"Hovedtal";"Balance",#N/A,TRUE,"Hovedtal";"Cash_Flow",#N/A,TRUE,"Hovedtal"}</definedName>
    <definedName name="gwen" localSheetId="18" hidden="1">{"Resultat",#N/A,TRUE,"Hovedtal";"Balance",#N/A,TRUE,"Hovedtal";"Cash_Flow",#N/A,TRUE,"Hovedtal"}</definedName>
    <definedName name="gwen" localSheetId="19" hidden="1">{"Resultat",#N/A,TRUE,"Hovedtal";"Balance",#N/A,TRUE,"Hovedtal";"Cash_Flow",#N/A,TRUE,"Hovedtal"}</definedName>
    <definedName name="gwen" localSheetId="17" hidden="1">{"Resultat",#N/A,TRUE,"Hovedtal";"Balance",#N/A,TRUE,"Hovedtal";"Cash_Flow",#N/A,TRUE,"Hovedtal"}</definedName>
    <definedName name="gwen" localSheetId="22" hidden="1">{"Resultat",#N/A,TRUE,"Hovedtal";"Balance",#N/A,TRUE,"Hovedtal";"Cash_Flow",#N/A,TRUE,"Hovedtal"}</definedName>
    <definedName name="gwen" localSheetId="10" hidden="1">{"Resultat",#N/A,TRUE,"Hovedtal";"Balance",#N/A,TRUE,"Hovedtal";"Cash_Flow",#N/A,TRUE,"Hovedtal"}</definedName>
    <definedName name="gwen" localSheetId="30" hidden="1">{"Resultat",#N/A,TRUE,"Hovedtal";"Balance",#N/A,TRUE,"Hovedtal";"Cash_Flow",#N/A,TRUE,"Hovedtal"}</definedName>
    <definedName name="gwen" localSheetId="0" hidden="1">{"Resultat",#N/A,TRUE,"Hovedtal";"Balance",#N/A,TRUE,"Hovedtal";"Cash_Flow",#N/A,TRUE,"Hovedtal"}</definedName>
    <definedName name="gwen" localSheetId="3" hidden="1">{"Resultat",#N/A,TRUE,"Hovedtal";"Balance",#N/A,TRUE,"Hovedtal";"Cash_Flow",#N/A,TRUE,"Hovedtal"}</definedName>
    <definedName name="gwen" localSheetId="4" hidden="1">{"Resultat",#N/A,TRUE,"Hovedtal";"Balance",#N/A,TRUE,"Hovedtal";"Cash_Flow",#N/A,TRUE,"Hovedtal"}</definedName>
    <definedName name="gwen" localSheetId="28" hidden="1">{"Resultat",#N/A,TRUE,"Hovedtal";"Balance",#N/A,TRUE,"Hovedtal";"Cash_Flow",#N/A,TRUE,"Hovedtal"}</definedName>
    <definedName name="gwen" localSheetId="33" hidden="1">{"Resultat",#N/A,TRUE,"Hovedtal";"Balance",#N/A,TRUE,"Hovedtal";"Cash_Flow",#N/A,TRUE,"Hovedtal"}</definedName>
    <definedName name="gwen" localSheetId="32" hidden="1">{"Resultat",#N/A,TRUE,"Hovedtal";"Balance",#N/A,TRUE,"Hovedtal";"Cash_Flow",#N/A,TRUE,"Hovedtal"}</definedName>
    <definedName name="gwen" localSheetId="7" hidden="1">{"Resultat",#N/A,TRUE,"Hovedtal";"Balance",#N/A,TRUE,"Hovedtal";"Cash_Flow",#N/A,TRUE,"Hovedtal"}</definedName>
    <definedName name="gwen" localSheetId="29" hidden="1">{"Resultat",#N/A,TRUE,"Hovedtal";"Balance",#N/A,TRUE,"Hovedtal";"Cash_Flow",#N/A,TRUE,"Hovedtal"}</definedName>
    <definedName name="gwen" localSheetId="1" hidden="1">{"Resultat",#N/A,TRUE,"Hovedtal";"Balance",#N/A,TRUE,"Hovedtal";"Cash_Flow",#N/A,TRUE,"Hovedtal"}</definedName>
    <definedName name="gwen" localSheetId="31" hidden="1">{"Resultat",#N/A,TRUE,"Hovedtal";"Balance",#N/A,TRUE,"Hovedtal";"Cash_Flow",#N/A,TRUE,"Hovedtal"}</definedName>
    <definedName name="gwen" hidden="1">{"Resultat",#N/A,TRUE,"Hovedtal";"Balance",#N/A,TRUE,"Hovedtal";"Cash_Flow",#N/A,TRUE,"Hovedtal"}</definedName>
    <definedName name="hdhgf" localSheetId="12" hidden="1">{"mgmt forecast",#N/A,FALSE,"Mgmt Forecast";"dcf table",#N/A,FALSE,"Mgmt Forecast";"sensitivity",#N/A,FALSE,"Mgmt Forecast";"table inputs",#N/A,FALSE,"Mgmt Forecast";"calculations",#N/A,FALSE,"Mgmt Forecast"}</definedName>
    <definedName name="hdhgf" localSheetId="18" hidden="1">{"mgmt forecast",#N/A,FALSE,"Mgmt Forecast";"dcf table",#N/A,FALSE,"Mgmt Forecast";"sensitivity",#N/A,FALSE,"Mgmt Forecast";"table inputs",#N/A,FALSE,"Mgmt Forecast";"calculations",#N/A,FALSE,"Mgmt Forecast"}</definedName>
    <definedName name="hdhgf" localSheetId="19" hidden="1">{"mgmt forecast",#N/A,FALSE,"Mgmt Forecast";"dcf table",#N/A,FALSE,"Mgmt Forecast";"sensitivity",#N/A,FALSE,"Mgmt Forecast";"table inputs",#N/A,FALSE,"Mgmt Forecast";"calculations",#N/A,FALSE,"Mgmt Forecast"}</definedName>
    <definedName name="hdhgf" localSheetId="17" hidden="1">{"mgmt forecast",#N/A,FALSE,"Mgmt Forecast";"dcf table",#N/A,FALSE,"Mgmt Forecast";"sensitivity",#N/A,FALSE,"Mgmt Forecast";"table inputs",#N/A,FALSE,"Mgmt Forecast";"calculations",#N/A,FALSE,"Mgmt Forecast"}</definedName>
    <definedName name="hdhgf" localSheetId="22" hidden="1">{"mgmt forecast",#N/A,FALSE,"Mgmt Forecast";"dcf table",#N/A,FALSE,"Mgmt Forecast";"sensitivity",#N/A,FALSE,"Mgmt Forecast";"table inputs",#N/A,FALSE,"Mgmt Forecast";"calculations",#N/A,FALSE,"Mgmt Forecast"}</definedName>
    <definedName name="hdhgf" localSheetId="10" hidden="1">{"mgmt forecast",#N/A,FALSE,"Mgmt Forecast";"dcf table",#N/A,FALSE,"Mgmt Forecast";"sensitivity",#N/A,FALSE,"Mgmt Forecast";"table inputs",#N/A,FALSE,"Mgmt Forecast";"calculations",#N/A,FALSE,"Mgmt Forecast"}</definedName>
    <definedName name="hdhgf" localSheetId="30" hidden="1">{"mgmt forecast",#N/A,FALSE,"Mgmt Forecast";"dcf table",#N/A,FALSE,"Mgmt Forecast";"sensitivity",#N/A,FALSE,"Mgmt Forecast";"table inputs",#N/A,FALSE,"Mgmt Forecast";"calculations",#N/A,FALSE,"Mgmt Forecast"}</definedName>
    <definedName name="hdhgf" localSheetId="0" hidden="1">{"mgmt forecast",#N/A,FALSE,"Mgmt Forecast";"dcf table",#N/A,FALSE,"Mgmt Forecast";"sensitivity",#N/A,FALSE,"Mgmt Forecast";"table inputs",#N/A,FALSE,"Mgmt Forecast";"calculations",#N/A,FALSE,"Mgmt Forecast"}</definedName>
    <definedName name="hdhgf" localSheetId="3" hidden="1">{"mgmt forecast",#N/A,FALSE,"Mgmt Forecast";"dcf table",#N/A,FALSE,"Mgmt Forecast";"sensitivity",#N/A,FALSE,"Mgmt Forecast";"table inputs",#N/A,FALSE,"Mgmt Forecast";"calculations",#N/A,FALSE,"Mgmt Forecast"}</definedName>
    <definedName name="hdhgf" localSheetId="4" hidden="1">{"mgmt forecast",#N/A,FALSE,"Mgmt Forecast";"dcf table",#N/A,FALSE,"Mgmt Forecast";"sensitivity",#N/A,FALSE,"Mgmt Forecast";"table inputs",#N/A,FALSE,"Mgmt Forecast";"calculations",#N/A,FALSE,"Mgmt Forecast"}</definedName>
    <definedName name="hdhgf" localSheetId="28" hidden="1">{"mgmt forecast",#N/A,FALSE,"Mgmt Forecast";"dcf table",#N/A,FALSE,"Mgmt Forecast";"sensitivity",#N/A,FALSE,"Mgmt Forecast";"table inputs",#N/A,FALSE,"Mgmt Forecast";"calculations",#N/A,FALSE,"Mgmt Forecast"}</definedName>
    <definedName name="hdhgf" localSheetId="33" hidden="1">{"mgmt forecast",#N/A,FALSE,"Mgmt Forecast";"dcf table",#N/A,FALSE,"Mgmt Forecast";"sensitivity",#N/A,FALSE,"Mgmt Forecast";"table inputs",#N/A,FALSE,"Mgmt Forecast";"calculations",#N/A,FALSE,"Mgmt Forecast"}</definedName>
    <definedName name="hdhgf" localSheetId="32" hidden="1">{"mgmt forecast",#N/A,FALSE,"Mgmt Forecast";"dcf table",#N/A,FALSE,"Mgmt Forecast";"sensitivity",#N/A,FALSE,"Mgmt Forecast";"table inputs",#N/A,FALSE,"Mgmt Forecast";"calculations",#N/A,FALSE,"Mgmt Forecast"}</definedName>
    <definedName name="hdhgf" localSheetId="7" hidden="1">{"mgmt forecast",#N/A,FALSE,"Mgmt Forecast";"dcf table",#N/A,FALSE,"Mgmt Forecast";"sensitivity",#N/A,FALSE,"Mgmt Forecast";"table inputs",#N/A,FALSE,"Mgmt Forecast";"calculations",#N/A,FALSE,"Mgmt Forecast"}</definedName>
    <definedName name="hdhgf" localSheetId="29" hidden="1">{"mgmt forecast",#N/A,FALSE,"Mgmt Forecast";"dcf table",#N/A,FALSE,"Mgmt Forecast";"sensitivity",#N/A,FALSE,"Mgmt Forecast";"table inputs",#N/A,FALSE,"Mgmt Forecast";"calculations",#N/A,FALSE,"Mgmt Forecast"}</definedName>
    <definedName name="hdhgf" localSheetId="1" hidden="1">{"mgmt forecast",#N/A,FALSE,"Mgmt Forecast";"dcf table",#N/A,FALSE,"Mgmt Forecast";"sensitivity",#N/A,FALSE,"Mgmt Forecast";"table inputs",#N/A,FALSE,"Mgmt Forecast";"calculations",#N/A,FALSE,"Mgmt Forecast"}</definedName>
    <definedName name="hdhgf" localSheetId="31" hidden="1">{"mgmt forecast",#N/A,FALSE,"Mgmt Forecast";"dcf table",#N/A,FALSE,"Mgmt Forecast";"sensitivity",#N/A,FALSE,"Mgmt Forecast";"table inputs",#N/A,FALSE,"Mgmt Forecast";"calculations",#N/A,FALSE,"Mgmt Forecast"}</definedName>
    <definedName name="hdhgf" hidden="1">{"mgmt forecast",#N/A,FALSE,"Mgmt Forecast";"dcf table",#N/A,FALSE,"Mgmt Forecast";"sensitivity",#N/A,FALSE,"Mgmt Forecast";"table inputs",#N/A,FALSE,"Mgmt Forecast";"calculations",#N/A,FALSE,"Mgmt Forecast"}</definedName>
    <definedName name="helene" localSheetId="12" hidden="1">{"Side 1",#N/A,FALSE,"Hovedark";"Side 2",#N/A,FALSE,"Hovedark";"Cash Flow",#N/A,FALSE,"Hovedark";"Breakdown",#N/A,FALSE,"Breakdown";"Valuation",#N/A,FALSE,"Valuation";"Bidrag",#N/A,FALSE,"Bidrag"}</definedName>
    <definedName name="helene" localSheetId="18" hidden="1">{"Side 1",#N/A,FALSE,"Hovedark";"Side 2",#N/A,FALSE,"Hovedark";"Cash Flow",#N/A,FALSE,"Hovedark";"Breakdown",#N/A,FALSE,"Breakdown";"Valuation",#N/A,FALSE,"Valuation";"Bidrag",#N/A,FALSE,"Bidrag"}</definedName>
    <definedName name="helene" localSheetId="19" hidden="1">{"Side 1",#N/A,FALSE,"Hovedark";"Side 2",#N/A,FALSE,"Hovedark";"Cash Flow",#N/A,FALSE,"Hovedark";"Breakdown",#N/A,FALSE,"Breakdown";"Valuation",#N/A,FALSE,"Valuation";"Bidrag",#N/A,FALSE,"Bidrag"}</definedName>
    <definedName name="helene" localSheetId="17" hidden="1">{"Side 1",#N/A,FALSE,"Hovedark";"Side 2",#N/A,FALSE,"Hovedark";"Cash Flow",#N/A,FALSE,"Hovedark";"Breakdown",#N/A,FALSE,"Breakdown";"Valuation",#N/A,FALSE,"Valuation";"Bidrag",#N/A,FALSE,"Bidrag"}</definedName>
    <definedName name="helene" localSheetId="22" hidden="1">{"Side 1",#N/A,FALSE,"Hovedark";"Side 2",#N/A,FALSE,"Hovedark";"Cash Flow",#N/A,FALSE,"Hovedark";"Breakdown",#N/A,FALSE,"Breakdown";"Valuation",#N/A,FALSE,"Valuation";"Bidrag",#N/A,FALSE,"Bidrag"}</definedName>
    <definedName name="helene" localSheetId="10" hidden="1">{"Side 1",#N/A,FALSE,"Hovedark";"Side 2",#N/A,FALSE,"Hovedark";"Cash Flow",#N/A,FALSE,"Hovedark";"Breakdown",#N/A,FALSE,"Breakdown";"Valuation",#N/A,FALSE,"Valuation";"Bidrag",#N/A,FALSE,"Bidrag"}</definedName>
    <definedName name="helene" localSheetId="30" hidden="1">{"Side 1",#N/A,FALSE,"Hovedark";"Side 2",#N/A,FALSE,"Hovedark";"Cash Flow",#N/A,FALSE,"Hovedark";"Breakdown",#N/A,FALSE,"Breakdown";"Valuation",#N/A,FALSE,"Valuation";"Bidrag",#N/A,FALSE,"Bidrag"}</definedName>
    <definedName name="helene" localSheetId="0" hidden="1">{"Side 1",#N/A,FALSE,"Hovedark";"Side 2",#N/A,FALSE,"Hovedark";"Cash Flow",#N/A,FALSE,"Hovedark";"Breakdown",#N/A,FALSE,"Breakdown";"Valuation",#N/A,FALSE,"Valuation";"Bidrag",#N/A,FALSE,"Bidrag"}</definedName>
    <definedName name="helene" localSheetId="3" hidden="1">{"Side 1",#N/A,FALSE,"Hovedark";"Side 2",#N/A,FALSE,"Hovedark";"Cash Flow",#N/A,FALSE,"Hovedark";"Breakdown",#N/A,FALSE,"Breakdown";"Valuation",#N/A,FALSE,"Valuation";"Bidrag",#N/A,FALSE,"Bidrag"}</definedName>
    <definedName name="helene" localSheetId="4" hidden="1">{"Side 1",#N/A,FALSE,"Hovedark";"Side 2",#N/A,FALSE,"Hovedark";"Cash Flow",#N/A,FALSE,"Hovedark";"Breakdown",#N/A,FALSE,"Breakdown";"Valuation",#N/A,FALSE,"Valuation";"Bidrag",#N/A,FALSE,"Bidrag"}</definedName>
    <definedName name="helene" localSheetId="28" hidden="1">{"Side 1",#N/A,FALSE,"Hovedark";"Side 2",#N/A,FALSE,"Hovedark";"Cash Flow",#N/A,FALSE,"Hovedark";"Breakdown",#N/A,FALSE,"Breakdown";"Valuation",#N/A,FALSE,"Valuation";"Bidrag",#N/A,FALSE,"Bidrag"}</definedName>
    <definedName name="helene" localSheetId="33" hidden="1">{"Side 1",#N/A,FALSE,"Hovedark";"Side 2",#N/A,FALSE,"Hovedark";"Cash Flow",#N/A,FALSE,"Hovedark";"Breakdown",#N/A,FALSE,"Breakdown";"Valuation",#N/A,FALSE,"Valuation";"Bidrag",#N/A,FALSE,"Bidrag"}</definedName>
    <definedName name="helene" localSheetId="32" hidden="1">{"Side 1",#N/A,FALSE,"Hovedark";"Side 2",#N/A,FALSE,"Hovedark";"Cash Flow",#N/A,FALSE,"Hovedark";"Breakdown",#N/A,FALSE,"Breakdown";"Valuation",#N/A,FALSE,"Valuation";"Bidrag",#N/A,FALSE,"Bidrag"}</definedName>
    <definedName name="helene" localSheetId="7" hidden="1">{"Side 1",#N/A,FALSE,"Hovedark";"Side 2",#N/A,FALSE,"Hovedark";"Cash Flow",#N/A,FALSE,"Hovedark";"Breakdown",#N/A,FALSE,"Breakdown";"Valuation",#N/A,FALSE,"Valuation";"Bidrag",#N/A,FALSE,"Bidrag"}</definedName>
    <definedName name="helene" localSheetId="29" hidden="1">{"Side 1",#N/A,FALSE,"Hovedark";"Side 2",#N/A,FALSE,"Hovedark";"Cash Flow",#N/A,FALSE,"Hovedark";"Breakdown",#N/A,FALSE,"Breakdown";"Valuation",#N/A,FALSE,"Valuation";"Bidrag",#N/A,FALSE,"Bidrag"}</definedName>
    <definedName name="helene" localSheetId="1" hidden="1">{"Side 1",#N/A,FALSE,"Hovedark";"Side 2",#N/A,FALSE,"Hovedark";"Cash Flow",#N/A,FALSE,"Hovedark";"Breakdown",#N/A,FALSE,"Breakdown";"Valuation",#N/A,FALSE,"Valuation";"Bidrag",#N/A,FALSE,"Bidrag"}</definedName>
    <definedName name="helene" localSheetId="31" hidden="1">{"Side 1",#N/A,FALSE,"Hovedark";"Side 2",#N/A,FALSE,"Hovedark";"Cash Flow",#N/A,FALSE,"Hovedark";"Breakdown",#N/A,FALSE,"Breakdown";"Valuation",#N/A,FALSE,"Valuation";"Bidrag",#N/A,FALSE,"Bidrag"}</definedName>
    <definedName name="helene" hidden="1">{"Side 1",#N/A,FALSE,"Hovedark";"Side 2",#N/A,FALSE,"Hovedark";"Cash Flow",#N/A,FALSE,"Hovedark";"Breakdown",#N/A,FALSE,"Breakdown";"Valuation",#N/A,FALSE,"Valuation";"Bidrag",#N/A,FALSE,"Bidrag"}</definedName>
    <definedName name="hgdh" localSheetId="12" hidden="1">{"mgmt forecast",#N/A,FALSE,"Mgmt Forecast";"dcf table",#N/A,FALSE,"Mgmt Forecast";"sensitivity",#N/A,FALSE,"Mgmt Forecast";"table inputs",#N/A,FALSE,"Mgmt Forecast";"calculations",#N/A,FALSE,"Mgmt Forecast"}</definedName>
    <definedName name="hgdh" localSheetId="18" hidden="1">{"mgmt forecast",#N/A,FALSE,"Mgmt Forecast";"dcf table",#N/A,FALSE,"Mgmt Forecast";"sensitivity",#N/A,FALSE,"Mgmt Forecast";"table inputs",#N/A,FALSE,"Mgmt Forecast";"calculations",#N/A,FALSE,"Mgmt Forecast"}</definedName>
    <definedName name="hgdh" localSheetId="19" hidden="1">{"mgmt forecast",#N/A,FALSE,"Mgmt Forecast";"dcf table",#N/A,FALSE,"Mgmt Forecast";"sensitivity",#N/A,FALSE,"Mgmt Forecast";"table inputs",#N/A,FALSE,"Mgmt Forecast";"calculations",#N/A,FALSE,"Mgmt Forecast"}</definedName>
    <definedName name="hgdh" localSheetId="17" hidden="1">{"mgmt forecast",#N/A,FALSE,"Mgmt Forecast";"dcf table",#N/A,FALSE,"Mgmt Forecast";"sensitivity",#N/A,FALSE,"Mgmt Forecast";"table inputs",#N/A,FALSE,"Mgmt Forecast";"calculations",#N/A,FALSE,"Mgmt Forecast"}</definedName>
    <definedName name="hgdh" localSheetId="22" hidden="1">{"mgmt forecast",#N/A,FALSE,"Mgmt Forecast";"dcf table",#N/A,FALSE,"Mgmt Forecast";"sensitivity",#N/A,FALSE,"Mgmt Forecast";"table inputs",#N/A,FALSE,"Mgmt Forecast";"calculations",#N/A,FALSE,"Mgmt Forecast"}</definedName>
    <definedName name="hgdh" localSheetId="10" hidden="1">{"mgmt forecast",#N/A,FALSE,"Mgmt Forecast";"dcf table",#N/A,FALSE,"Mgmt Forecast";"sensitivity",#N/A,FALSE,"Mgmt Forecast";"table inputs",#N/A,FALSE,"Mgmt Forecast";"calculations",#N/A,FALSE,"Mgmt Forecast"}</definedName>
    <definedName name="hgdh" localSheetId="30" hidden="1">{"mgmt forecast",#N/A,FALSE,"Mgmt Forecast";"dcf table",#N/A,FALSE,"Mgmt Forecast";"sensitivity",#N/A,FALSE,"Mgmt Forecast";"table inputs",#N/A,FALSE,"Mgmt Forecast";"calculations",#N/A,FALSE,"Mgmt Forecast"}</definedName>
    <definedName name="hgdh" localSheetId="0" hidden="1">{"mgmt forecast",#N/A,FALSE,"Mgmt Forecast";"dcf table",#N/A,FALSE,"Mgmt Forecast";"sensitivity",#N/A,FALSE,"Mgmt Forecast";"table inputs",#N/A,FALSE,"Mgmt Forecast";"calculations",#N/A,FALSE,"Mgmt Forecast"}</definedName>
    <definedName name="hgdh" localSheetId="3" hidden="1">{"mgmt forecast",#N/A,FALSE,"Mgmt Forecast";"dcf table",#N/A,FALSE,"Mgmt Forecast";"sensitivity",#N/A,FALSE,"Mgmt Forecast";"table inputs",#N/A,FALSE,"Mgmt Forecast";"calculations",#N/A,FALSE,"Mgmt Forecast"}</definedName>
    <definedName name="hgdh" localSheetId="4" hidden="1">{"mgmt forecast",#N/A,FALSE,"Mgmt Forecast";"dcf table",#N/A,FALSE,"Mgmt Forecast";"sensitivity",#N/A,FALSE,"Mgmt Forecast";"table inputs",#N/A,FALSE,"Mgmt Forecast";"calculations",#N/A,FALSE,"Mgmt Forecast"}</definedName>
    <definedName name="hgdh" localSheetId="28" hidden="1">{"mgmt forecast",#N/A,FALSE,"Mgmt Forecast";"dcf table",#N/A,FALSE,"Mgmt Forecast";"sensitivity",#N/A,FALSE,"Mgmt Forecast";"table inputs",#N/A,FALSE,"Mgmt Forecast";"calculations",#N/A,FALSE,"Mgmt Forecast"}</definedName>
    <definedName name="hgdh" localSheetId="33" hidden="1">{"mgmt forecast",#N/A,FALSE,"Mgmt Forecast";"dcf table",#N/A,FALSE,"Mgmt Forecast";"sensitivity",#N/A,FALSE,"Mgmt Forecast";"table inputs",#N/A,FALSE,"Mgmt Forecast";"calculations",#N/A,FALSE,"Mgmt Forecast"}</definedName>
    <definedName name="hgdh" localSheetId="32" hidden="1">{"mgmt forecast",#N/A,FALSE,"Mgmt Forecast";"dcf table",#N/A,FALSE,"Mgmt Forecast";"sensitivity",#N/A,FALSE,"Mgmt Forecast";"table inputs",#N/A,FALSE,"Mgmt Forecast";"calculations",#N/A,FALSE,"Mgmt Forecast"}</definedName>
    <definedName name="hgdh" localSheetId="7" hidden="1">{"mgmt forecast",#N/A,FALSE,"Mgmt Forecast";"dcf table",#N/A,FALSE,"Mgmt Forecast";"sensitivity",#N/A,FALSE,"Mgmt Forecast";"table inputs",#N/A,FALSE,"Mgmt Forecast";"calculations",#N/A,FALSE,"Mgmt Forecast"}</definedName>
    <definedName name="hgdh" localSheetId="29" hidden="1">{"mgmt forecast",#N/A,FALSE,"Mgmt Forecast";"dcf table",#N/A,FALSE,"Mgmt Forecast";"sensitivity",#N/A,FALSE,"Mgmt Forecast";"table inputs",#N/A,FALSE,"Mgmt Forecast";"calculations",#N/A,FALSE,"Mgmt Forecast"}</definedName>
    <definedName name="hgdh" localSheetId="1" hidden="1">{"mgmt forecast",#N/A,FALSE,"Mgmt Forecast";"dcf table",#N/A,FALSE,"Mgmt Forecast";"sensitivity",#N/A,FALSE,"Mgmt Forecast";"table inputs",#N/A,FALSE,"Mgmt Forecast";"calculations",#N/A,FALSE,"Mgmt Forecast"}</definedName>
    <definedName name="hgdh" localSheetId="31" hidden="1">{"mgmt forecast",#N/A,FALSE,"Mgmt Forecast";"dcf table",#N/A,FALSE,"Mgmt Forecast";"sensitivity",#N/A,FALSE,"Mgmt Forecast";"table inputs",#N/A,FALSE,"Mgmt Forecast";"calculations",#N/A,FALSE,"Mgmt Forecast"}</definedName>
    <definedName name="hgdh" hidden="1">{"mgmt forecast",#N/A,FALSE,"Mgmt Forecast";"dcf table",#N/A,FALSE,"Mgmt Forecast";"sensitivity",#N/A,FALSE,"Mgmt Forecast";"table inputs",#N/A,FALSE,"Mgmt Forecast";"calculations",#N/A,FALSE,"Mgmt Forecast"}</definedName>
    <definedName name="hn.ConvertZero1" localSheetId="12" hidden="1">#REF!,#REF!,#REF!,#REF!,#REF!,#REF!,#REF!,#REF!,#REF!,#REF!</definedName>
    <definedName name="hn.ConvertZero1" localSheetId="18" hidden="1">EMBOP_SI!#REF!,EMBOP_SI!#REF!,EMBOP_SI!#REF!,EMBOP_SI!#REF!,EMBOP_SI!#REF!,EMBOP_SI!#REF!,EMBOP_SI!#REF!,EMBOP_SI!#REF!,EMBOP_SI!#REF!,EMBOP_SI!#REF!</definedName>
    <definedName name="hn.ConvertZero1" localSheetId="19" hidden="1">#REF!,#REF!,#REF!,#REF!,#REF!,#REF!,#REF!,#REF!,#REF!,#REF!</definedName>
    <definedName name="hn.ConvertZero1" localSheetId="17" hidden="1">#REF!,#REF!,#REF!,#REF!,#REF!,#REF!,#REF!,#REF!,#REF!,#REF!</definedName>
    <definedName name="hn.ConvertZero1" localSheetId="22" hidden="1">#REF!,#REF!,#REF!,#REF!,#REF!,#REF!,#REF!,#REF!,#REF!,#REF!</definedName>
    <definedName name="hn.ConvertZero1" localSheetId="10" hidden="1">#REF!,#REF!,#REF!,#REF!,#REF!,#REF!,#REF!,#REF!,#REF!,#REF!</definedName>
    <definedName name="hn.ConvertZero1" localSheetId="30" hidden="1">#REF!,#REF!,#REF!,#REF!,#REF!,#REF!,#REF!,#REF!,#REF!,#REF!</definedName>
    <definedName name="hn.ConvertZero1" localSheetId="0" hidden="1">#REF!,#REF!,#REF!,#REF!,#REF!,#REF!,#REF!,#REF!,#REF!,#REF!</definedName>
    <definedName name="hn.ConvertZero1" localSheetId="3" hidden="1">#REF!,#REF!,#REF!,#REF!,#REF!,#REF!,#REF!,#REF!,#REF!,#REF!</definedName>
    <definedName name="hn.ConvertZero1" localSheetId="4" hidden="1">#REF!,#REF!,#REF!,#REF!,#REF!,#REF!,#REF!,#REF!,#REF!,#REF!</definedName>
    <definedName name="hn.ConvertZero1" localSheetId="28" hidden="1">#REF!,#REF!,#REF!,#REF!,#REF!,#REF!,#REF!,#REF!,#REF!,#REF!</definedName>
    <definedName name="hn.ConvertZero1" localSheetId="33" hidden="1">'Reference documents'!#REF!,'Reference documents'!#REF!,'Reference documents'!#REF!,'Reference documents'!#REF!,'Reference documents'!#REF!,'Reference documents'!#REF!,'Reference documents'!#REF!,'Reference documents'!#REF!,'Reference documents'!#REF!,'Reference documents'!#REF!</definedName>
    <definedName name="hn.ConvertZero1" localSheetId="7" hidden="1">#REF!,#REF!,#REF!,#REF!,#REF!,#REF!,#REF!,#REF!,#REF!,#REF!</definedName>
    <definedName name="hn.ConvertZero1" localSheetId="29" hidden="1">#REF!,#REF!,#REF!,#REF!,#REF!,#REF!,#REF!,#REF!,#REF!,#REF!</definedName>
    <definedName name="hn.ConvertZero1" localSheetId="1" hidden="1">#REF!,#REF!,#REF!,#REF!,#REF!,#REF!,#REF!,#REF!,#REF!,#REF!</definedName>
    <definedName name="hn.ConvertZero1" localSheetId="31" hidden="1">#REF!,#REF!,#REF!,#REF!,#REF!,#REF!,#REF!,#REF!,#REF!,#REF!</definedName>
    <definedName name="hn.ConvertZero1" hidden="1">#REF!,#REF!,#REF!,#REF!,#REF!,#REF!,#REF!,#REF!,#REF!,#REF!</definedName>
    <definedName name="hn.ConvertZero2" localSheetId="12" hidden="1">#REF!,#REF!,#REF!,#REF!,#REF!,#REF!,#REF!,#REF!</definedName>
    <definedName name="hn.ConvertZero2" localSheetId="18" hidden="1">EMBOP_SI!#REF!,EMBOP_SI!#REF!,EMBOP_SI!#REF!,EMBOP_SI!#REF!,EMBOP_SI!#REF!,EMBOP_SI!#REF!,EMBOP_SI!#REF!,EMBOP_SI!#REF!</definedName>
    <definedName name="hn.ConvertZero2" localSheetId="19" hidden="1">#REF!,#REF!,#REF!,#REF!,#REF!,#REF!,#REF!,#REF!</definedName>
    <definedName name="hn.ConvertZero2" localSheetId="17" hidden="1">#REF!,#REF!,#REF!,#REF!,#REF!,#REF!,#REF!,#REF!</definedName>
    <definedName name="hn.ConvertZero2" localSheetId="10" hidden="1">#REF!,#REF!,#REF!,#REF!,#REF!,#REF!,#REF!,#REF!</definedName>
    <definedName name="hn.ConvertZero2" localSheetId="30" hidden="1">#REF!,#REF!,#REF!,#REF!,#REF!,#REF!,#REF!,#REF!</definedName>
    <definedName name="hn.ConvertZero2" localSheetId="0" hidden="1">#REF!,#REF!,#REF!,#REF!,#REF!,#REF!,#REF!,#REF!</definedName>
    <definedName name="hn.ConvertZero2" localSheetId="3" hidden="1">#REF!,#REF!,#REF!,#REF!,#REF!,#REF!,#REF!,#REF!</definedName>
    <definedName name="hn.ConvertZero2" localSheetId="4" hidden="1">#REF!,#REF!,#REF!,#REF!,#REF!,#REF!,#REF!,#REF!</definedName>
    <definedName name="hn.ConvertZero2" localSheetId="28" hidden="1">#REF!,#REF!,#REF!,#REF!,#REF!,#REF!,#REF!,#REF!</definedName>
    <definedName name="hn.ConvertZero2" localSheetId="33" hidden="1">'Reference documents'!#REF!,'Reference documents'!#REF!,'Reference documents'!#REF!,'Reference documents'!#REF!,'Reference documents'!#REF!,'Reference documents'!#REF!,'Reference documents'!#REF!,'Reference documents'!#REF!</definedName>
    <definedName name="hn.ConvertZero2" localSheetId="7" hidden="1">#REF!,#REF!,#REF!,#REF!,#REF!,#REF!,#REF!,#REF!</definedName>
    <definedName name="hn.ConvertZero2" localSheetId="29" hidden="1">#REF!,#REF!,#REF!,#REF!,#REF!,#REF!,#REF!,#REF!</definedName>
    <definedName name="hn.ConvertZero2" localSheetId="1" hidden="1">#REF!,#REF!,#REF!,#REF!,#REF!,#REF!,#REF!,#REF!</definedName>
    <definedName name="hn.ConvertZero2" localSheetId="31" hidden="1">#REF!,#REF!,#REF!,#REF!,#REF!,#REF!,#REF!,#REF!</definedName>
    <definedName name="hn.ConvertZero2" hidden="1">#REF!,#REF!,#REF!,#REF!,#REF!,#REF!,#REF!,#REF!</definedName>
    <definedName name="hn.ConvertZero3" localSheetId="12" hidden="1">#REF!,#REF!,#REF!,#REF!,#REF!</definedName>
    <definedName name="hn.ConvertZero3" localSheetId="18" hidden="1">EMBOP_SI!#REF!,EMBOP_SI!#REF!,EMBOP_SI!#REF!,EMBOP_SI!#REF!,EMBOP_SI!#REF!</definedName>
    <definedName name="hn.ConvertZero3" localSheetId="17" hidden="1">#REF!,#REF!,#REF!,#REF!,#REF!</definedName>
    <definedName name="hn.ConvertZero3" localSheetId="10" hidden="1">#REF!,#REF!,#REF!,#REF!,#REF!</definedName>
    <definedName name="hn.ConvertZero3" localSheetId="30" hidden="1">#REF!,#REF!,#REF!,#REF!,#REF!</definedName>
    <definedName name="hn.ConvertZero3" localSheetId="0" hidden="1">#REF!,#REF!,#REF!,#REF!,#REF!</definedName>
    <definedName name="hn.ConvertZero3" localSheetId="3" hidden="1">#REF!,#REF!,#REF!,#REF!,#REF!</definedName>
    <definedName name="hn.ConvertZero3" localSheetId="4" hidden="1">#REF!,#REF!,#REF!,#REF!,#REF!</definedName>
    <definedName name="hn.ConvertZero3" localSheetId="28" hidden="1">#REF!,#REF!,#REF!,#REF!,#REF!</definedName>
    <definedName name="hn.ConvertZero3" localSheetId="33" hidden="1">'Reference documents'!#REF!,'Reference documents'!#REF!,'Reference documents'!#REF!,'Reference documents'!#REF!,'Reference documents'!#REF!</definedName>
    <definedName name="hn.ConvertZero3" localSheetId="7" hidden="1">#REF!,#REF!,#REF!,#REF!,#REF!</definedName>
    <definedName name="hn.ConvertZero3" localSheetId="29" hidden="1">#REF!,#REF!,#REF!,#REF!,#REF!</definedName>
    <definedName name="hn.ConvertZero3" localSheetId="1" hidden="1">#REF!,#REF!,#REF!,#REF!,#REF!</definedName>
    <definedName name="hn.ConvertZero3" localSheetId="31" hidden="1">#REF!,#REF!,#REF!,#REF!,#REF!</definedName>
    <definedName name="hn.ConvertZero3" hidden="1">#REF!,#REF!,#REF!,#REF!,#REF!</definedName>
    <definedName name="hn.ConvertZero4" localSheetId="12" hidden="1">#REF!,#REF!,#REF!,#REF!,#REF!,#REF!,#REF!,#REF!</definedName>
    <definedName name="hn.ConvertZero4" localSheetId="18" hidden="1">EMBOP_SI!#REF!,EMBOP_SI!#REF!,EMBOP_SI!#REF!,EMBOP_SI!#REF!,EMBOP_SI!#REF!,EMBOP_SI!#REF!,EMBOP_SI!#REF!,EMBOP_SI!#REF!</definedName>
    <definedName name="hn.ConvertZero4" localSheetId="17" hidden="1">#REF!,#REF!,#REF!,#REF!,#REF!,#REF!,#REF!,#REF!</definedName>
    <definedName name="hn.ConvertZero4" localSheetId="10" hidden="1">#REF!,#REF!,#REF!,#REF!,#REF!,#REF!,#REF!,#REF!</definedName>
    <definedName name="hn.ConvertZero4" localSheetId="30" hidden="1">#REF!,#REF!,#REF!,#REF!,#REF!,#REF!,#REF!,#REF!</definedName>
    <definedName name="hn.ConvertZero4" localSheetId="0" hidden="1">#REF!,#REF!,#REF!,#REF!,#REF!,#REF!,#REF!,#REF!</definedName>
    <definedName name="hn.ConvertZero4" localSheetId="3" hidden="1">#REF!,#REF!,#REF!,#REF!,#REF!,#REF!,#REF!,#REF!</definedName>
    <definedName name="hn.ConvertZero4" localSheetId="4" hidden="1">#REF!,#REF!,#REF!,#REF!,#REF!,#REF!,#REF!,#REF!</definedName>
    <definedName name="hn.ConvertZero4" localSheetId="28" hidden="1">#REF!,#REF!,#REF!,#REF!,#REF!,#REF!,#REF!,#REF!</definedName>
    <definedName name="hn.ConvertZero4" localSheetId="33" hidden="1">'Reference documents'!#REF!,'Reference documents'!#REF!,'Reference documents'!#REF!,'Reference documents'!#REF!,'Reference documents'!#REF!,'Reference documents'!#REF!,'Reference documents'!#REF!,'Reference documents'!#REF!</definedName>
    <definedName name="hn.ConvertZero4" localSheetId="7" hidden="1">#REF!,#REF!,#REF!,#REF!,#REF!,#REF!,#REF!,#REF!</definedName>
    <definedName name="hn.ConvertZero4" localSheetId="29" hidden="1">#REF!,#REF!,#REF!,#REF!,#REF!,#REF!,#REF!,#REF!</definedName>
    <definedName name="hn.ConvertZero4" localSheetId="1" hidden="1">#REF!,#REF!,#REF!,#REF!,#REF!,#REF!,#REF!,#REF!</definedName>
    <definedName name="hn.ConvertZero4" localSheetId="31" hidden="1">#REF!,#REF!,#REF!,#REF!,#REF!,#REF!,#REF!,#REF!</definedName>
    <definedName name="hn.ConvertZero4" hidden="1">#REF!,#REF!,#REF!,#REF!,#REF!,#REF!,#REF!,#REF!</definedName>
    <definedName name="hn.ConvertZeroUnhide1" localSheetId="12" hidden="1">#REF!,#REF!,#REF!</definedName>
    <definedName name="hn.ConvertZeroUnhide1" localSheetId="18" hidden="1">EMBOP_SI!#REF!,EMBOP_SI!#REF!,EMBOP_SI!#REF!</definedName>
    <definedName name="hn.ConvertZeroUnhide1" localSheetId="10" hidden="1">#REF!,#REF!,#REF!</definedName>
    <definedName name="hn.ConvertZeroUnhide1" localSheetId="30" hidden="1">#REF!,#REF!,#REF!</definedName>
    <definedName name="hn.ConvertZeroUnhide1" localSheetId="0" hidden="1">#REF!,#REF!,#REF!</definedName>
    <definedName name="hn.ConvertZeroUnhide1" localSheetId="3" hidden="1">#REF!,#REF!,#REF!</definedName>
    <definedName name="hn.ConvertZeroUnhide1" localSheetId="4" hidden="1">#REF!,#REF!,#REF!</definedName>
    <definedName name="hn.ConvertZeroUnhide1" localSheetId="28" hidden="1">#REF!,#REF!,#REF!</definedName>
    <definedName name="hn.ConvertZeroUnhide1" localSheetId="33" hidden="1">'Reference documents'!#REF!,'Reference documents'!#REF!,'Reference documents'!#REF!</definedName>
    <definedName name="hn.ConvertZeroUnhide1" localSheetId="7" hidden="1">#REF!,#REF!,#REF!</definedName>
    <definedName name="hn.ConvertZeroUnhide1" localSheetId="29" hidden="1">#REF!,#REF!,#REF!</definedName>
    <definedName name="hn.ConvertZeroUnhide1" localSheetId="1" hidden="1">#REF!,#REF!,#REF!</definedName>
    <definedName name="hn.ConvertZeroUnhide1" localSheetId="31" hidden="1">#REF!,#REF!,#REF!</definedName>
    <definedName name="hn.ConvertZeroUnhide1" hidden="1">#REF!,#REF!,#REF!</definedName>
    <definedName name="hn.Delete015" localSheetId="12" hidden="1">#REF!,#REF!,#REF!,#REF!</definedName>
    <definedName name="hn.Delete015" localSheetId="18" hidden="1">EMBOP_SI!#REF!,EMBOP_SI!#REF!,EMBOP_SI!#REF!,EMBOP_SI!#REF!</definedName>
    <definedName name="hn.Delete015" localSheetId="10" hidden="1">#REF!,#REF!,#REF!,#REF!</definedName>
    <definedName name="hn.Delete015" localSheetId="30" hidden="1">#REF!,#REF!,#REF!,#REF!</definedName>
    <definedName name="hn.Delete015" localSheetId="0" hidden="1">#REF!,#REF!,#REF!,#REF!</definedName>
    <definedName name="hn.Delete015" localSheetId="3" hidden="1">#REF!,#REF!,#REF!,#REF!</definedName>
    <definedName name="hn.Delete015" localSheetId="4" hidden="1">#REF!,#REF!,#REF!,#REF!</definedName>
    <definedName name="hn.Delete015" localSheetId="28" hidden="1">#REF!,#REF!,#REF!,#REF!</definedName>
    <definedName name="hn.Delete015" localSheetId="33" hidden="1">'Reference documents'!#REF!,'Reference documents'!#REF!,'Reference documents'!#REF!,'Reference documents'!#REF!</definedName>
    <definedName name="hn.Delete015" localSheetId="7" hidden="1">#REF!,#REF!,#REF!,#REF!</definedName>
    <definedName name="hn.Delete015" localSheetId="29" hidden="1">#REF!,#REF!,#REF!,#REF!</definedName>
    <definedName name="hn.Delete015" localSheetId="1" hidden="1">#REF!,#REF!,#REF!,#REF!</definedName>
    <definedName name="hn.Delete015" localSheetId="31" hidden="1">#REF!,#REF!,#REF!,#REF!</definedName>
    <definedName name="hn.Delete015" hidden="1">#REF!,#REF!,#REF!,#REF!</definedName>
    <definedName name="hn.DZ_MultByFXRates" localSheetId="12" hidden="1">#REF!,#REF!,#REF!,#REF!</definedName>
    <definedName name="hn.DZ_MultByFXRates" localSheetId="18" hidden="1">EMBOP_SI!#REF!,EMBOP_SI!#REF!,EMBOP_SI!#REF!,EMBOP_SI!#REF!</definedName>
    <definedName name="hn.DZ_MultByFXRates" localSheetId="10" hidden="1">#REF!,#REF!,#REF!,#REF!</definedName>
    <definedName name="hn.DZ_MultByFXRates" localSheetId="30" hidden="1">#REF!,#REF!,#REF!,#REF!</definedName>
    <definedName name="hn.DZ_MultByFXRates" localSheetId="0" hidden="1">#REF!,#REF!,#REF!,#REF!</definedName>
    <definedName name="hn.DZ_MultByFXRates" localSheetId="3" hidden="1">#REF!,#REF!,#REF!,#REF!</definedName>
    <definedName name="hn.DZ_MultByFXRates" localSheetId="4" hidden="1">#REF!,#REF!,#REF!,#REF!</definedName>
    <definedName name="hn.DZ_MultByFXRates" localSheetId="28" hidden="1">#REF!,#REF!,#REF!,#REF!</definedName>
    <definedName name="hn.DZ_MultByFXRates" localSheetId="33" hidden="1">'Reference documents'!#REF!,'Reference documents'!#REF!,'Reference documents'!#REF!,'Reference documents'!#REF!</definedName>
    <definedName name="hn.DZ_MultByFXRates" localSheetId="7" hidden="1">#REF!,#REF!,#REF!,#REF!</definedName>
    <definedName name="hn.DZ_MultByFXRates" localSheetId="29" hidden="1">#REF!,#REF!,#REF!,#REF!</definedName>
    <definedName name="hn.DZ_MultByFXRates" localSheetId="1" hidden="1">#REF!,#REF!,#REF!,#REF!</definedName>
    <definedName name="hn.DZ_MultByFXRates" localSheetId="31" hidden="1">#REF!,#REF!,#REF!,#REF!</definedName>
    <definedName name="hn.DZ_MultByFXRates" hidden="1">#REF!,#REF!,#REF!,#REF!</definedName>
    <definedName name="hn.ExtDb" hidden="1">FALSE</definedName>
    <definedName name="hn.LTM_MultByFXRates" localSheetId="12" hidden="1">#REF!,#REF!,#REF!,#REF!,#REF!,#REF!,#REF!</definedName>
    <definedName name="hn.LTM_MultByFXRates" localSheetId="18" hidden="1">EMBOP_SI!#REF!,EMBOP_SI!#REF!,EMBOP_SI!#REF!,EMBOP_SI!#REF!,EMBOP_SI!#REF!,EMBOP_SI!#REF!,EMBOP_SI!#REF!</definedName>
    <definedName name="hn.LTM_MultByFXRates" localSheetId="10" hidden="1">#REF!,#REF!,#REF!,#REF!,#REF!,#REF!,#REF!</definedName>
    <definedName name="hn.LTM_MultByFXRates" localSheetId="30" hidden="1">#REF!,#REF!,#REF!,#REF!,#REF!,#REF!,#REF!</definedName>
    <definedName name="hn.LTM_MultByFXRates" localSheetId="0" hidden="1">#REF!,#REF!,#REF!,#REF!,#REF!,#REF!,#REF!</definedName>
    <definedName name="hn.LTM_MultByFXRates" localSheetId="3" hidden="1">#REF!,#REF!,#REF!,#REF!,#REF!,#REF!,#REF!</definedName>
    <definedName name="hn.LTM_MultByFXRates" localSheetId="4" hidden="1">#REF!,#REF!,#REF!,#REF!,#REF!,#REF!,#REF!</definedName>
    <definedName name="hn.LTM_MultByFXRates" localSheetId="28" hidden="1">#REF!,#REF!,#REF!,#REF!,#REF!,#REF!,#REF!</definedName>
    <definedName name="hn.LTM_MultByFXRates" localSheetId="33" hidden="1">'Reference documents'!#REF!,'Reference documents'!#REF!,'Reference documents'!#REF!,'Reference documents'!#REF!,'Reference documents'!#REF!,'Reference documents'!#REF!,'Reference documents'!#REF!</definedName>
    <definedName name="hn.LTM_MultByFXRates" localSheetId="7" hidden="1">#REF!,#REF!,#REF!,#REF!,#REF!,#REF!,#REF!</definedName>
    <definedName name="hn.LTM_MultByFXRates" localSheetId="29" hidden="1">#REF!,#REF!,#REF!,#REF!,#REF!,#REF!,#REF!</definedName>
    <definedName name="hn.LTM_MultByFXRates" localSheetId="1" hidden="1">#REF!,#REF!,#REF!,#REF!,#REF!,#REF!,#REF!</definedName>
    <definedName name="hn.LTM_MultByFXRates" localSheetId="31" hidden="1">#REF!,#REF!,#REF!,#REF!,#REF!,#REF!,#REF!</definedName>
    <definedName name="hn.LTM_MultByFXRates" hidden="1">#REF!,#REF!,#REF!,#REF!,#REF!,#REF!,#REF!</definedName>
    <definedName name="hn.ModelType" hidden="1">"DEAL"</definedName>
    <definedName name="hn.ModelVersion" hidden="1">1</definedName>
    <definedName name="hn.MultbyFXRates" localSheetId="12" hidden="1">#REF!,#REF!,#REF!,#REF!,#REF!,#REF!,#REF!</definedName>
    <definedName name="hn.MultbyFXRates" localSheetId="18" hidden="1">EMBOP_SI!#REF!,EMBOP_SI!#REF!,EMBOP_SI!#REF!,EMBOP_SI!#REF!,EMBOP_SI!#REF!,EMBOP_SI!#REF!,EMBOP_SI!#REF!</definedName>
    <definedName name="hn.MultbyFXRates" localSheetId="10" hidden="1">#REF!,#REF!,#REF!,#REF!,#REF!,#REF!,#REF!</definedName>
    <definedName name="hn.MultbyFXRates" localSheetId="30" hidden="1">#REF!,#REF!,#REF!,#REF!,#REF!,#REF!,#REF!</definedName>
    <definedName name="hn.MultbyFXRates" localSheetId="3" hidden="1">#REF!,#REF!,#REF!,#REF!,#REF!,#REF!,#REF!</definedName>
    <definedName name="hn.MultbyFXRates" localSheetId="4" hidden="1">#REF!,#REF!,#REF!,#REF!,#REF!,#REF!,#REF!</definedName>
    <definedName name="hn.MultbyFXRates" localSheetId="28" hidden="1">#REF!,#REF!,#REF!,#REF!,#REF!,#REF!,#REF!</definedName>
    <definedName name="hn.MultbyFXRates" localSheetId="33" hidden="1">'Reference documents'!#REF!,'Reference documents'!#REF!,'Reference documents'!#REF!,'Reference documents'!#REF!,'Reference documents'!#REF!,'Reference documents'!#REF!,'Reference documents'!#REF!</definedName>
    <definedName name="hn.MultbyFXRates" localSheetId="7" hidden="1">#REF!,#REF!,#REF!,#REF!,#REF!,#REF!,#REF!</definedName>
    <definedName name="hn.MultbyFXRates" localSheetId="29" hidden="1">#REF!,#REF!,#REF!,#REF!,#REF!,#REF!,#REF!</definedName>
    <definedName name="hn.MultbyFXRates" localSheetId="31" hidden="1">#REF!,#REF!,#REF!,#REF!,#REF!,#REF!,#REF!</definedName>
    <definedName name="hn.MultbyFXRates" hidden="1">#REF!,#REF!,#REF!,#REF!,#REF!,#REF!,#REF!</definedName>
    <definedName name="hn.MultByFXRates1" localSheetId="10" hidden="1">#REF!,#REF!,#REF!,#REF!,#REF!</definedName>
    <definedName name="hn.MultByFXRates1" localSheetId="30" hidden="1">#REF!,#REF!,#REF!,#REF!,#REF!</definedName>
    <definedName name="hn.MultByFXRates1" localSheetId="3" hidden="1">#REF!,#REF!,#REF!,#REF!,#REF!</definedName>
    <definedName name="hn.MultByFXRates1" localSheetId="4" hidden="1">#REF!,#REF!,#REF!,#REF!,#REF!</definedName>
    <definedName name="hn.MultByFXRates1" localSheetId="28" hidden="1">#REF!,#REF!,#REF!,#REF!,#REF!</definedName>
    <definedName name="hn.MultByFXRates1" localSheetId="33" hidden="1">'Reference documents'!#REF!,'Reference documents'!#REF!,'Reference documents'!#REF!,'Reference documents'!#REF!,'Reference documents'!#REF!</definedName>
    <definedName name="hn.MultByFXRates1" localSheetId="29" hidden="1">#REF!,#REF!,#REF!,#REF!,#REF!</definedName>
    <definedName name="hn.MultByFXRates1" localSheetId="31" hidden="1">#REF!,#REF!,#REF!,#REF!,#REF!</definedName>
    <definedName name="hn.MultByFXRates1" hidden="1">#REF!,#REF!,#REF!,#REF!,#REF!</definedName>
    <definedName name="hn.MultByFXRates2" localSheetId="10" hidden="1">#REF!,#REF!,#REF!,#REF!,#REF!</definedName>
    <definedName name="hn.MultByFXRates2" localSheetId="30" hidden="1">#REF!,#REF!,#REF!,#REF!,#REF!</definedName>
    <definedName name="hn.MultByFXRates2" localSheetId="3" hidden="1">#REF!,#REF!,#REF!,#REF!,#REF!</definedName>
    <definedName name="hn.MultByFXRates2" localSheetId="4" hidden="1">#REF!,#REF!,#REF!,#REF!,#REF!</definedName>
    <definedName name="hn.MultByFXRates2" localSheetId="28" hidden="1">#REF!,#REF!,#REF!,#REF!,#REF!</definedName>
    <definedName name="hn.MultByFXRates2" localSheetId="33" hidden="1">'Reference documents'!#REF!,'Reference documents'!#REF!,'Reference documents'!#REF!,'Reference documents'!#REF!,'Reference documents'!#REF!</definedName>
    <definedName name="hn.MultByFXRates2" localSheetId="29" hidden="1">#REF!,#REF!,#REF!,#REF!,#REF!</definedName>
    <definedName name="hn.MultByFXRates2" localSheetId="31" hidden="1">#REF!,#REF!,#REF!,#REF!,#REF!</definedName>
    <definedName name="hn.MultByFXRates2" hidden="1">#REF!,#REF!,#REF!,#REF!,#REF!</definedName>
    <definedName name="hn.MultByFXRates3" localSheetId="10" hidden="1">#REF!,#REF!,#REF!,#REF!,#REF!</definedName>
    <definedName name="hn.MultByFXRates3" localSheetId="30" hidden="1">#REF!,#REF!,#REF!,#REF!,#REF!</definedName>
    <definedName name="hn.MultByFXRates3" localSheetId="3" hidden="1">#REF!,#REF!,#REF!,#REF!,#REF!</definedName>
    <definedName name="hn.MultByFXRates3" localSheetId="4" hidden="1">#REF!,#REF!,#REF!,#REF!,#REF!</definedName>
    <definedName name="hn.MultByFXRates3" localSheetId="28" hidden="1">#REF!,#REF!,#REF!,#REF!,#REF!</definedName>
    <definedName name="hn.MultByFXRates3" localSheetId="33" hidden="1">'Reference documents'!#REF!,'Reference documents'!#REF!,'Reference documents'!#REF!,'Reference documents'!#REF!,'Reference documents'!#REF!</definedName>
    <definedName name="hn.MultByFXRates3" localSheetId="29" hidden="1">#REF!,#REF!,#REF!,#REF!,#REF!</definedName>
    <definedName name="hn.MultByFXRates3" localSheetId="31" hidden="1">#REF!,#REF!,#REF!,#REF!,#REF!</definedName>
    <definedName name="hn.MultByFXRates3" hidden="1">#REF!,#REF!,#REF!,#REF!,#REF!</definedName>
    <definedName name="hn.MultbyFxrates4" localSheetId="10" hidden="1">#REF!,#REF!,#REF!,#REF!,#REF!,#REF!,#REF!</definedName>
    <definedName name="hn.MultbyFxrates4" localSheetId="30" hidden="1">#REF!,#REF!,#REF!,#REF!,#REF!,#REF!,#REF!</definedName>
    <definedName name="hn.MultbyFxrates4" localSheetId="3" hidden="1">#REF!,#REF!,#REF!,#REF!,#REF!,#REF!,#REF!</definedName>
    <definedName name="hn.MultbyFxrates4" localSheetId="4" hidden="1">#REF!,#REF!,#REF!,#REF!,#REF!,#REF!,#REF!</definedName>
    <definedName name="hn.MultbyFxrates4" localSheetId="28" hidden="1">#REF!,#REF!,#REF!,#REF!,#REF!,#REF!,#REF!</definedName>
    <definedName name="hn.MultbyFxrates4" localSheetId="33" hidden="1">'Reference documents'!#REF!,'Reference documents'!#REF!,'Reference documents'!#REF!,'Reference documents'!#REF!,'Reference documents'!#REF!,'Reference documents'!#REF!,'Reference documents'!#REF!</definedName>
    <definedName name="hn.MultbyFxrates4" localSheetId="29" hidden="1">#REF!,#REF!,#REF!,#REF!,#REF!,#REF!,#REF!</definedName>
    <definedName name="hn.MultbyFxrates4" localSheetId="31" hidden="1">#REF!,#REF!,#REF!,#REF!,#REF!,#REF!,#REF!</definedName>
    <definedName name="hn.MultbyFxrates4" hidden="1">#REF!,#REF!,#REF!,#REF!,#REF!,#REF!,#REF!</definedName>
    <definedName name="hn.multbyfxrates5" localSheetId="10" hidden="1">#REF!,#REF!,#REF!,#REF!,#REF!</definedName>
    <definedName name="hn.multbyfxrates5" localSheetId="30" hidden="1">#REF!,#REF!,#REF!,#REF!,#REF!</definedName>
    <definedName name="hn.multbyfxrates5" localSheetId="3" hidden="1">#REF!,#REF!,#REF!,#REF!,#REF!</definedName>
    <definedName name="hn.multbyfxrates5" localSheetId="4" hidden="1">#REF!,#REF!,#REF!,#REF!,#REF!</definedName>
    <definedName name="hn.multbyfxrates5" localSheetId="28" hidden="1">#REF!,#REF!,#REF!,#REF!,#REF!</definedName>
    <definedName name="hn.multbyfxrates5" localSheetId="29" hidden="1">#REF!,#REF!,#REF!,#REF!,#REF!</definedName>
    <definedName name="hn.multbyfxrates5" localSheetId="31" hidden="1">#REF!,#REF!,#REF!,#REF!,#REF!</definedName>
    <definedName name="hn.multbyfxrates5" hidden="1">#REF!,#REF!,#REF!,#REF!,#REF!</definedName>
    <definedName name="hn.multbyfxrates6" localSheetId="10" hidden="1">#REF!,#REF!,#REF!,#REF!,#REF!</definedName>
    <definedName name="hn.multbyfxrates6" localSheetId="30" hidden="1">#REF!,#REF!,#REF!,#REF!,#REF!</definedName>
    <definedName name="hn.multbyfxrates6" localSheetId="3" hidden="1">#REF!,#REF!,#REF!,#REF!,#REF!</definedName>
    <definedName name="hn.multbyfxrates6" localSheetId="4" hidden="1">#REF!,#REF!,#REF!,#REF!,#REF!</definedName>
    <definedName name="hn.multbyfxrates6" hidden="1">#REF!,#REF!,#REF!,#REF!,#REF!</definedName>
    <definedName name="hn.multbyfxrates7" localSheetId="10" hidden="1">#REF!,#REF!,#REF!,#REF!,#REF!</definedName>
    <definedName name="hn.multbyfxrates7" localSheetId="30" hidden="1">#REF!,#REF!,#REF!,#REF!,#REF!</definedName>
    <definedName name="hn.multbyfxrates7" localSheetId="4" hidden="1">#REF!,#REF!,#REF!,#REF!,#REF!</definedName>
    <definedName name="hn.multbyfxrates7" hidden="1">#REF!,#REF!,#REF!,#REF!,#REF!</definedName>
    <definedName name="hn.MultByFXRatesBot1" localSheetId="12" hidden="1">#REF!,#REF!,#REF!,#REF!,#REF!,#REF!,#REF!,#REF!,#REF!,#REF!,#REF!,#REF!</definedName>
    <definedName name="hn.MultByFXRatesBot1" localSheetId="18" hidden="1">EMBOP_SI!#REF!,EMBOP_SI!#REF!,EMBOP_SI!#REF!,EMBOP_SI!#REF!,EMBOP_SI!#REF!,EMBOP_SI!#REF!,EMBOP_SI!#REF!,EMBOP_SI!#REF!,EMBOP_SI!#REF!,EMBOP_SI!#REF!,EMBOP_SI!#REF!,EMBOP_SI!#REF!</definedName>
    <definedName name="hn.MultByFXRatesBot1" localSheetId="19" hidden="1">#REF!,#REF!,#REF!,#REF!,#REF!,#REF!,#REF!,#REF!,#REF!,#REF!,#REF!,#REF!</definedName>
    <definedName name="hn.MultByFXRatesBot1" localSheetId="17" hidden="1">#REF!,#REF!,#REF!,#REF!,#REF!,#REF!,#REF!,#REF!,#REF!,#REF!,#REF!,#REF!</definedName>
    <definedName name="hn.MultByFXRatesBot1" localSheetId="10" hidden="1">#REF!,#REF!,#REF!,#REF!,#REF!,#REF!,#REF!,#REF!,#REF!,#REF!,#REF!,#REF!</definedName>
    <definedName name="hn.MultByFXRatesBot1" localSheetId="30" hidden="1">#REF!,#REF!,#REF!,#REF!,#REF!,#REF!,#REF!,#REF!,#REF!,#REF!,#REF!,#REF!</definedName>
    <definedName name="hn.MultByFXRatesBot1" localSheetId="0" hidden="1">#REF!,#REF!,#REF!,#REF!,#REF!,#REF!,#REF!,#REF!,#REF!,#REF!,#REF!,#REF!</definedName>
    <definedName name="hn.MultByFXRatesBot1" localSheetId="3" hidden="1">#REF!,#REF!,#REF!,#REF!,#REF!,#REF!,#REF!,#REF!,#REF!,#REF!,#REF!,#REF!</definedName>
    <definedName name="hn.MultByFXRatesBot1" localSheetId="4" hidden="1">#REF!,#REF!,#REF!,#REF!,#REF!,#REF!,#REF!,#REF!,#REF!,#REF!,#REF!,#REF!</definedName>
    <definedName name="hn.MultByFXRatesBot1" localSheetId="28" hidden="1">#REF!,#REF!,#REF!,#REF!,#REF!,#REF!,#REF!,#REF!,#REF!,#REF!,#REF!,#REF!</definedName>
    <definedName name="hn.MultByFXRatesBot1" localSheetId="33" hidden="1">'Reference documents'!#REF!,'Reference documents'!#REF!,'Reference documents'!#REF!,'Reference documents'!#REF!,'Reference documents'!#REF!,'Reference documents'!#REF!,'Reference documents'!#REF!,'Reference documents'!#REF!,'Reference documents'!#REF!,'Reference documents'!#REF!,'Reference documents'!#REF!,'Reference documents'!#REF!</definedName>
    <definedName name="hn.MultByFXRatesBot1" localSheetId="7" hidden="1">#REF!,#REF!,#REF!,#REF!,#REF!,#REF!,#REF!,#REF!,#REF!,#REF!,#REF!,#REF!</definedName>
    <definedName name="hn.MultByFXRatesBot1" localSheetId="29" hidden="1">#REF!,#REF!,#REF!,#REF!,#REF!,#REF!,#REF!,#REF!,#REF!,#REF!,#REF!,#REF!</definedName>
    <definedName name="hn.MultByFXRatesBot1" localSheetId="1" hidden="1">#REF!,#REF!,#REF!,#REF!,#REF!,#REF!,#REF!,#REF!,#REF!,#REF!,#REF!,#REF!</definedName>
    <definedName name="hn.MultByFXRatesBot1" localSheetId="31" hidden="1">#REF!,#REF!,#REF!,#REF!,#REF!,#REF!,#REF!,#REF!,#REF!,#REF!,#REF!,#REF!</definedName>
    <definedName name="hn.MultByFXRatesBot1" hidden="1">#REF!,#REF!,#REF!,#REF!,#REF!,#REF!,#REF!,#REF!,#REF!,#REF!,#REF!,#REF!</definedName>
    <definedName name="hn.MultByFXRatesBot2" localSheetId="12" hidden="1">#REF!,#REF!,#REF!,#REF!,#REF!,#REF!,#REF!,#REF!,#REF!,#REF!,#REF!,#REF!</definedName>
    <definedName name="hn.MultByFXRatesBot2" localSheetId="18" hidden="1">EMBOP_SI!#REF!,EMBOP_SI!#REF!,EMBOP_SI!#REF!,EMBOP_SI!#REF!,EMBOP_SI!#REF!,EMBOP_SI!#REF!,EMBOP_SI!#REF!,EMBOP_SI!#REF!,EMBOP_SI!#REF!,EMBOP_SI!#REF!,EMBOP_SI!#REF!,EMBOP_SI!#REF!</definedName>
    <definedName name="hn.MultByFXRatesBot2" localSheetId="17" hidden="1">#REF!,#REF!,#REF!,#REF!,#REF!,#REF!,#REF!,#REF!,#REF!,#REF!,#REF!,#REF!</definedName>
    <definedName name="hn.MultByFXRatesBot2" localSheetId="10" hidden="1">#REF!,#REF!,#REF!,#REF!,#REF!,#REF!,#REF!,#REF!,#REF!,#REF!,#REF!,#REF!</definedName>
    <definedName name="hn.MultByFXRatesBot2" localSheetId="30" hidden="1">#REF!,#REF!,#REF!,#REF!,#REF!,#REF!,#REF!,#REF!,#REF!,#REF!,#REF!,#REF!</definedName>
    <definedName name="hn.MultByFXRatesBot2" localSheetId="0" hidden="1">#REF!,#REF!,#REF!,#REF!,#REF!,#REF!,#REF!,#REF!,#REF!,#REF!,#REF!,#REF!</definedName>
    <definedName name="hn.MultByFXRatesBot2" localSheetId="3" hidden="1">#REF!,#REF!,#REF!,#REF!,#REF!,#REF!,#REF!,#REF!,#REF!,#REF!,#REF!,#REF!</definedName>
    <definedName name="hn.MultByFXRatesBot2" localSheetId="4" hidden="1">#REF!,#REF!,#REF!,#REF!,#REF!,#REF!,#REF!,#REF!,#REF!,#REF!,#REF!,#REF!</definedName>
    <definedName name="hn.MultByFXRatesBot2" localSheetId="28" hidden="1">#REF!,#REF!,#REF!,#REF!,#REF!,#REF!,#REF!,#REF!,#REF!,#REF!,#REF!,#REF!</definedName>
    <definedName name="hn.MultByFXRatesBot2" localSheetId="33" hidden="1">'Reference documents'!#REF!,'Reference documents'!#REF!,'Reference documents'!#REF!,'Reference documents'!#REF!,'Reference documents'!#REF!,'Reference documents'!#REF!,'Reference documents'!#REF!,'Reference documents'!#REF!,'Reference documents'!#REF!,'Reference documents'!#REF!,'Reference documents'!#REF!,'Reference documents'!#REF!</definedName>
    <definedName name="hn.MultByFXRatesBot2" localSheetId="7" hidden="1">#REF!,#REF!,#REF!,#REF!,#REF!,#REF!,#REF!,#REF!,#REF!,#REF!,#REF!,#REF!</definedName>
    <definedName name="hn.MultByFXRatesBot2" localSheetId="29" hidden="1">#REF!,#REF!,#REF!,#REF!,#REF!,#REF!,#REF!,#REF!,#REF!,#REF!,#REF!,#REF!</definedName>
    <definedName name="hn.MultByFXRatesBot2" localSheetId="1" hidden="1">#REF!,#REF!,#REF!,#REF!,#REF!,#REF!,#REF!,#REF!,#REF!,#REF!,#REF!,#REF!</definedName>
    <definedName name="hn.MultByFXRatesBot2" localSheetId="31" hidden="1">#REF!,#REF!,#REF!,#REF!,#REF!,#REF!,#REF!,#REF!,#REF!,#REF!,#REF!,#REF!</definedName>
    <definedName name="hn.MultByFXRatesBot2" hidden="1">#REF!,#REF!,#REF!,#REF!,#REF!,#REF!,#REF!,#REF!,#REF!,#REF!,#REF!,#REF!</definedName>
    <definedName name="hn.MultByFXRatesBot3" localSheetId="12" hidden="1">#REF!,#REF!,#REF!,#REF!,#REF!,#REF!,#REF!,#REF!,#REF!,#REF!,#REF!,#REF!</definedName>
    <definedName name="hn.MultByFXRatesBot3" localSheetId="18" hidden="1">EMBOP_SI!#REF!,EMBOP_SI!#REF!,EMBOP_SI!#REF!,EMBOP_SI!#REF!,EMBOP_SI!#REF!,EMBOP_SI!#REF!,EMBOP_SI!#REF!,EMBOP_SI!#REF!,EMBOP_SI!#REF!,EMBOP_SI!#REF!,EMBOP_SI!#REF!,EMBOP_SI!#REF!</definedName>
    <definedName name="hn.MultByFXRatesBot3" localSheetId="17" hidden="1">#REF!,#REF!,#REF!,#REF!,#REF!,#REF!,#REF!,#REF!,#REF!,#REF!,#REF!,#REF!</definedName>
    <definedName name="hn.MultByFXRatesBot3" localSheetId="10" hidden="1">#REF!,#REF!,#REF!,#REF!,#REF!,#REF!,#REF!,#REF!,#REF!,#REF!,#REF!,#REF!</definedName>
    <definedName name="hn.MultByFXRatesBot3" localSheetId="30" hidden="1">#REF!,#REF!,#REF!,#REF!,#REF!,#REF!,#REF!,#REF!,#REF!,#REF!,#REF!,#REF!</definedName>
    <definedName name="hn.MultByFXRatesBot3" localSheetId="0" hidden="1">#REF!,#REF!,#REF!,#REF!,#REF!,#REF!,#REF!,#REF!,#REF!,#REF!,#REF!,#REF!</definedName>
    <definedName name="hn.MultByFXRatesBot3" localSheetId="3" hidden="1">#REF!,#REF!,#REF!,#REF!,#REF!,#REF!,#REF!,#REF!,#REF!,#REF!,#REF!,#REF!</definedName>
    <definedName name="hn.MultByFXRatesBot3" localSheetId="4" hidden="1">#REF!,#REF!,#REF!,#REF!,#REF!,#REF!,#REF!,#REF!,#REF!,#REF!,#REF!,#REF!</definedName>
    <definedName name="hn.MultByFXRatesBot3" localSheetId="28" hidden="1">#REF!,#REF!,#REF!,#REF!,#REF!,#REF!,#REF!,#REF!,#REF!,#REF!,#REF!,#REF!</definedName>
    <definedName name="hn.MultByFXRatesBot3" localSheetId="33" hidden="1">'Reference documents'!#REF!,'Reference documents'!#REF!,'Reference documents'!#REF!,'Reference documents'!#REF!,'Reference documents'!#REF!,'Reference documents'!#REF!,'Reference documents'!#REF!,'Reference documents'!#REF!,'Reference documents'!#REF!,'Reference documents'!#REF!,'Reference documents'!#REF!,'Reference documents'!#REF!</definedName>
    <definedName name="hn.MultByFXRatesBot3" localSheetId="7" hidden="1">#REF!,#REF!,#REF!,#REF!,#REF!,#REF!,#REF!,#REF!,#REF!,#REF!,#REF!,#REF!</definedName>
    <definedName name="hn.MultByFXRatesBot3" localSheetId="29" hidden="1">#REF!,#REF!,#REF!,#REF!,#REF!,#REF!,#REF!,#REF!,#REF!,#REF!,#REF!,#REF!</definedName>
    <definedName name="hn.MultByFXRatesBot3" localSheetId="1" hidden="1">#REF!,#REF!,#REF!,#REF!,#REF!,#REF!,#REF!,#REF!,#REF!,#REF!,#REF!,#REF!</definedName>
    <definedName name="hn.MultByFXRatesBot3" localSheetId="31" hidden="1">#REF!,#REF!,#REF!,#REF!,#REF!,#REF!,#REF!,#REF!,#REF!,#REF!,#REF!,#REF!</definedName>
    <definedName name="hn.MultByFXRatesBot3" hidden="1">#REF!,#REF!,#REF!,#REF!,#REF!,#REF!,#REF!,#REF!,#REF!,#REF!,#REF!,#REF!</definedName>
    <definedName name="hn.MultByFXRatesBot4" localSheetId="10" hidden="1">#REF!,#REF!,#REF!,#REF!,#REF!,#REF!,#REF!,#REF!,#REF!,#REF!,#REF!,#REF!,#REF!</definedName>
    <definedName name="hn.MultByFXRatesBot4" localSheetId="30" hidden="1">#REF!,#REF!,#REF!,#REF!,#REF!,#REF!,#REF!,#REF!,#REF!,#REF!,#REF!,#REF!,#REF!</definedName>
    <definedName name="hn.MultByFXRatesBot4" localSheetId="3" hidden="1">#REF!,#REF!,#REF!,#REF!,#REF!,#REF!,#REF!,#REF!,#REF!,#REF!,#REF!,#REF!,#REF!</definedName>
    <definedName name="hn.MultByFXRatesBot4" localSheetId="4" hidden="1">#REF!,#REF!,#REF!,#REF!,#REF!,#REF!,#REF!,#REF!,#REF!,#REF!,#REF!,#REF!,#REF!</definedName>
    <definedName name="hn.MultByFXRatesBot4" localSheetId="28" hidden="1">#REF!,#REF!,#REF!,#REF!,#REF!,#REF!,#REF!,#REF!,#REF!,#REF!,#REF!,#REF!,#REF!</definedName>
    <definedName name="hn.MultByFXRatesBot4" localSheetId="33" hidden="1">'Reference documents'!#REF!,'Reference documents'!#REF!,'Reference documents'!#REF!,'Reference documents'!#REF!,'Reference documents'!#REF!,'Reference documents'!#REF!,'Reference documents'!#REF!,'Reference documents'!#REF!,'Reference documents'!#REF!,'Reference documents'!#REF!,'Reference documents'!#REF!,'Reference documents'!#REF!,'Reference documents'!#REF!</definedName>
    <definedName name="hn.MultByFXRatesBot4" localSheetId="29" hidden="1">#REF!,#REF!,#REF!,#REF!,#REF!,#REF!,#REF!,#REF!,#REF!,#REF!,#REF!,#REF!,#REF!</definedName>
    <definedName name="hn.MultByFXRatesBot4" localSheetId="31" hidden="1">#REF!,#REF!,#REF!,#REF!,#REF!,#REF!,#REF!,#REF!,#REF!,#REF!,#REF!,#REF!,#REF!</definedName>
    <definedName name="hn.MultByFXRatesBot4" hidden="1">#REF!,#REF!,#REF!,#REF!,#REF!,#REF!,#REF!,#REF!,#REF!,#REF!,#REF!,#REF!,#REF!</definedName>
    <definedName name="hn.MultByFXRatesBot5" localSheetId="10" hidden="1">#REF!,#REF!,#REF!,#REF!,#REF!,#REF!,#REF!,#REF!,#REF!,#REF!,#REF!</definedName>
    <definedName name="hn.MultByFXRatesBot5" localSheetId="30" hidden="1">#REF!,#REF!,#REF!,#REF!,#REF!,#REF!,#REF!,#REF!,#REF!,#REF!,#REF!</definedName>
    <definedName name="hn.MultByFXRatesBot5" localSheetId="3" hidden="1">#REF!,#REF!,#REF!,#REF!,#REF!,#REF!,#REF!,#REF!,#REF!,#REF!,#REF!</definedName>
    <definedName name="hn.MultByFXRatesBot5" localSheetId="4" hidden="1">#REF!,#REF!,#REF!,#REF!,#REF!,#REF!,#REF!,#REF!,#REF!,#REF!,#REF!</definedName>
    <definedName name="hn.MultByFXRatesBot5" localSheetId="28" hidden="1">#REF!,#REF!,#REF!,#REF!,#REF!,#REF!,#REF!,#REF!,#REF!,#REF!,#REF!</definedName>
    <definedName name="hn.MultByFXRatesBot5" localSheetId="33" hidden="1">'Reference documents'!#REF!,'Reference documents'!#REF!,'Reference documents'!#REF!,'Reference documents'!#REF!,'Reference documents'!#REF!,'Reference documents'!#REF!,'Reference documents'!#REF!,'Reference documents'!#REF!,'Reference documents'!#REF!,'Reference documents'!#REF!,'Reference documents'!#REF!</definedName>
    <definedName name="hn.MultByFXRatesBot5" localSheetId="29" hidden="1">#REF!,#REF!,#REF!,#REF!,#REF!,#REF!,#REF!,#REF!,#REF!,#REF!,#REF!</definedName>
    <definedName name="hn.MultByFXRatesBot5" localSheetId="31" hidden="1">#REF!,#REF!,#REF!,#REF!,#REF!,#REF!,#REF!,#REF!,#REF!,#REF!,#REF!</definedName>
    <definedName name="hn.MultByFXRatesBot5" hidden="1">#REF!,#REF!,#REF!,#REF!,#REF!,#REF!,#REF!,#REF!,#REF!,#REF!,#REF!</definedName>
    <definedName name="hn.MultByFXRatesBot6" localSheetId="10" hidden="1">#REF!,#REF!,#REF!,#REF!,#REF!,#REF!,#REF!,#REF!,#REF!,#REF!,#REF!</definedName>
    <definedName name="hn.MultByFXRatesBot6" localSheetId="30" hidden="1">#REF!,#REF!,#REF!,#REF!,#REF!,#REF!,#REF!,#REF!,#REF!,#REF!,#REF!</definedName>
    <definedName name="hn.MultByFXRatesBot6" localSheetId="3" hidden="1">#REF!,#REF!,#REF!,#REF!,#REF!,#REF!,#REF!,#REF!,#REF!,#REF!,#REF!</definedName>
    <definedName name="hn.MultByFXRatesBot6" localSheetId="4" hidden="1">#REF!,#REF!,#REF!,#REF!,#REF!,#REF!,#REF!,#REF!,#REF!,#REF!,#REF!</definedName>
    <definedName name="hn.MultByFXRatesBot6" localSheetId="28" hidden="1">#REF!,#REF!,#REF!,#REF!,#REF!,#REF!,#REF!,#REF!,#REF!,#REF!,#REF!</definedName>
    <definedName name="hn.MultByFXRatesBot6" hidden="1">#REF!,#REF!,#REF!,#REF!,#REF!,#REF!,#REF!,#REF!,#REF!,#REF!,#REF!</definedName>
    <definedName name="hn.MultByFXRatesBot7" localSheetId="10" hidden="1">#REF!,#REF!,#REF!,#REF!,#REF!,#REF!,#REF!,#REF!,#REF!,#REF!,#REF!</definedName>
    <definedName name="hn.MultByFXRatesBot7" localSheetId="30" hidden="1">#REF!,#REF!,#REF!,#REF!,#REF!,#REF!,#REF!,#REF!,#REF!,#REF!,#REF!</definedName>
    <definedName name="hn.MultByFXRatesBot7" localSheetId="3" hidden="1">#REF!,#REF!,#REF!,#REF!,#REF!,#REF!,#REF!,#REF!,#REF!,#REF!,#REF!</definedName>
    <definedName name="hn.MultByFXRatesBot7" localSheetId="4" hidden="1">#REF!,#REF!,#REF!,#REF!,#REF!,#REF!,#REF!,#REF!,#REF!,#REF!,#REF!</definedName>
    <definedName name="hn.MultByFXRatesBot7" hidden="1">#REF!,#REF!,#REF!,#REF!,#REF!,#REF!,#REF!,#REF!,#REF!,#REF!,#REF!</definedName>
    <definedName name="hn.MultByFXRatesTop1" localSheetId="10" hidden="1">#REF!,#REF!,#REF!,#REF!,#REF!,#REF!,#REF!,#REF!,#REF!,#REF!,#REF!,#REF!</definedName>
    <definedName name="hn.MultByFXRatesTop1" localSheetId="30" hidden="1">#REF!,#REF!,#REF!,#REF!,#REF!,#REF!,#REF!,#REF!,#REF!,#REF!,#REF!,#REF!</definedName>
    <definedName name="hn.MultByFXRatesTop1" localSheetId="3" hidden="1">#REF!,#REF!,#REF!,#REF!,#REF!,#REF!,#REF!,#REF!,#REF!,#REF!,#REF!,#REF!</definedName>
    <definedName name="hn.MultByFXRatesTop1" localSheetId="4" hidden="1">#REF!,#REF!,#REF!,#REF!,#REF!,#REF!,#REF!,#REF!,#REF!,#REF!,#REF!,#REF!</definedName>
    <definedName name="hn.MultByFXRatesTop1" localSheetId="28" hidden="1">#REF!,#REF!,#REF!,#REF!,#REF!,#REF!,#REF!,#REF!,#REF!,#REF!,#REF!,#REF!</definedName>
    <definedName name="hn.MultByFXRatesTop1" localSheetId="33" hidden="1">'Reference documents'!#REF!,'Reference documents'!#REF!,'Reference documents'!#REF!,'Reference documents'!#REF!,'Reference documents'!#REF!,'Reference documents'!#REF!,'Reference documents'!#REF!,'Reference documents'!#REF!,'Reference documents'!#REF!,'Reference documents'!#REF!,'Reference documents'!#REF!,'Reference documents'!#REF!</definedName>
    <definedName name="hn.MultByFXRatesTop1" localSheetId="29" hidden="1">#REF!,#REF!,#REF!,#REF!,#REF!,#REF!,#REF!,#REF!,#REF!,#REF!,#REF!,#REF!</definedName>
    <definedName name="hn.MultByFXRatesTop1" localSheetId="31" hidden="1">#REF!,#REF!,#REF!,#REF!,#REF!,#REF!,#REF!,#REF!,#REF!,#REF!,#REF!,#REF!</definedName>
    <definedName name="hn.MultByFXRatesTop1" hidden="1">#REF!,#REF!,#REF!,#REF!,#REF!,#REF!,#REF!,#REF!,#REF!,#REF!,#REF!,#REF!</definedName>
    <definedName name="hn.MultByFXRatesTop2" localSheetId="10" hidden="1">#REF!,#REF!,#REF!,#REF!,#REF!,#REF!,#REF!,#REF!,#REF!,#REF!,#REF!,#REF!,#REF!,#REF!,#REF!</definedName>
    <definedName name="hn.MultByFXRatesTop2" localSheetId="30" hidden="1">#REF!,#REF!,#REF!,#REF!,#REF!,#REF!,#REF!,#REF!,#REF!,#REF!,#REF!,#REF!,#REF!,#REF!,#REF!</definedName>
    <definedName name="hn.MultByFXRatesTop2" localSheetId="3" hidden="1">#REF!,#REF!,#REF!,#REF!,#REF!,#REF!,#REF!,#REF!,#REF!,#REF!,#REF!,#REF!,#REF!,#REF!,#REF!</definedName>
    <definedName name="hn.MultByFXRatesTop2" localSheetId="4" hidden="1">#REF!,#REF!,#REF!,#REF!,#REF!,#REF!,#REF!,#REF!,#REF!,#REF!,#REF!,#REF!,#REF!,#REF!,#REF!</definedName>
    <definedName name="hn.MultByFXRatesTop2" localSheetId="28" hidden="1">#REF!,#REF!,#REF!,#REF!,#REF!,#REF!,#REF!,#REF!,#REF!,#REF!,#REF!,#REF!,#REF!,#REF!,#REF!</definedName>
    <definedName name="hn.MultByFXRatesTop2" localSheetId="29" hidden="1">#REF!,#REF!,#REF!,#REF!,#REF!,#REF!,#REF!,#REF!,#REF!,#REF!,#REF!,#REF!,#REF!,#REF!,#REF!</definedName>
    <definedName name="hn.MultByFXRatesTop2" localSheetId="31" hidden="1">#REF!,#REF!,#REF!,#REF!,#REF!,#REF!,#REF!,#REF!,#REF!,#REF!,#REF!,#REF!,#REF!,#REF!,#REF!</definedName>
    <definedName name="hn.MultByFXRatesTop2" hidden="1">#REF!,#REF!,#REF!,#REF!,#REF!,#REF!,#REF!,#REF!,#REF!,#REF!,#REF!,#REF!,#REF!,#REF!,#REF!</definedName>
    <definedName name="hn.MultByFXRatesTop3" localSheetId="10" hidden="1">#REF!,#REF!,#REF!,#REF!,#REF!,#REF!,#REF!,#REF!,#REF!,#REF!,#REF!,#REF!,#REF!,#REF!,#REF!</definedName>
    <definedName name="hn.MultByFXRatesTop3" localSheetId="30" hidden="1">#REF!,#REF!,#REF!,#REF!,#REF!,#REF!,#REF!,#REF!,#REF!,#REF!,#REF!,#REF!,#REF!,#REF!,#REF!</definedName>
    <definedName name="hn.MultByFXRatesTop3" localSheetId="3" hidden="1">#REF!,#REF!,#REF!,#REF!,#REF!,#REF!,#REF!,#REF!,#REF!,#REF!,#REF!,#REF!,#REF!,#REF!,#REF!</definedName>
    <definedName name="hn.MultByFXRatesTop3" localSheetId="4" hidden="1">#REF!,#REF!,#REF!,#REF!,#REF!,#REF!,#REF!,#REF!,#REF!,#REF!,#REF!,#REF!,#REF!,#REF!,#REF!</definedName>
    <definedName name="hn.MultByFXRatesTop3" hidden="1">#REF!,#REF!,#REF!,#REF!,#REF!,#REF!,#REF!,#REF!,#REF!,#REF!,#REF!,#REF!,#REF!,#REF!,#REF!</definedName>
    <definedName name="hn.MultByFXRatesTop4" localSheetId="10" hidden="1">#REF!,#REF!,#REF!,#REF!,#REF!,#REF!,#REF!,#REF!,#REF!,#REF!,#REF!,#REF!,#REF!,#REF!,#REF!</definedName>
    <definedName name="hn.MultByFXRatesTop4" localSheetId="30" hidden="1">#REF!,#REF!,#REF!,#REF!,#REF!,#REF!,#REF!,#REF!,#REF!,#REF!,#REF!,#REF!,#REF!,#REF!,#REF!</definedName>
    <definedName name="hn.MultByFXRatesTop4" localSheetId="4" hidden="1">#REF!,#REF!,#REF!,#REF!,#REF!,#REF!,#REF!,#REF!,#REF!,#REF!,#REF!,#REF!,#REF!,#REF!,#REF!</definedName>
    <definedName name="hn.MultByFXRatesTop4" hidden="1">#REF!,#REF!,#REF!,#REF!,#REF!,#REF!,#REF!,#REF!,#REF!,#REF!,#REF!,#REF!,#REF!,#REF!,#REF!</definedName>
    <definedName name="hn.MultByFXRatesTop5" hidden="1">#REF!,#REF!,#REF!,#REF!,#REF!,#REF!,#REF!,#REF!,#REF!,#REF!,#REF!,#REF!</definedName>
    <definedName name="hn.MultByFXRatesTop6" hidden="1">#REF!,#REF!,#REF!,#REF!,#REF!,#REF!,#REF!,#REF!,#REF!,#REF!,#REF!,#REF!,#REF!,#REF!,#REF!</definedName>
    <definedName name="hn.MultByFXRatesTop7" hidden="1">#REF!,#REF!,#REF!,#REF!,#REF!,#REF!,#REF!,#REF!,#REF!,#REF!,#REF!,#REF!,#REF!,#REF!,#REF!</definedName>
    <definedName name="hn.NoUpload" hidden="1">0</definedName>
    <definedName name="hola" localSheetId="12" hidden="1">{"ANAR",#N/A,FALSE,"Dist total";"MARGEN",#N/A,FALSE,"Dist total";"COMENTARIO",#N/A,FALSE,"Ficha CODICE";"CONSEJO",#N/A,FALSE,"Dist p0";"uno",#N/A,FALSE,"Dist total"}</definedName>
    <definedName name="hola" localSheetId="18" hidden="1">{"ANAR",#N/A,FALSE,"Dist total";"MARGEN",#N/A,FALSE,"Dist total";"COMENTARIO",#N/A,FALSE,"Ficha CODICE";"CONSEJO",#N/A,FALSE,"Dist p0";"uno",#N/A,FALSE,"Dist total"}</definedName>
    <definedName name="hola" localSheetId="19" hidden="1">{"ANAR",#N/A,FALSE,"Dist total";"MARGEN",#N/A,FALSE,"Dist total";"COMENTARIO",#N/A,FALSE,"Ficha CODICE";"CONSEJO",#N/A,FALSE,"Dist p0";"uno",#N/A,FALSE,"Dist total"}</definedName>
    <definedName name="hola" localSheetId="17" hidden="1">{"ANAR",#N/A,FALSE,"Dist total";"MARGEN",#N/A,FALSE,"Dist total";"COMENTARIO",#N/A,FALSE,"Ficha CODICE";"CONSEJO",#N/A,FALSE,"Dist p0";"uno",#N/A,FALSE,"Dist total"}</definedName>
    <definedName name="hola" localSheetId="22" hidden="1">{"ANAR",#N/A,FALSE,"Dist total";"MARGEN",#N/A,FALSE,"Dist total";"COMENTARIO",#N/A,FALSE,"Ficha CODICE";"CONSEJO",#N/A,FALSE,"Dist p0";"uno",#N/A,FALSE,"Dist total"}</definedName>
    <definedName name="hola" localSheetId="10" hidden="1">{"ANAR",#N/A,FALSE,"Dist total";"MARGEN",#N/A,FALSE,"Dist total";"COMENTARIO",#N/A,FALSE,"Ficha CODICE";"CONSEJO",#N/A,FALSE,"Dist p0";"uno",#N/A,FALSE,"Dist total"}</definedName>
    <definedName name="hola" localSheetId="30" hidden="1">{"ANAR",#N/A,FALSE,"Dist total";"MARGEN",#N/A,FALSE,"Dist total";"COMENTARIO",#N/A,FALSE,"Ficha CODICE";"CONSEJO",#N/A,FALSE,"Dist p0";"uno",#N/A,FALSE,"Dist total"}</definedName>
    <definedName name="hola" localSheetId="0" hidden="1">{"ANAR",#N/A,FALSE,"Dist total";"MARGEN",#N/A,FALSE,"Dist total";"COMENTARIO",#N/A,FALSE,"Ficha CODICE";"CONSEJO",#N/A,FALSE,"Dist p0";"uno",#N/A,FALSE,"Dist total"}</definedName>
    <definedName name="hola" localSheetId="3" hidden="1">{"ANAR",#N/A,FALSE,"Dist total";"MARGEN",#N/A,FALSE,"Dist total";"COMENTARIO",#N/A,FALSE,"Ficha CODICE";"CONSEJO",#N/A,FALSE,"Dist p0";"uno",#N/A,FALSE,"Dist total"}</definedName>
    <definedName name="hola" localSheetId="4" hidden="1">{"ANAR",#N/A,FALSE,"Dist total";"MARGEN",#N/A,FALSE,"Dist total";"COMENTARIO",#N/A,FALSE,"Ficha CODICE";"CONSEJO",#N/A,FALSE,"Dist p0";"uno",#N/A,FALSE,"Dist total"}</definedName>
    <definedName name="hola" localSheetId="28" hidden="1">{"ANAR",#N/A,FALSE,"Dist total";"MARGEN",#N/A,FALSE,"Dist total";"COMENTARIO",#N/A,FALSE,"Ficha CODICE";"CONSEJO",#N/A,FALSE,"Dist p0";"uno",#N/A,FALSE,"Dist total"}</definedName>
    <definedName name="hola" localSheetId="33" hidden="1">{"ANAR",#N/A,FALSE,"Dist total";"MARGEN",#N/A,FALSE,"Dist total";"COMENTARIO",#N/A,FALSE,"Ficha CODICE";"CONSEJO",#N/A,FALSE,"Dist p0";"uno",#N/A,FALSE,"Dist total"}</definedName>
    <definedName name="hola" localSheetId="32" hidden="1">{"ANAR",#N/A,FALSE,"Dist total";"MARGEN",#N/A,FALSE,"Dist total";"COMENTARIO",#N/A,FALSE,"Ficha CODICE";"CONSEJO",#N/A,FALSE,"Dist p0";"uno",#N/A,FALSE,"Dist total"}</definedName>
    <definedName name="hola" localSheetId="7" hidden="1">{"ANAR",#N/A,FALSE,"Dist total";"MARGEN",#N/A,FALSE,"Dist total";"COMENTARIO",#N/A,FALSE,"Ficha CODICE";"CONSEJO",#N/A,FALSE,"Dist p0";"uno",#N/A,FALSE,"Dist total"}</definedName>
    <definedName name="hola" localSheetId="29" hidden="1">{"ANAR",#N/A,FALSE,"Dist total";"MARGEN",#N/A,FALSE,"Dist total";"COMENTARIO",#N/A,FALSE,"Ficha CODICE";"CONSEJO",#N/A,FALSE,"Dist p0";"uno",#N/A,FALSE,"Dist total"}</definedName>
    <definedName name="hola" localSheetId="1" hidden="1">{"ANAR",#N/A,FALSE,"Dist total";"MARGEN",#N/A,FALSE,"Dist total";"COMENTARIO",#N/A,FALSE,"Ficha CODICE";"CONSEJO",#N/A,FALSE,"Dist p0";"uno",#N/A,FALSE,"Dist total"}</definedName>
    <definedName name="hola" localSheetId="31" hidden="1">{"ANAR",#N/A,FALSE,"Dist total";"MARGEN",#N/A,FALSE,"Dist total";"COMENTARIO",#N/A,FALSE,"Ficha CODICE";"CONSEJO",#N/A,FALSE,"Dist p0";"uno",#N/A,FALSE,"Dist total"}</definedName>
    <definedName name="hola" hidden="1">{"ANAR",#N/A,FALSE,"Dist total";"MARGEN",#N/A,FALSE,"Dist total";"COMENTARIO",#N/A,FALSE,"Ficha CODICE";"CONSEJO",#N/A,FALSE,"Dist p0";"uno",#N/A,FALSE,"Dist total"}</definedName>
    <definedName name="hyjk" localSheetId="12" hidden="1">{"Aar",#N/A,FALSE,"Divisioner";"Kvartaler",#N/A,FALSE,"Divisioner";"Aggregering",#N/A,FALSE,"Divisioner";"Aar",#N/A,FALSE,"Norge div. (gl)";"Kvartal",#N/A,FALSE,"Norge div. (gl)";"Samling",#N/A,FALSE,"Norge div. (gl)"}</definedName>
    <definedName name="hyjk" localSheetId="18" hidden="1">{"Aar",#N/A,FALSE,"Divisioner";"Kvartaler",#N/A,FALSE,"Divisioner";"Aggregering",#N/A,FALSE,"Divisioner";"Aar",#N/A,FALSE,"Norge div. (gl)";"Kvartal",#N/A,FALSE,"Norge div. (gl)";"Samling",#N/A,FALSE,"Norge div. (gl)"}</definedName>
    <definedName name="hyjk" localSheetId="19" hidden="1">{"Aar",#N/A,FALSE,"Divisioner";"Kvartaler",#N/A,FALSE,"Divisioner";"Aggregering",#N/A,FALSE,"Divisioner";"Aar",#N/A,FALSE,"Norge div. (gl)";"Kvartal",#N/A,FALSE,"Norge div. (gl)";"Samling",#N/A,FALSE,"Norge div. (gl)"}</definedName>
    <definedName name="hyjk" localSheetId="17" hidden="1">{"Aar",#N/A,FALSE,"Divisioner";"Kvartaler",#N/A,FALSE,"Divisioner";"Aggregering",#N/A,FALSE,"Divisioner";"Aar",#N/A,FALSE,"Norge div. (gl)";"Kvartal",#N/A,FALSE,"Norge div. (gl)";"Samling",#N/A,FALSE,"Norge div. (gl)"}</definedName>
    <definedName name="hyjk" localSheetId="22" hidden="1">{"Aar",#N/A,FALSE,"Divisioner";"Kvartaler",#N/A,FALSE,"Divisioner";"Aggregering",#N/A,FALSE,"Divisioner";"Aar",#N/A,FALSE,"Norge div. (gl)";"Kvartal",#N/A,FALSE,"Norge div. (gl)";"Samling",#N/A,FALSE,"Norge div. (gl)"}</definedName>
    <definedName name="hyjk" localSheetId="10" hidden="1">{"Aar",#N/A,FALSE,"Divisioner";"Kvartaler",#N/A,FALSE,"Divisioner";"Aggregering",#N/A,FALSE,"Divisioner";"Aar",#N/A,FALSE,"Norge div. (gl)";"Kvartal",#N/A,FALSE,"Norge div. (gl)";"Samling",#N/A,FALSE,"Norge div. (gl)"}</definedName>
    <definedName name="hyjk" localSheetId="30" hidden="1">{"Aar",#N/A,FALSE,"Divisioner";"Kvartaler",#N/A,FALSE,"Divisioner";"Aggregering",#N/A,FALSE,"Divisioner";"Aar",#N/A,FALSE,"Norge div. (gl)";"Kvartal",#N/A,FALSE,"Norge div. (gl)";"Samling",#N/A,FALSE,"Norge div. (gl)"}</definedName>
    <definedName name="hyjk" localSheetId="0" hidden="1">{"Aar",#N/A,FALSE,"Divisioner";"Kvartaler",#N/A,FALSE,"Divisioner";"Aggregering",#N/A,FALSE,"Divisioner";"Aar",#N/A,FALSE,"Norge div. (gl)";"Kvartal",#N/A,FALSE,"Norge div. (gl)";"Samling",#N/A,FALSE,"Norge div. (gl)"}</definedName>
    <definedName name="hyjk" localSheetId="3" hidden="1">{"Aar",#N/A,FALSE,"Divisioner";"Kvartaler",#N/A,FALSE,"Divisioner";"Aggregering",#N/A,FALSE,"Divisioner";"Aar",#N/A,FALSE,"Norge div. (gl)";"Kvartal",#N/A,FALSE,"Norge div. (gl)";"Samling",#N/A,FALSE,"Norge div. (gl)"}</definedName>
    <definedName name="hyjk" localSheetId="4" hidden="1">{"Aar",#N/A,FALSE,"Divisioner";"Kvartaler",#N/A,FALSE,"Divisioner";"Aggregering",#N/A,FALSE,"Divisioner";"Aar",#N/A,FALSE,"Norge div. (gl)";"Kvartal",#N/A,FALSE,"Norge div. (gl)";"Samling",#N/A,FALSE,"Norge div. (gl)"}</definedName>
    <definedName name="hyjk" localSheetId="28" hidden="1">{"Aar",#N/A,FALSE,"Divisioner";"Kvartaler",#N/A,FALSE,"Divisioner";"Aggregering",#N/A,FALSE,"Divisioner";"Aar",#N/A,FALSE,"Norge div. (gl)";"Kvartal",#N/A,FALSE,"Norge div. (gl)";"Samling",#N/A,FALSE,"Norge div. (gl)"}</definedName>
    <definedName name="hyjk" localSheetId="33" hidden="1">{"Aar",#N/A,FALSE,"Divisioner";"Kvartaler",#N/A,FALSE,"Divisioner";"Aggregering",#N/A,FALSE,"Divisioner";"Aar",#N/A,FALSE,"Norge div. (gl)";"Kvartal",#N/A,FALSE,"Norge div. (gl)";"Samling",#N/A,FALSE,"Norge div. (gl)"}</definedName>
    <definedName name="hyjk" localSheetId="32" hidden="1">{"Aar",#N/A,FALSE,"Divisioner";"Kvartaler",#N/A,FALSE,"Divisioner";"Aggregering",#N/A,FALSE,"Divisioner";"Aar",#N/A,FALSE,"Norge div. (gl)";"Kvartal",#N/A,FALSE,"Norge div. (gl)";"Samling",#N/A,FALSE,"Norge div. (gl)"}</definedName>
    <definedName name="hyjk" localSheetId="7" hidden="1">{"Aar",#N/A,FALSE,"Divisioner";"Kvartaler",#N/A,FALSE,"Divisioner";"Aggregering",#N/A,FALSE,"Divisioner";"Aar",#N/A,FALSE,"Norge div. (gl)";"Kvartal",#N/A,FALSE,"Norge div. (gl)";"Samling",#N/A,FALSE,"Norge div. (gl)"}</definedName>
    <definedName name="hyjk" localSheetId="29" hidden="1">{"Aar",#N/A,FALSE,"Divisioner";"Kvartaler",#N/A,FALSE,"Divisioner";"Aggregering",#N/A,FALSE,"Divisioner";"Aar",#N/A,FALSE,"Norge div. (gl)";"Kvartal",#N/A,FALSE,"Norge div. (gl)";"Samling",#N/A,FALSE,"Norge div. (gl)"}</definedName>
    <definedName name="hyjk" localSheetId="1" hidden="1">{"Aar",#N/A,FALSE,"Divisioner";"Kvartaler",#N/A,FALSE,"Divisioner";"Aggregering",#N/A,FALSE,"Divisioner";"Aar",#N/A,FALSE,"Norge div. (gl)";"Kvartal",#N/A,FALSE,"Norge div. (gl)";"Samling",#N/A,FALSE,"Norge div. (gl)"}</definedName>
    <definedName name="hyjk" localSheetId="31" hidden="1">{"Aar",#N/A,FALSE,"Divisioner";"Kvartaler",#N/A,FALSE,"Divisioner";"Aggregering",#N/A,FALSE,"Divisioner";"Aar",#N/A,FALSE,"Norge div. (gl)";"Kvartal",#N/A,FALSE,"Norge div. (gl)";"Samling",#N/A,FALSE,"Norge div. (gl)"}</definedName>
    <definedName name="hyjk" hidden="1">{"Aar",#N/A,FALSE,"Divisioner";"Kvartaler",#N/A,FALSE,"Divisioner";"Aggregering",#N/A,FALSE,"Divisioner";"Aar",#N/A,FALSE,"Norge div. (gl)";"Kvartal",#N/A,FALSE,"Norge div. (gl)";"Samling",#N/A,FALSE,"Norge div. (gl)"}</definedName>
    <definedName name="informe" localSheetId="12" hidden="1">{"ANAR",#N/A,FALSE,"Dist total";"MARGEN",#N/A,FALSE,"Dist total";"COMENTARIO",#N/A,FALSE,"Ficha CODICE";"CONSEJO",#N/A,FALSE,"Dist p0";"uno",#N/A,FALSE,"Dist total"}</definedName>
    <definedName name="informe" localSheetId="18" hidden="1">{"ANAR",#N/A,FALSE,"Dist total";"MARGEN",#N/A,FALSE,"Dist total";"COMENTARIO",#N/A,FALSE,"Ficha CODICE";"CONSEJO",#N/A,FALSE,"Dist p0";"uno",#N/A,FALSE,"Dist total"}</definedName>
    <definedName name="informe" localSheetId="19" hidden="1">{"ANAR",#N/A,FALSE,"Dist total";"MARGEN",#N/A,FALSE,"Dist total";"COMENTARIO",#N/A,FALSE,"Ficha CODICE";"CONSEJO",#N/A,FALSE,"Dist p0";"uno",#N/A,FALSE,"Dist total"}</definedName>
    <definedName name="informe" localSheetId="17" hidden="1">{"ANAR",#N/A,FALSE,"Dist total";"MARGEN",#N/A,FALSE,"Dist total";"COMENTARIO",#N/A,FALSE,"Ficha CODICE";"CONSEJO",#N/A,FALSE,"Dist p0";"uno",#N/A,FALSE,"Dist total"}</definedName>
    <definedName name="informe" localSheetId="22" hidden="1">{"ANAR",#N/A,FALSE,"Dist total";"MARGEN",#N/A,FALSE,"Dist total";"COMENTARIO",#N/A,FALSE,"Ficha CODICE";"CONSEJO",#N/A,FALSE,"Dist p0";"uno",#N/A,FALSE,"Dist total"}</definedName>
    <definedName name="informe" localSheetId="10" hidden="1">{"ANAR",#N/A,FALSE,"Dist total";"MARGEN",#N/A,FALSE,"Dist total";"COMENTARIO",#N/A,FALSE,"Ficha CODICE";"CONSEJO",#N/A,FALSE,"Dist p0";"uno",#N/A,FALSE,"Dist total"}</definedName>
    <definedName name="informe" localSheetId="30" hidden="1">{"ANAR",#N/A,FALSE,"Dist total";"MARGEN",#N/A,FALSE,"Dist total";"COMENTARIO",#N/A,FALSE,"Ficha CODICE";"CONSEJO",#N/A,FALSE,"Dist p0";"uno",#N/A,FALSE,"Dist total"}</definedName>
    <definedName name="informe" localSheetId="0" hidden="1">{"ANAR",#N/A,FALSE,"Dist total";"MARGEN",#N/A,FALSE,"Dist total";"COMENTARIO",#N/A,FALSE,"Ficha CODICE";"CONSEJO",#N/A,FALSE,"Dist p0";"uno",#N/A,FALSE,"Dist total"}</definedName>
    <definedName name="informe" localSheetId="3" hidden="1">{"ANAR",#N/A,FALSE,"Dist total";"MARGEN",#N/A,FALSE,"Dist total";"COMENTARIO",#N/A,FALSE,"Ficha CODICE";"CONSEJO",#N/A,FALSE,"Dist p0";"uno",#N/A,FALSE,"Dist total"}</definedName>
    <definedName name="informe" localSheetId="4" hidden="1">{"ANAR",#N/A,FALSE,"Dist total";"MARGEN",#N/A,FALSE,"Dist total";"COMENTARIO",#N/A,FALSE,"Ficha CODICE";"CONSEJO",#N/A,FALSE,"Dist p0";"uno",#N/A,FALSE,"Dist total"}</definedName>
    <definedName name="informe" localSheetId="28" hidden="1">{"ANAR",#N/A,FALSE,"Dist total";"MARGEN",#N/A,FALSE,"Dist total";"COMENTARIO",#N/A,FALSE,"Ficha CODICE";"CONSEJO",#N/A,FALSE,"Dist p0";"uno",#N/A,FALSE,"Dist total"}</definedName>
    <definedName name="informe" localSheetId="33" hidden="1">{"ANAR",#N/A,FALSE,"Dist total";"MARGEN",#N/A,FALSE,"Dist total";"COMENTARIO",#N/A,FALSE,"Ficha CODICE";"CONSEJO",#N/A,FALSE,"Dist p0";"uno",#N/A,FALSE,"Dist total"}</definedName>
    <definedName name="informe" localSheetId="32" hidden="1">{"ANAR",#N/A,FALSE,"Dist total";"MARGEN",#N/A,FALSE,"Dist total";"COMENTARIO",#N/A,FALSE,"Ficha CODICE";"CONSEJO",#N/A,FALSE,"Dist p0";"uno",#N/A,FALSE,"Dist total"}</definedName>
    <definedName name="informe" localSheetId="7" hidden="1">{"ANAR",#N/A,FALSE,"Dist total";"MARGEN",#N/A,FALSE,"Dist total";"COMENTARIO",#N/A,FALSE,"Ficha CODICE";"CONSEJO",#N/A,FALSE,"Dist p0";"uno",#N/A,FALSE,"Dist total"}</definedName>
    <definedName name="informe" localSheetId="29" hidden="1">{"ANAR",#N/A,FALSE,"Dist total";"MARGEN",#N/A,FALSE,"Dist total";"COMENTARIO",#N/A,FALSE,"Ficha CODICE";"CONSEJO",#N/A,FALSE,"Dist p0";"uno",#N/A,FALSE,"Dist total"}</definedName>
    <definedName name="informe" localSheetId="1" hidden="1">{"ANAR",#N/A,FALSE,"Dist total";"MARGEN",#N/A,FALSE,"Dist total";"COMENTARIO",#N/A,FALSE,"Ficha CODICE";"CONSEJO",#N/A,FALSE,"Dist p0";"uno",#N/A,FALSE,"Dist total"}</definedName>
    <definedName name="informe" localSheetId="31" hidden="1">{"ANAR",#N/A,FALSE,"Dist total";"MARGEN",#N/A,FALSE,"Dist total";"COMENTARIO",#N/A,FALSE,"Ficha CODICE";"CONSEJO",#N/A,FALSE,"Dist p0";"uno",#N/A,FALSE,"Dist total"}</definedName>
    <definedName name="informe" hidden="1">{"ANAR",#N/A,FALSE,"Dist total";"MARGEN",#N/A,FALSE,"Dist total";"COMENTARIO",#N/A,FALSE,"Ficha CODICE";"CONSEJO",#N/A,FALSE,"Dist p0";"uno",#N/A,FALSE,"Dist total"}</definedName>
    <definedName name="ingrid" localSheetId="12" hidden="1">{"Side 1",#N/A,FALSE,"Hovedark";"Side 2",#N/A,FALSE,"Hovedark";"Side 3",#N/A,FALSE,"Hovedark"}</definedName>
    <definedName name="ingrid" localSheetId="18" hidden="1">{"Side 1",#N/A,FALSE,"Hovedark";"Side 2",#N/A,FALSE,"Hovedark";"Side 3",#N/A,FALSE,"Hovedark"}</definedName>
    <definedName name="ingrid" localSheetId="19" hidden="1">{"Side 1",#N/A,FALSE,"Hovedark";"Side 2",#N/A,FALSE,"Hovedark";"Side 3",#N/A,FALSE,"Hovedark"}</definedName>
    <definedName name="ingrid" localSheetId="17" hidden="1">{"Side 1",#N/A,FALSE,"Hovedark";"Side 2",#N/A,FALSE,"Hovedark";"Side 3",#N/A,FALSE,"Hovedark"}</definedName>
    <definedName name="ingrid" localSheetId="22" hidden="1">{"Side 1",#N/A,FALSE,"Hovedark";"Side 2",#N/A,FALSE,"Hovedark";"Side 3",#N/A,FALSE,"Hovedark"}</definedName>
    <definedName name="ingrid" localSheetId="10" hidden="1">{"Side 1",#N/A,FALSE,"Hovedark";"Side 2",#N/A,FALSE,"Hovedark";"Side 3",#N/A,FALSE,"Hovedark"}</definedName>
    <definedName name="ingrid" localSheetId="30" hidden="1">{"Side 1",#N/A,FALSE,"Hovedark";"Side 2",#N/A,FALSE,"Hovedark";"Side 3",#N/A,FALSE,"Hovedark"}</definedName>
    <definedName name="ingrid" localSheetId="0" hidden="1">{"Side 1",#N/A,FALSE,"Hovedark";"Side 2",#N/A,FALSE,"Hovedark";"Side 3",#N/A,FALSE,"Hovedark"}</definedName>
    <definedName name="ingrid" localSheetId="3" hidden="1">{"Side 1",#N/A,FALSE,"Hovedark";"Side 2",#N/A,FALSE,"Hovedark";"Side 3",#N/A,FALSE,"Hovedark"}</definedName>
    <definedName name="ingrid" localSheetId="4" hidden="1">{"Side 1",#N/A,FALSE,"Hovedark";"Side 2",#N/A,FALSE,"Hovedark";"Side 3",#N/A,FALSE,"Hovedark"}</definedName>
    <definedName name="ingrid" localSheetId="28" hidden="1">{"Side 1",#N/A,FALSE,"Hovedark";"Side 2",#N/A,FALSE,"Hovedark";"Side 3",#N/A,FALSE,"Hovedark"}</definedName>
    <definedName name="ingrid" localSheetId="33" hidden="1">{"Side 1",#N/A,FALSE,"Hovedark";"Side 2",#N/A,FALSE,"Hovedark";"Side 3",#N/A,FALSE,"Hovedark"}</definedName>
    <definedName name="ingrid" localSheetId="32" hidden="1">{"Side 1",#N/A,FALSE,"Hovedark";"Side 2",#N/A,FALSE,"Hovedark";"Side 3",#N/A,FALSE,"Hovedark"}</definedName>
    <definedName name="ingrid" localSheetId="7" hidden="1">{"Side 1",#N/A,FALSE,"Hovedark";"Side 2",#N/A,FALSE,"Hovedark";"Side 3",#N/A,FALSE,"Hovedark"}</definedName>
    <definedName name="ingrid" localSheetId="29" hidden="1">{"Side 1",#N/A,FALSE,"Hovedark";"Side 2",#N/A,FALSE,"Hovedark";"Side 3",#N/A,FALSE,"Hovedark"}</definedName>
    <definedName name="ingrid" localSheetId="1" hidden="1">{"Side 1",#N/A,FALSE,"Hovedark";"Side 2",#N/A,FALSE,"Hovedark";"Side 3",#N/A,FALSE,"Hovedark"}</definedName>
    <definedName name="ingrid" localSheetId="31" hidden="1">{"Side 1",#N/A,FALSE,"Hovedark";"Side 2",#N/A,FALSE,"Hovedark";"Side 3",#N/A,FALSE,"Hovedark"}</definedName>
    <definedName name="ingrid" hidden="1">{"Side 1",#N/A,FALSE,"Hovedark";"Side 2",#N/A,FALSE,"Hovedark";"Side 3",#N/A,FALSE,"Hovedark"}</definedName>
    <definedName name="IQ_ACCOUNT_CHANGE" hidden="1">"c413"</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UM_DEP" hidden="1">"c7"</definedName>
    <definedName name="IQ_ACQ_COSTS_CAPITALIZED" hidden="1">"c5"</definedName>
    <definedName name="IQ_ACQUIRE_REAL_ESTATE_CF" hidden="1">"c6"</definedName>
    <definedName name="IQ_ACQUISITION_RE_ASSETS" hidden="1">"c1628"</definedName>
    <definedName name="IQ_AD" hidden="1">"c7"</definedName>
    <definedName name="IQ_ADD_PAID_IN" hidden="1">"c39"</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LLOW_BORROW_CONST" hidden="1">"c15"</definedName>
    <definedName name="IQ_ALLOW_CONST" hidden="1">"c16"</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ORTIZATION" hidden="1">"c1471"</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UDITOR_NAME" hidden="1">"c1539"</definedName>
    <definedName name="IQ_AUDITOR_OPINION" hidden="1">"c1540"</definedName>
    <definedName name="IQ_AUTO_WRITTEN" hidden="1">"c62"</definedName>
    <definedName name="IQ_AVG_BROKER_REC" hidden="1">"c63"</definedName>
    <definedName name="IQ_AVG_BROKER_REC_NO" hidden="1">"c64"</definedName>
    <definedName name="IQ_AVG_DAILY_VOL" hidden="1">"c65"</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V" hidden="1">"c84"</definedName>
    <definedName name="IQ_AVG_VOLUME" hidden="1">"c65"</definedName>
    <definedName name="IQ_BASIC_EPS_EXCL" hidden="1">"c85"</definedName>
    <definedName name="IQ_BASIC_EPS_INCL" hidden="1">"c86"</definedName>
    <definedName name="IQ_BASIC_NORMAL_EPS" hidden="1">"c1592"</definedName>
    <definedName name="IQ_BASIC_WEIGHT" hidden="1">"c87"</definedName>
    <definedName name="IQ_BETA" hidden="1">"c88"</definedName>
    <definedName name="IQ_BIG_INT_BEAR_CD" hidden="1">"c89"</definedName>
    <definedName name="IQ_BOARD_MEMBER" hidden="1">"c96"</definedName>
    <definedName name="IQ_BOARD_MEMBER_TITLE" hidden="1">"c97"</definedName>
    <definedName name="IQ_BROK_COMISSION" hidden="1">"c98"</definedName>
    <definedName name="IQ_BUILDINGS" hidden="1">"c99"</definedName>
    <definedName name="IQ_BUSINESS_DESCRIPTION" hidden="1">"c322"</definedName>
    <definedName name="IQ_BV_OVER_SHARES" hidden="1">"c100"</definedName>
    <definedName name="IQ_BV_SHARE" hidden="1">"c100"</definedName>
    <definedName name="IQ_CAL_Q" hidden="1">"c101"</definedName>
    <definedName name="IQ_CAL_Y" hidden="1">"c102"</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LEASE" hidden="1">"c115"</definedName>
    <definedName name="IQ_CAPITAL_LEASES" hidden="1">"c115"</definedName>
    <definedName name="IQ_CASH" hidden="1">"c118"</definedName>
    <definedName name="IQ_CASH_ACQUIRE_CF" hidden="1">"c1630"</definedName>
    <definedName name="IQ_CASH_CONVERSION" hidden="1">"c117"</definedName>
    <definedName name="IQ_CASH_DUE_BANKS" hidden="1">"c118"</definedName>
    <definedName name="IQ_CASH_EQUIV" hidden="1">"c118"</definedName>
    <definedName name="IQ_CASH_FINAN" hidden="1">"c119"</definedName>
    <definedName name="IQ_CASH_INTEREST" hidden="1">"c120"</definedName>
    <definedName name="IQ_CASH_INVEST" hidden="1">"c121"</definedName>
    <definedName name="IQ_CASH_OPER" hidden="1">"c122"</definedName>
    <definedName name="IQ_CASH_SEGREG" hidden="1">"c123"</definedName>
    <definedName name="IQ_CASH_ST" hidden="1">"c124"</definedName>
    <definedName name="IQ_CASH_ST_INVEST" hidden="1">"c124"</definedName>
    <definedName name="IQ_CASH_TAXES" hidden="1">"c125"</definedName>
    <definedName name="IQ_CFO_10YR_ANN_GROWTH" hidden="1">"c126"</definedName>
    <definedName name="IQ_CFO_1YR_ANN_GROWTH" hidden="1">"c127"</definedName>
    <definedName name="IQ_CFO_2YR_ANN_GROWTH" hidden="1">"c128"</definedName>
    <definedName name="IQ_CFO_3YR_ANN_GROWTH" hidden="1">"c129"</definedName>
    <definedName name="IQ_CFO_5YR_ANN_GROWTH" hidden="1">"c130"</definedName>
    <definedName name="IQ_CFO_7YR_ANN_GROWTH" hidden="1">"c131"</definedName>
    <definedName name="IQ_CFO_CURRENT_LIAB" hidden="1">"c132"</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GROSS" hidden="1">"c162"</definedName>
    <definedName name="IQ_CHARGE_OFFS_NET" hidden="1">"c163"</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OSEPRICE" hidden="1">"c174"</definedName>
    <definedName name="IQ_COGS" hidden="1">"c175"</definedName>
    <definedName name="IQ_COMBINED_RATIO" hidden="1">"c176"</definedName>
    <definedName name="IQ_COMMERCIAL_DOM" hidden="1">"c177"</definedName>
    <definedName name="IQ_COMMERCIAL_FIRE_WRITTEN" hidden="1">"c178"</definedName>
    <definedName name="IQ_COMMERCIAL_MORT" hidden="1">"c179"</definedName>
    <definedName name="IQ_COMMISS_FEES" hidden="1">"c180"</definedName>
    <definedName name="IQ_COMMISSION_DEF" hidden="1">"c181"</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IT" hidden="1">"c188"</definedName>
    <definedName name="IQ_COMMON_APIC_UTI" hidden="1">"c189"</definedName>
    <definedName name="IQ_COMMON_DIV_CF" hidden="1">"c190"</definedName>
    <definedName name="IQ_COMMON_EQUITY_10YR_ANN_GROWTH" hidden="1">"c191"</definedName>
    <definedName name="IQ_COMMON_EQUITY_1YR_ANN_GROWTH" hidden="1">"c192"</definedName>
    <definedName name="IQ_COMMON_EQUITY_2YR_ANN_GROWTH" hidden="1">"c193"</definedName>
    <definedName name="IQ_COMMON_EQUITY_3YR_ANN_GROWTH" hidden="1">"c194"</definedName>
    <definedName name="IQ_COMMON_EQUITY_5YR_ANN_GROWTH" hidden="1">"c195"</definedName>
    <definedName name="IQ_COMMON_EQUITY_7YR_ANN_GROWTH" hidden="1">"c196"</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IT" hidden="1">"c211"</definedName>
    <definedName name="IQ_COMMON_REP_UTI" hidden="1">"c212"</definedName>
    <definedName name="IQ_COMMON_STOCK" hidden="1">"c182"</definedName>
    <definedName name="IQ_COMP_BENEFITS" hidden="1">"c213"</definedName>
    <definedName name="IQ_COMPANY_ADDRESS" hidden="1">"c214"</definedName>
    <definedName name="IQ_COMPANY_NAME" hidden="1">"c215"</definedName>
    <definedName name="IQ_COMPANY_NAME_LONG" hidden="1">"c1585"</definedName>
    <definedName name="IQ_COMPANY_PHONE" hidden="1">"c216"</definedName>
    <definedName name="IQ_COMPANY_STREET1" hidden="1">"c217"</definedName>
    <definedName name="IQ_COMPANY_STREET2" hidden="1">"c218"</definedName>
    <definedName name="IQ_COMPANY_TICKER" hidden="1">"c219"</definedName>
    <definedName name="IQ_COMPANY_WEBSITE" hidden="1">"c220"</definedName>
    <definedName name="IQ_COMPANY_ZIP" hidden="1">"c221"</definedName>
    <definedName name="IQ_CONSTRUCTION_LOANS" hidden="1">"c222"</definedName>
    <definedName name="IQ_CONSUMER_LOANS" hidden="1">"c223"</definedName>
    <definedName name="IQ_COST_BORROWINGS" hidden="1">"c225"</definedName>
    <definedName name="IQ_COST_REV" hidden="1">"c226"</definedName>
    <definedName name="IQ_COST_REVENUE" hidden="1">"c226"</definedName>
    <definedName name="IQ_COST_SAVINGS" hidden="1">"c227"</definedName>
    <definedName name="IQ_COST_SERVICE" hidden="1">"c228"</definedName>
    <definedName name="IQ_COST_TOTAL_BORROWINGS" hidden="1">"c229"</definedName>
    <definedName name="IQ_COUNTRY_NAME" hidden="1">"c230"</definedName>
    <definedName name="IQ_CQ" hidden="1">5000</definedName>
    <definedName name="IQ_CREDIT_CARD_FEE_BNK" hidden="1">"c231"</definedName>
    <definedName name="IQ_CREDIT_CARD_FEE_FIN" hidden="1">"c1583"</definedName>
    <definedName name="IQ_CREDIT_LOSS_CF" hidden="1">"c232"</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IT" hidden="1">"c239"</definedName>
    <definedName name="IQ_CURRENCY_GAIN_UTI" hidden="1">"c240"</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IT" hidden="1">"c1570"</definedName>
    <definedName name="IQ_CURRENT_PORT_DEBT_UTI" hidden="1">"c1571"</definedName>
    <definedName name="IQ_CURRENT_PORT_LEASES" hidden="1">"c245"</definedName>
    <definedName name="IQ_CURRENT_RATIO" hidden="1">"c246"</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IT" hidden="1">"c254"</definedName>
    <definedName name="IQ_DA_CF_UTI" hidden="1">"c255"</definedName>
    <definedName name="IQ_DA_FIN" hidden="1">"c256"</definedName>
    <definedName name="IQ_DA_INS" hidden="1">"c257"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IT" hidden="1">"c266"</definedName>
    <definedName name="IQ_DA_SUPPL_CF_UTI" hidden="1">"c267"</definedName>
    <definedName name="IQ_DA_SUPPL_FIN" hidden="1">"c268"</definedName>
    <definedName name="IQ_DA_SUPPL_INS" hidden="1">"c269"</definedName>
    <definedName name="IQ_DA_SUPPL_REIT" hidden="1">"c270"</definedName>
    <definedName name="IQ_DA_SUPPL_UTI" hidden="1">"c271"</definedName>
    <definedName name="IQ_DA_UTI" hidden="1">"c272"</definedName>
    <definedName name="IQ_DAYS_COVER_SHORT" hidden="1">"c1578"</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OTHER_COST" hidden="1">"c284"</definedName>
    <definedName name="IQ_DEF_BENEFIT_ROA" hidden="1">"c285"</definedName>
    <definedName name="IQ_DEF_BENEFIT_SERVICE_COST" hidden="1">"c286"</definedName>
    <definedName name="IQ_DEF_BENEFIT_TOTAL_COST" hidden="1">"c287"</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IT" hidden="1">"c297"</definedName>
    <definedName name="IQ_DEF_CHARGES_LT_UTI" hidden="1">"c298"</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IT" hidden="1">"c318"</definedName>
    <definedName name="IQ_DEF_TAX_LIAB_LT_UTI" hidden="1">"c319"</definedName>
    <definedName name="IQ_DEFERRED_INC_TAX" hidden="1">"c315"</definedName>
    <definedName name="IQ_DEFERRED_TAXES" hidden="1">"c147"</definedName>
    <definedName name="IQ_DEMAND_DEP" hidden="1">"c320"</definedName>
    <definedName name="IQ_DEPOSITS_FIN" hidden="1">"c321"</definedName>
    <definedName name="IQ_DEPRE_AMORT" hidden="1">"c247"</definedName>
    <definedName name="IQ_DEPRE_AMORT_SUPPL" hidden="1">"c1593"</definedName>
    <definedName name="IQ_DEPRE_DEPLE" hidden="1">"c261"</definedName>
    <definedName name="IQ_DEPRE_SUPP" hidden="1">"c1443"</definedName>
    <definedName name="IQ_DESCRIPTION_LONG" hidden="1">"c322"</definedName>
    <definedName name="IQ_DEVELOP_LAND" hidden="1">"c323"</definedName>
    <definedName name="IQ_DILUT_ADJUST" hidden="1">"c1621"</definedName>
    <definedName name="IQ_DILUT_EPS_EXCL" hidden="1">"c324"</definedName>
    <definedName name="IQ_DILUT_EPS_INCL" hidden="1">"c325"</definedName>
    <definedName name="IQ_DILUT_NORMAL_EPS" hidden="1">"c1594"</definedName>
    <definedName name="IQ_DILUT_WEIGHT" hidden="1">"c326"</definedName>
    <definedName name="IQ_DISCONT_OPER" hidden="1">"c333"</definedName>
    <definedName name="IQ_DISCOUNT_RATE_PENSION_DOMESTIC" hidden="1">"c327"</definedName>
    <definedName name="IQ_DISCOUNT_RATE_PENSION_FOREIGN" hidden="1">"c328"</definedName>
    <definedName name="IQ_DISTR_EXCESS_EARN" hidden="1">"c329"</definedName>
    <definedName name="IQ_DIV_SHARE" hidden="1">"c330"</definedName>
    <definedName name="IQ_DIVEST_CF" hidden="1">"c331"</definedName>
    <definedName name="IQ_DIVID_SHARE" hidden="1">"c330"</definedName>
    <definedName name="IQ_DIVIDEND_YIELD" hidden="1">"c332"</definedName>
    <definedName name="IQ_DO" hidden="1">"c333"</definedName>
    <definedName name="IQ_DO_ASSETS_CURRENT" hidden="1">"c334"</definedName>
    <definedName name="IQ_DO_ASSETS_LT" hidden="1">"c335"</definedName>
    <definedName name="IQ_DO_CF" hidden="1">"c336"</definedName>
    <definedName name="IQ_DPS_10YR_ANN_GROWTH" hidden="1">"c337"</definedName>
    <definedName name="IQ_DPS_1YR_ANN_GROWTH" hidden="1">"c338"</definedName>
    <definedName name="IQ_DPS_2YR_ANN_GROWTH" hidden="1">"c339"</definedName>
    <definedName name="IQ_DPS_3YR_ANN_GROWTH" hidden="1">"c340"</definedName>
    <definedName name="IQ_DPS_5YR_ANN_GROWTH" hidden="1">"c341"</definedName>
    <definedName name="IQ_DPS_7YR_ANN_GROWTH" hidden="1">"c342"</definedName>
    <definedName name="IQ_EARNING_ASSET_YIELD" hidden="1">"c343"</definedName>
    <definedName name="IQ_EARNING_CO" hidden="1">"c344"</definedName>
    <definedName name="IQ_EARNING_CO_10YR_ANN_GROWTH" hidden="1">"c345"</definedName>
    <definedName name="IQ_EARNING_CO_1YR_ANN_GROWTH" hidden="1">"c346"</definedName>
    <definedName name="IQ_EARNING_CO_2YR_ANN_GROWTH" hidden="1">"c347"</definedName>
    <definedName name="IQ_EARNING_CO_3YR_ANN_GROWTH" hidden="1">"c348"</definedName>
    <definedName name="IQ_EARNING_CO_5YR_ANN_GROWTH" hidden="1">"c349"</definedName>
    <definedName name="IQ_EARNING_CO_7YR_ANN_GROWTH" hidden="1">"c350"</definedName>
    <definedName name="IQ_EARNING_CO_MARGIN" hidden="1">"c351"</definedName>
    <definedName name="IQ_EBIT" hidden="1">"c352"</definedName>
    <definedName name="IQ_EBIT_10YR_ANN_GROWTH" hidden="1">"c353"</definedName>
    <definedName name="IQ_EBIT_1YR_ANN_GROWTH" hidden="1">"c354"</definedName>
    <definedName name="IQ_EBIT_2YR_ANN_GROWTH" hidden="1">"c355"</definedName>
    <definedName name="IQ_EBIT_3YR_ANN_GROWTH" hidden="1">"c356"</definedName>
    <definedName name="IQ_EBIT_5YR_ANN_GROWTH" hidden="1">"c357"</definedName>
    <definedName name="IQ_EBIT_7YR_ANN_GROWTH" hidden="1">"c358"</definedName>
    <definedName name="IQ_EBIT_INT" hidden="1">"c360"</definedName>
    <definedName name="IQ_EBIT_MARGIN" hidden="1">"c359"</definedName>
    <definedName name="IQ_EBIT_OVER_IE" hidden="1">"c360"</definedName>
    <definedName name="IQ_EBITDA" hidden="1">"c361"</definedName>
    <definedName name="IQ_EBITDA_10YR_ANN_GROWTH" hidden="1">"c362"</definedName>
    <definedName name="IQ_EBITDA_1YR_ANN_GROWTH" hidden="1">"c363"</definedName>
    <definedName name="IQ_EBITDA_2YR_ANN_GROWTH" hidden="1">"c364"</definedName>
    <definedName name="IQ_EBITDA_3YR_ANN_GROWTH" hidden="1">"c365"</definedName>
    <definedName name="IQ_EBITDA_5YR_ANN_GROWTH" hidden="1">"c366"</definedName>
    <definedName name="IQ_EBITDA_7YR_ANN_GROWTH" hidden="1">"c367"</definedName>
    <definedName name="IQ_EBITDA_CAPEX_INT" hidden="1">"c368"</definedName>
    <definedName name="IQ_EBITDA_CAPEX_OVER_TOTAL_IE" hidden="1">"c368"</definedName>
    <definedName name="IQ_EBITDA_INT" hidden="1">"c373"</definedName>
    <definedName name="IQ_EBITDA_MARGIN" hidden="1">"c372"</definedName>
    <definedName name="IQ_EBITDA_OVER_TOTAL_IE" hidden="1">"c373"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IT" hidden="1">"c384"</definedName>
    <definedName name="IQ_EBT_EXCL_UTI" hidden="1">"c385"</definedName>
    <definedName name="IQ_EBT_FIN" hidden="1">"c386"</definedName>
    <definedName name="IQ_EBT_INS" hidden="1">"c388"</definedName>
    <definedName name="IQ_EBT_REIT" hidden="1">"c389"</definedName>
    <definedName name="IQ_EBT_UTI" hidden="1">"c390"</definedName>
    <definedName name="IQ_EFFECT_SPECIAL_CHARGE" hidden="1">"c1595"</definedName>
    <definedName name="IQ_EFFICIENCY_RATIO" hidden="1">"c391"</definedName>
    <definedName name="IQ_EMPLOYEES" hidden="1">"c392"</definedName>
    <definedName name="IQ_ENTERPRISE_VALUE" hidden="1">"c84"</definedName>
    <definedName name="IQ_EPS_10YR_ANN_GROWTH" hidden="1">"c393"</definedName>
    <definedName name="IQ_EPS_1YR_ANN_GROWTH" hidden="1">"c394"</definedName>
    <definedName name="IQ_EPS_2YR_ANN_GROWTH" hidden="1">"c395"</definedName>
    <definedName name="IQ_EPS_3YR_ANN_GROWTH" hidden="1">"c396"</definedName>
    <definedName name="IQ_EPS_5YR_ANN_GROWTH" hidden="1">"c397"</definedName>
    <definedName name="IQ_EPS_7YR_ANN_GROWTH" hidden="1">"c398"</definedName>
    <definedName name="IQ_EPS_EST" hidden="1">"c399"</definedName>
    <definedName name="IQ_EQUITY_AFFIL" hidden="1">"c552"</definedName>
    <definedName name="IQ_EQUITY_METHOD" hidden="1">"c404"</definedName>
    <definedName name="IQ_EQV_OVER_BV" hidden="1">"c1596"</definedName>
    <definedName name="IQ_EQV_OVER_LTM_PRETAX_INC" hidden="1">"c739"</definedName>
    <definedName name="IQ_ESOP_DEBT" hidden="1">"c1597"</definedName>
    <definedName name="IQ_EST_ACT_EPS" hidden="1">"c1648"</definedName>
    <definedName name="IQ_EST_DATE" hidden="1">"c1634"</definedName>
    <definedName name="IQ_EST_EPS_GROWTH_1YR" hidden="1">"c1636"</definedName>
    <definedName name="IQ_EST_EPS_GROWTH_Q_1YR" hidden="1">"c1641"</definedName>
    <definedName name="IQ_EV_OVER_EMPLOYEE" hidden="1">"c1225"</definedName>
    <definedName name="IQ_EV_OVER_LTM_EBIT" hidden="1">"c1221"</definedName>
    <definedName name="IQ_EV_OVER_LTM_EBITDA" hidden="1">"c1223"</definedName>
    <definedName name="IQ_EV_OVER_LTM_REVENUE" hidden="1">"c1227"</definedName>
    <definedName name="IQ_EXCHANGE" hidden="1">"c405"</definedName>
    <definedName name="IQ_EXERCISE_PRICE"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IT" hidden="1">"c415"</definedName>
    <definedName name="IQ_EXTRA_ACC_ITEMS_UTI" hidden="1">"c416"</definedName>
    <definedName name="IQ_EXTRA_ITEMS" hidden="1">"c413"</definedName>
    <definedName name="IQ_FDIC" hidden="1">"c417"</definedName>
    <definedName name="IQ_FFO" hidden="1">"c1574"</definedName>
    <definedName name="IQ_FHLB_DEBT" hidden="1">"c423"</definedName>
    <definedName name="IQ_FILINGDATE_BS" hidden="1">"c424"</definedName>
    <definedName name="IQ_FILINGDATE_CF" hidden="1">"c425"</definedName>
    <definedName name="IQ_FILINGDATE_IS" hidden="1">"c426"</definedName>
    <definedName name="IQ_FIN_DIV_ASSETS_CURRENT" hidden="1">"c427"</definedName>
    <definedName name="IQ_FIN_DIV_ASSETS_LT" hidden="1">"c428"</definedName>
    <definedName name="IQ_FIN_DIV_DEBT_CURRENT" hidden="1">"c429"</definedName>
    <definedName name="IQ_FIN_DIV_DEBT_LT" hidden="1">"c430"</definedName>
    <definedName name="IQ_FIN_DIV_EXP" hidden="1">"c431"</definedName>
    <definedName name="IQ_FIN_DIV_INT_EXP" hidden="1">"c432"</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REV" hidden="1">"c437"</definedName>
    <definedName name="IQ_FINANCING_CASH" hidden="1">"c893"</definedName>
    <definedName name="IQ_FINANCING_CASH_SUPPL" hidden="1">"c899"</definedName>
    <definedName name="IQ_FINISHED_INV" hidden="1">"c438"</definedName>
    <definedName name="IQ_FIRST_YEAR_LIFE" hidden="1">"c439"</definedName>
    <definedName name="IQ_FISCAL_Q" hidden="1">"c440"</definedName>
    <definedName name="IQ_FISCAL_Y" hidden="1">"c441"</definedName>
    <definedName name="IQ_FIVE_PERCENT_OWNER" hidden="1">"c442"</definedName>
    <definedName name="IQ_FIVEPERCENT_PERCENT" hidden="1">"c443"</definedName>
    <definedName name="IQ_FIVEPERCENT_SHARES" hidden="1">"c444"</definedName>
    <definedName name="IQ_FIXED_ASSET_TURNS" hidden="1">"c445"</definedName>
    <definedName name="IQ_FLOAT_PERCENT" hidden="1">"c1575"</definedName>
    <definedName name="IQ_FOREIGN_DEP_IB" hidden="1">"c446"</definedName>
    <definedName name="IQ_FOREIGN_DEP_NON_IB" hidden="1">"c447"</definedName>
    <definedName name="IQ_FOREIGN_EXCHANGE" hidden="1">"c451"</definedName>
    <definedName name="IQ_FOREIGN_LOANS" hidden="1">"c448"</definedName>
    <definedName name="IQ_FQ" hidden="1">500</definedName>
    <definedName name="IQ_FUEL" hidden="1">"c449"</definedName>
    <definedName name="IQ_FULL_TIME" hidden="1">"c450"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Y" hidden="1">1000</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"c452"</definedName>
    <definedName name="IQ_GOODWILL_NET" hidden="1">"c530"</definedName>
    <definedName name="IQ_GP" hidden="1">"c511"</definedName>
    <definedName name="IQ_GP_10YR_ANN_GROWTH" hidden="1">"c512"</definedName>
    <definedName name="IQ_GP_1YR_ANN_GROWTH" hidden="1">"c513"</definedName>
    <definedName name="IQ_GP_2YR_ANN_GROWTH" hidden="1">"c514"</definedName>
    <definedName name="IQ_GP_3YR_ANN_GROWTH" hidden="1">"c515"</definedName>
    <definedName name="IQ_GP_5YR_ANN_GROWTH" hidden="1">"c516"</definedName>
    <definedName name="IQ_GP_7YR_ANN_GROWTH" hidden="1">"c517"</definedName>
    <definedName name="IQ_GPPE" hidden="1">"c518"</definedName>
    <definedName name="IQ_GROSS_DIVID" hidden="1">"c192"</definedName>
    <definedName name="IQ_GROSS_LOANS" hidden="1">"c521"</definedName>
    <definedName name="IQ_GROSS_LOANS_10YR_ANN_GROWTH" hidden="1">"c522"</definedName>
    <definedName name="IQ_GROSS_LOANS_1YR_ANN_GROWTH" hidden="1">"c523"</definedName>
    <definedName name="IQ_GROSS_LOANS_2YR_ANN_GROWTH" hidden="1">"c524"</definedName>
    <definedName name="IQ_GROSS_LOANS_3YR_ANN_GROWTH" hidden="1">"c525"</definedName>
    <definedName name="IQ_GROSS_LOANS_5YR_ANN_GROWTH" hidden="1">"c526"</definedName>
    <definedName name="IQ_GROSS_LOANS_7YR_ANN_GROWTH" hidden="1">"c527"</definedName>
    <definedName name="IQ_GROSS_LOANS_TOTAL_DEPOSITS" hidden="1">"c528"</definedName>
    <definedName name="IQ_GROSS_MARGIN" hidden="1">"c529"</definedName>
    <definedName name="IQ_GROSS_PROFIT" hidden="1">"c511"</definedName>
    <definedName name="IQ_GW" hidden="1">"c530"</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IT" hidden="1">"c1480"</definedName>
    <definedName name="IQ_GW_INTAN_AMORT_UTI" hidden="1">"c1481"</definedName>
    <definedName name="IQ_HIGHPRICE" hidden="1">"c545"</definedName>
    <definedName name="IQ_HOMEOWNERS_WRITTEN" hidden="1">"c546"</definedName>
    <definedName name="IQ_IMPAIR_OIL" hidden="1">"c547"</definedName>
    <definedName name="IQ_IMPAIRMENT_GW" hidden="1">"c548"</definedName>
    <definedName name="IQ_INC_AFTER_TAX" hidden="1">"c1598"</definedName>
    <definedName name="IQ_INC_AVAIL_EXCL" hidden="1">"c789"</definedName>
    <definedName name="IQ_INC_AVAIL_INCL" hidden="1">"c791"</definedName>
    <definedName name="IQ_INC_BEFORE_TAX" hidden="1">"c386"</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S_ANNUITY_LIAB" hidden="1">"c563"</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UR_RECEIV" hidden="1">"c1600"</definedName>
    <definedName name="IQ_INT_BORROW" hidden="1">"c583"</definedName>
    <definedName name="IQ_INT_DEPOSITS" hidden="1">"c584"</definedName>
    <definedName name="IQ_INT_DIV_INC" hidden="1">"c585"</definedName>
    <definedName name="IQ_INT_EXP_BR" hidden="1">"c586"</definedName>
    <definedName name="IQ_INT_EXP_COVERAGE" hidden="1">"c587"</definedName>
    <definedName name="IQ_INT_EXP_FIN" hidden="1">"c588"</definedName>
    <definedName name="IQ_INT_EXP_INS" hidden="1">"c589"</definedName>
    <definedName name="IQ_INT_EXP_REIT" hidden="1">"c590"</definedName>
    <definedName name="IQ_INT_EXP_TOTAL" hidden="1">"c591"</definedName>
    <definedName name="IQ_INT_EXP_UTI" hidden="1">"c592"</definedName>
    <definedName name="IQ_INT_INC_BR" hidden="1">"c593"</definedName>
    <definedName name="IQ_INT_INC_FIN" hidden="1">"c594"</definedName>
    <definedName name="IQ_INT_INC_INVEST" hidden="1">"c595"</definedName>
    <definedName name="IQ_INT_INC_LOANS" hidden="1">"c596"</definedName>
    <definedName name="IQ_INT_INC_REIT" hidden="1">"c597"</definedName>
    <definedName name="IQ_INT_INC_TOTAL" hidden="1">"c598"</definedName>
    <definedName name="IQ_INT_INC_UTI" hidden="1">"c599"</definedName>
    <definedName name="IQ_INT_INV_INC" hidden="1">"c600"</definedName>
    <definedName name="IQ_INT_INV_INC_REIT" hidden="1">"c601"</definedName>
    <definedName name="IQ_INT_INV_INC_UTI" hidden="1">"c602"</definedName>
    <definedName name="IQ_INT_ON_BORROWING_COVERAGE" hidden="1">"c603"</definedName>
    <definedName name="IQ_INT_RATE_SPREAD" hidden="1">"c604"</definedName>
    <definedName name="IQ_INTANGIBLES_NET" hidden="1">"c907"</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NON" hidden="1">"c619"</definedName>
    <definedName name="IQ_INTEREST_INVEST_INC" hidden="1">"c619"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IT" hidden="1">"c633"</definedName>
    <definedName name="IQ_INVEST_LOANS_CF_UTI" hidden="1">"c634"</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IT" hidden="1">"c642"</definedName>
    <definedName name="IQ_INVEST_SECURITY_CF_UTI" hidden="1">"c643"</definedName>
    <definedName name="IQ_IPRD" hidden="1">"c644"</definedName>
    <definedName name="IQ_ISS_DEBT_NET" hidden="1">"c751"</definedName>
    <definedName name="IQ_ISS_STOCK_NET" hidden="1">"c1601"</definedName>
    <definedName name="IQ_LAND" hidden="1">"c645"</definedName>
    <definedName name="IQ_LASTSALEPRICE" hidden="1">"c646"</definedName>
    <definedName name="IQ_LATESTK" hidden="1">1000</definedName>
    <definedName name="IQ_LATESTQ" hidden="1">500</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IT" hidden="1">"c652"</definedName>
    <definedName name="IQ_LEGAL_SETTLE_UTI" hidden="1">"c653"</definedName>
    <definedName name="IQ_LEVERAGE_RATIO" hidden="1">"c654"</definedName>
    <definedName name="IQ_LIFOR" hidden="1">"c655"</definedName>
    <definedName name="IQ_LL" hidden="1">"c656"</definedName>
    <definedName name="IQ_LOAN_LEASE_RECEIV" hidden="1">"c657"</definedName>
    <definedName name="IQ_LOAN_LOSS" hidden="1">"c656"</definedName>
    <definedName name="IQ_LOAN_SERVICE_REV" hidden="1">"c658"</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IT" hidden="1">"c664"</definedName>
    <definedName name="IQ_LOANS_CF_UTI" hidden="1">"c665"</definedName>
    <definedName name="IQ_LOANS_FOR_SALE" hidden="1">"c666"</definedName>
    <definedName name="IQ_LOANS_PAST_DUE" hidden="1">"c667"</definedName>
    <definedName name="IQ_LOANS_RECEIV_CURRENT" hidden="1">"c668"</definedName>
    <definedName name="IQ_LOANS_RECEIV_LT" hidden="1">"c669"</definedName>
    <definedName name="IQ_LOANS_RECEIV_LT_UTI" hidden="1">"c670"</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LOSS_EXP" hidden="1">"c672"</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IT" hidden="1">"c686"</definedName>
    <definedName name="IQ_LT_DEBT_ISSUED_UTI" hidden="1">"c687"</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"c1304"</definedName>
    <definedName name="IQ_MACHINERY" hidden="1">"c711"</definedName>
    <definedName name="IQ_MARKETCAP" hidden="1">"c712"</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IT" hidden="1">"c734"</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M_ACCOUNT" hidden="1">"c743"</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NET_CHANGE" hidden="1">"c749"</definedName>
    <definedName name="IQ_NET_DEBT" hidden="1">"c1584"</definedName>
    <definedName name="IQ_NET_DEBT_EBITDA" hidden="1">"c750"</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IT" hidden="1">"c756"</definedName>
    <definedName name="IQ_NET_DEBT_ISSUED_UTI" hidden="1">"c757"</definedName>
    <definedName name="IQ_NET_INC" hidden="1">"c781"</definedName>
    <definedName name="IQ_NET_INC_BEFORE" hidden="1">"c344"</definedName>
    <definedName name="IQ_NET_INC_CF" hidden="1">"c793"</definedName>
    <definedName name="IQ_NET_INC_MARGIN" hidden="1">"c794"</definedName>
    <definedName name="IQ_NET_INT_INC_10YR_ANN_GROWTH" hidden="1">"c758"</definedName>
    <definedName name="IQ_NET_INT_INC_1YR_ANN_GROWTH" hidden="1">"c759"</definedName>
    <definedName name="IQ_NET_INT_INC_2YR_ANN_GROWTH" hidden="1">"c760"</definedName>
    <definedName name="IQ_NET_INT_INC_3YR_ANN_GROWTH" hidden="1">"c761"</definedName>
    <definedName name="IQ_NET_INT_INC_5YR_ANN_GROWTH" hidden="1">"c762"</definedName>
    <definedName name="IQ_NET_INT_INC_7YR_ANN_GROWTH" hidden="1">"c763"</definedName>
    <definedName name="IQ_NET_INT_INC_BNK" hidden="1">"c764"</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LOANS" hidden="1">"c772"</definedName>
    <definedName name="IQ_NET_LOANS_10YR_ANN_GROWTH" hidden="1">"c773"</definedName>
    <definedName name="IQ_NET_LOANS_1YR_ANN_GROWTH" hidden="1">"c774"</definedName>
    <definedName name="IQ_NET_LOANS_2YR_ANN_GROWTH" hidden="1">"c775"</definedName>
    <definedName name="IQ_NET_LOANS_3YR_ANN_GROWTH" hidden="1">"c776"</definedName>
    <definedName name="IQ_NET_LOANS_5YR_ANN_GROWTH" hidden="1">"c777"</definedName>
    <definedName name="IQ_NET_LOANS_7YR_ANN_GROWTH" hidden="1">"c778"</definedName>
    <definedName name="IQ_NET_LOANS_TOTAL_DEPOSITS" hidden="1">"c779"</definedName>
    <definedName name="IQ_NET_RENTAL_EXP_FN" hidden="1">"c780"</definedName>
    <definedName name="IQ_NI" hidden="1">"c781"</definedName>
    <definedName name="IQ_NI_10YR_ANN_GROWTH" hidden="1">"c782"</definedName>
    <definedName name="IQ_NI_1YR_ANN_GROWTH" hidden="1">"c783"</definedName>
    <definedName name="IQ_NI_2YR_ANN_GROWTH" hidden="1">"c784"</definedName>
    <definedName name="IQ_NI_3YR_ANN_GROWTH" hidden="1">"c785"</definedName>
    <definedName name="IQ_NI_5YR_ANN_GROWTH" hidden="1">"c786"</definedName>
    <definedName name="IQ_NI_7YR_ANN_GROWTH" hidden="1">"c787"</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MARGIN" hidden="1">"c794"</definedName>
    <definedName name="IQ_NI_SFAS" hidden="1">"c795"</definedName>
    <definedName name="IQ_NON_ACCRUAL_LOANS" hidden="1">"c796"</definedName>
    <definedName name="IQ_NON_CASH" hidden="1">"c797"</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INC" hidden="1">"c802"</definedName>
    <definedName name="IQ_NON_INT_INC_10YR_ANN_GROWTH" hidden="1">"c803"</definedName>
    <definedName name="IQ_NON_INT_INC_1YR_ANN_GROWTH" hidden="1">"c804"</definedName>
    <definedName name="IQ_NON_INT_INC_2YR_ANN_GROWTH" hidden="1">"c805"</definedName>
    <definedName name="IQ_NON_INT_INC_3YR_ANN_GROWTH" hidden="1">"c806"</definedName>
    <definedName name="IQ_NON_INT_INC_5YR_ANN_GROWTH" hidden="1">"c807"</definedName>
    <definedName name="IQ_NON_INT_INC_7YR_ANN_GROWTH" hidden="1">"c808"</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GROWTH" hidden="1">"c811"</definedName>
    <definedName name="IQ_NON_PERF_ASSETS_1YR_ANN_GROWTH" hidden="1">"c812"</definedName>
    <definedName name="IQ_NON_PERF_ASSETS_2YR_ANN_GROWTH" hidden="1">"c813"</definedName>
    <definedName name="IQ_NON_PERF_ASSETS_3YR_ANN_GROWTH" hidden="1">"c814"</definedName>
    <definedName name="IQ_NON_PERF_ASSETS_5YR_ANN_GROWTH" hidden="1">"c815"</definedName>
    <definedName name="IQ_NON_PERF_ASSETS_7YR_ANN_GROWTH" hidden="1">"c816"</definedName>
    <definedName name="IQ_NON_PERF_ASSETS_TOTAL_ASSETS" hidden="1">"c817"</definedName>
    <definedName name="IQ_NON_PERF_LOANS_10YR_ANN_GROWTH" hidden="1">"c818"</definedName>
    <definedName name="IQ_NON_PERF_LOANS_1YR_ANN_GROWTH" hidden="1">"c819"</definedName>
    <definedName name="IQ_NON_PERF_LOANS_2YR_ANN_GROWTH" hidden="1">"c820"</definedName>
    <definedName name="IQ_NON_PERF_LOANS_3YR_ANN_GROWTH" hidden="1">"c821"</definedName>
    <definedName name="IQ_NON_PERF_LOANS_5YR_ANN_GROWTH" hidden="1">"c822"</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RMAL_INC_AFTER" hidden="1">"c1605"</definedName>
    <definedName name="IQ_NORMAL_INC_AVAIL" hidden="1">"c1606"</definedName>
    <definedName name="IQ_NORMAL_INC_BEFORE" hidden="1">"c1607"</definedName>
    <definedName name="IQ_NOTES_PAY" hidden="1">"c1176"</definedName>
    <definedName name="IQ_NOW_ACCOUNT" hidden="1">"c828"</definedName>
    <definedName name="IQ_NPPE" hidden="1">"c829"</definedName>
    <definedName name="IQ_NPPE_10YR_ANN_GROWTH" hidden="1">"c830"</definedName>
    <definedName name="IQ_NPPE_1YR_ANN_GROWTH" hidden="1">"c831"</definedName>
    <definedName name="IQ_NPPE_2YR_ANN_GROWTH" hidden="1">"c832"</definedName>
    <definedName name="IQ_NPPE_3YR_ANN_GROWTH" hidden="1">"c833"</definedName>
    <definedName name="IQ_NPPE_5YR_ANN_GROWTH" hidden="1">"c834"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OCCUPY_EXP" hidden="1">"c839"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NPRICE" hidden="1">"c848"</definedName>
    <definedName name="IQ_OPER_INC" hidden="1">"c849"</definedName>
    <definedName name="IQ_OPER_INC_BR" hidden="1">"c850"</definedName>
    <definedName name="IQ_OPER_INC_FIN" hidden="1">"c851"</definedName>
    <definedName name="IQ_OPER_INC_INS" hidden="1">"c852"</definedName>
    <definedName name="IQ_OPER_INC_MARGIN" hidden="1">"c362"</definedName>
    <definedName name="IQ_OPER_INC_REIT" hidden="1">"c853"</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ISSUED" hidden="1">"c857"</definedName>
    <definedName name="IQ_OTHER_ADJUST_GROSS_LOANS" hidden="1">"c859"</definedName>
    <definedName name="IQ_OTHER_ASSETS" hidden="1">"c860"</definedName>
    <definedName name="IQ_OTHER_ASSETS_BNK" hidden="1">"c861"</definedName>
    <definedName name="IQ_OTHER_ASSETS_BR" hidden="1">"c862"</definedName>
    <definedName name="IQ_OTHER_ASSETS_FIN" hidden="1">"c863"</definedName>
    <definedName name="IQ_OTHER_ASSETS_INS" hidden="1">"c864"</definedName>
    <definedName name="IQ_OTHER_ASSETS_REIT" hidden="1">"c865"</definedName>
    <definedName name="IQ_OTHER_ASSETS_UTI" hidden="1">"c866"</definedName>
    <definedName name="IQ_OTHER_BEARING_LIAB" hidden="1">"c1608"</definedName>
    <definedName name="IQ_OTHER_BENEFITS_OBLIGATION" hidden="1">"c867"</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REIT" hidden="1">"c882"</definedName>
    <definedName name="IQ_OTHER_CL_SUPPL_UTI" hidden="1">"c883"</definedName>
    <definedName name="IQ_OTHER_CL_UTI" hidden="1">"c884"</definedName>
    <definedName name="IQ_OTHER_CURRENT_ASSETS" hidden="1">"c868"</definedName>
    <definedName name="IQ_OTHER_CURRENT_LIAB" hidden="1">"c877"</definedName>
    <definedName name="IQ_OTHER_DEP" hidden="1">"c885"</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IT" hidden="1">"c904"</definedName>
    <definedName name="IQ_OTHER_FINANCE_ACT_SUPPL_UTI" hidden="1">"c905"</definedName>
    <definedName name="IQ_OTHER_FINANCE_ACT_UTI" hidden="1">"c906"</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IT" hidden="1">"c912"</definedName>
    <definedName name="IQ_OTHER_INTAN_UTI" hidden="1">"c913"</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IT" hidden="1">"c940"</definedName>
    <definedName name="IQ_OTHER_LIAB_LT_UTI" hidden="1">"c941"</definedName>
    <definedName name="IQ_OTHER_LIAB_REIT" hidden="1">"c942"</definedName>
    <definedName name="IQ_OTHER_LIAB_UTI" hidden="1">"c943"</definedName>
    <definedName name="IQ_OTHER_LIAB_WRITTEN" hidden="1">"c944"</definedName>
    <definedName name="IQ_OTHER_LOANS" hidden="1">"c945"</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IT" hidden="1">"c951"</definedName>
    <definedName name="IQ_OTHER_LT_ASSETS_UTI" hidden="1">"c952"</definedName>
    <definedName name="IQ_OTHER_NET" hidden="1">"c959"</definedName>
    <definedName name="IQ_OTHER_NON_INT_EXP" hidden="1">"c953"</definedName>
    <definedName name="IQ_OTHER_NON_INT_EXP_TOTAL" hidden="1">"c954"</definedName>
    <definedName name="IQ_OTHER_NON_INT_INC" hidden="1">"c955"</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IT" hidden="1">"c965"</definedName>
    <definedName name="IQ_OTHER_NON_OPER_EXP_SUPPL_UTI" hidden="1">"c966"</definedName>
    <definedName name="IQ_OTHER_NON_OPER_EXP_UTI" hidden="1">"c967"</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IT" hidden="1">"c1003"</definedName>
    <definedName name="IQ_OTHER_OPER_TOT_UTI" hidden="1">"c1004"</definedName>
    <definedName name="IQ_OTHER_OPER_UTI" hidden="1">"c1005"</definedName>
    <definedName name="IQ_OTHER_PC_WRITTEN" hidden="1">"c1006"</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IT" hidden="1">"c1019"</definedName>
    <definedName name="IQ_OTHER_REV_SUPPL_UTI" hidden="1">"c1020"</definedName>
    <definedName name="IQ_OTHER_REV_UTI" hidden="1">"c1021"</definedName>
    <definedName name="IQ_OTHER_REVENUE" hidden="1">"c1010"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IT" hidden="1">"c1499"</definedName>
    <definedName name="IQ_OTHER_UNUSUAL_SUPPL_UTI" hidden="1">"c1500"</definedName>
    <definedName name="IQ_OTHER_UNUSUAL_UTI" hidden="1">"c1565"</definedName>
    <definedName name="IQ_OUTSTANDING_BS_DATE" hidden="1">"c1022"</definedName>
    <definedName name="IQ_OUTSTANDING_FILING_DATE" hidden="1">"c1023"</definedName>
    <definedName name="IQ_PART_TIME" hidden="1">"c1024"</definedName>
    <definedName name="IQ_PAY_ACCRUED" hidden="1">"c8"</definedName>
    <definedName name="IQ_PBV" hidden="1">"c1025"</definedName>
    <definedName name="IQ_PBV_AVG" hidden="1">"c1026"</definedName>
    <definedName name="IQ_PC_WRITTEN" hidden="1">"c1027"</definedName>
    <definedName name="IQ_PE_EXCL" hidden="1">"c1028"</definedName>
    <definedName name="IQ_PE_EXCL_AVG" hidden="1">"c1029"</definedName>
    <definedName name="IQ_PE_EXCL_FWD" hidden="1">"c1030"</definedName>
    <definedName name="IQ_PE_RATIO" hidden="1">"c1610"</definedName>
    <definedName name="IQ_PENSION" hidden="1">"c1031"</definedName>
    <definedName name="IQ_PERIODDATE" hidden="1">"c1034"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RE_OPEN_COST" hidden="1">"c1040"</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IT" hidden="1">"c1058"</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IT" hidden="1">"c1065"</definedName>
    <definedName name="IQ_PREF_REP_UTI" hidden="1">"c1066"</definedName>
    <definedName name="IQ_PREF_STOCK" hidden="1">"c1052"</definedName>
    <definedName name="IQ_PREF_TOT" hidden="1">"c1044"</definedName>
    <definedName name="IQ_PREMIUMS_ANNUITY_REV" hidden="1">"c1067"</definedName>
    <definedName name="IQ_PREPAID_EXP" hidden="1">"c1068"</definedName>
    <definedName name="IQ_PREPAID_EXPEN" hidden="1">"c1068"</definedName>
    <definedName name="IQ_PRICE_OVER_BVPS" hidden="1">"c1026"</definedName>
    <definedName name="IQ_PRICE_OVER_LTM_EPS" hidden="1">"c1029"</definedName>
    <definedName name="IQ_PRICEDATE" hidden="1">"c1069"</definedName>
    <definedName name="IQ_PRICING_DATE" hidden="1">"c1613"</definedName>
    <definedName name="IQ_PRIMARY_INDUSTRY" hidden="1">"c1070"</definedName>
    <definedName name="IQ_PRO_FORMA_BASIC_EPS" hidden="1">"c1614"</definedName>
    <definedName name="IQ_PRO_FORMA_DILUT_EPS" hidden="1">"c1615"</definedName>
    <definedName name="IQ_PRO_FORMA_NET_INC" hidden="1">"c795"</definedName>
    <definedName name="IQ_PROFESSIONAL" hidden="1">"c1071"</definedName>
    <definedName name="IQ_PROFESSIONAL_TITLE" hidden="1">"c1072"</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ISION_10YR_ANN_GROWTH" hidden="1">"c1077"</definedName>
    <definedName name="IQ_PROVISION_1YR_ANN_GROWTH" hidden="1">"c1078"</definedName>
    <definedName name="IQ_PROVISION_2YR_ANN_GROWTH" hidden="1">"c1079"</definedName>
    <definedName name="IQ_PROVISION_3YR_ANN_GROWTH" hidden="1">"c1080"</definedName>
    <definedName name="IQ_PROVISION_5YR_ANN_GROWTH" hidden="1">"c1081"</definedName>
    <definedName name="IQ_PROVISION_7YR_ANN_GROWTH" hidden="1">"c1082"</definedName>
    <definedName name="IQ_PROVISION_CHARGE_OFFS" hidden="1">"c1083"</definedName>
    <definedName name="IQ_PTBV" hidden="1">"c1084"</definedName>
    <definedName name="IQ_PTBV_AVG" hidden="1">"c1085"</definedName>
    <definedName name="IQ_QUICK_RATIO" hidden="1">"c1086"</definedName>
    <definedName name="IQ_RATE_COMP_GROWTH_DOMESTIC" hidden="1">"c1087"</definedName>
    <definedName name="IQ_RATE_COMP_GROWTH_FOREIGN" hidden="1">"c1088"</definedName>
    <definedName name="IQ_RAW_INV" hidden="1">"c1089"</definedName>
    <definedName name="IQ_RD_EXP" hidden="1">"c1090"</definedName>
    <definedName name="IQ_RD_EXP_FN" hidden="1">"c1091"</definedName>
    <definedName name="IQ_RE" hidden="1">"c1092"</definedName>
    <definedName name="IQ_REAL_ESTATE" hidden="1">"c1093"</definedName>
    <definedName name="IQ_REAL_ESTATE_ASSETS" hidden="1">"c1094"</definedName>
    <definedName name="IQ_REDEEM_PREF_STOCK" hidden="1">"c1059"</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NTAL_REV" hidden="1">"c1101"</definedName>
    <definedName name="IQ_RESEARCH_DEV" hidden="1">"c1090"</definedName>
    <definedName name="IQ_RESIDENTIAL_LOANS" hidden="1">"c1102"</definedName>
    <definedName name="IQ_RESTATEMENT_BS" hidden="1">"c1643"</definedName>
    <definedName name="IQ_RESTATEMENT_CF" hidden="1">"c1644"</definedName>
    <definedName name="IQ_RESTATEMENT_IS" hidden="1">"c1642"</definedName>
    <definedName name="IQ_RESTRICTED_CASH" hidden="1">"c1103"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IT" hidden="1">"c1110"</definedName>
    <definedName name="IQ_RESTRUCTURE_UTI" hidden="1">"c1111"</definedName>
    <definedName name="IQ_RESTRUCTURED_LOANS" hidden="1">"c1112"</definedName>
    <definedName name="IQ_RETAINED_EARN" hidden="1">"c1092"</definedName>
    <definedName name="IQ_RETURN_ASSETS" hidden="1">"c1113"</definedName>
    <definedName name="IQ_RETURN_ASSETS_BANK" hidden="1">"c1114"</definedName>
    <definedName name="IQ_RETURN_ASSETS_BROK" hidden="1">"c1115"</definedName>
    <definedName name="IQ_RETURN_ASSETS_FS" hidden="1">"c1116"</definedName>
    <definedName name="IQ_RETURN_CAPITAL" hidden="1">"c1117"</definedName>
    <definedName name="IQ_RETURN_EQUITY" hidden="1">"c1118"</definedName>
    <definedName name="IQ_RETURN_EQUITY_BANK" hidden="1">"c1119"</definedName>
    <definedName name="IQ_RETURN_EQUITY_BROK" hidden="1">"c1120"</definedName>
    <definedName name="IQ_RETURN_EQUITY_FS" hidden="1">"c1121"</definedName>
    <definedName name="IQ_RETURN_INVESTMENT" hidden="1">"c1117"</definedName>
    <definedName name="IQ_REV" hidden="1">"c1122"</definedName>
    <definedName name="IQ_REV_BEFORE_LL" hidden="1">"c1123"</definedName>
    <definedName name="IQ_REV_UTI" hidden="1">"c1125"</definedName>
    <definedName name="IQ_REVENUE" hidden="1">"c1122"</definedName>
    <definedName name="IQ_SALARY" hidden="1">"c1130"</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ME_STORE" hidden="1">"c1149"</definedName>
    <definedName name="IQ_SAVING_DEP" hidden="1">"c1150"</definedName>
    <definedName name="IQ_SECUR_RECEIV" hidden="1">"c1151"</definedName>
    <definedName name="IQ_SECURITY_BORROW" hidden="1">"c1152"</definedName>
    <definedName name="IQ_SECURITY_OWN" hidden="1">"c1153"</definedName>
    <definedName name="IQ_SECURITY_RESELL" hidden="1">"c1154"</definedName>
    <definedName name="IQ_SEPARATE_ACCT_ASSETS" hidden="1">"c1155"</definedName>
    <definedName name="IQ_SEPARATE_ACCT_LIAB" hidden="1">"c1156"</definedName>
    <definedName name="IQ_SERV_CHARGE_DEPOSITS" hidden="1">"c1157"</definedName>
    <definedName name="IQ_SGA" hidden="1">"c1158"</definedName>
    <definedName name="IQ_SGA_BNK" hidden="1">"c1159"</definedName>
    <definedName name="IQ_SGA_INS" hidden="1">"c1160"</definedName>
    <definedName name="IQ_SGA_REIT" hidden="1">"c1161"</definedName>
    <definedName name="IQ_SGA_SUPPL" hidden="1">"c1162"</definedName>
    <definedName name="IQ_SGA_UTI" hidden="1">"c1163"</definedName>
    <definedName name="IQ_SHAREOUTSTANDING" hidden="1">"c83"</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"c1197"</definedName>
    <definedName name="IQ_SMALL_INT_BEAR_CD" hidden="1">"c1166"</definedName>
    <definedName name="IQ_SOFTWARE" hidden="1">"c1167"</definedName>
    <definedName name="IQ_SOURCE" hidden="1">"c1168"</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IT" hidden="1">"c1174"</definedName>
    <definedName name="IQ_SPECIAL_DIV_CF_UTI" hidden="1">"c1175"</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IT" hidden="1">"c1186"</definedName>
    <definedName name="IQ_ST_DEBT_ISSUED_UTI" hidden="1">"c1187"</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IT" hidden="1">"c1194"</definedName>
    <definedName name="IQ_ST_DEBT_REPAID_UTI" hidden="1">"c1195"</definedName>
    <definedName name="IQ_ST_DEBT_UTI" hidden="1">"c1196"</definedName>
    <definedName name="IQ_ST_INVEST" hidden="1">"c1197"</definedName>
    <definedName name="IQ_ST_INVEST_UTI" hidden="1">"c1198"</definedName>
    <definedName name="IQ_ST_NOTE_RECEIV" hidden="1">"c1199"</definedName>
    <definedName name="IQ_STATE" hidden="1">"c1200"</definedName>
    <definedName name="IQ_STATUTORY_SURPLUS" hidden="1">"c1201"</definedName>
    <definedName name="IQ_STOCK_BASED" hidden="1">"c1202"</definedName>
    <definedName name="IQ_STOCK_BASED_CF" hidden="1">"c1203"</definedName>
    <definedName name="IQ_STRIKE_PRICE_ISSUED" hidden="1">"c1645"</definedName>
    <definedName name="IQ_STRIKE_PRICE_OS" hidden="1">"c1646"</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VA" hidden="1">"c1214"</definedName>
    <definedName name="IQ_TAX_BENEFIT_OPTIONS" hidden="1">"c1215"</definedName>
    <definedName name="IQ_TAX_EQUIV_NET_INT_INC" hidden="1">"c1216"</definedName>
    <definedName name="IQ_TBV_SHARE" hidden="1">"c1217"</definedName>
    <definedName name="IQ_TEMPLATE" hidden="1">"c1521"</definedName>
    <definedName name="IQ_TENANT" hidden="1">"c1218"</definedName>
    <definedName name="IQ_TEV" hidden="1">"c1219"</definedName>
    <definedName name="IQ_TEV_EBIT" hidden="1">"c1220"</definedName>
    <definedName name="IQ_TEV_EBIT_AVG" hidden="1">"c1221"</definedName>
    <definedName name="IQ_TEV_EBITDA" hidden="1">"c1222"</definedName>
    <definedName name="IQ_TEV_EBITDA_AVG" hidden="1">"c1223"</definedName>
    <definedName name="IQ_TEV_EBITDA_FWD" hidden="1">"c1224"</definedName>
    <definedName name="IQ_TEV_EMPLOYEE_AVG" hidden="1">"c1225"</definedName>
    <definedName name="IQ_TEV_TOTAL_REV" hidden="1">"c1226"</definedName>
    <definedName name="IQ_TEV_TOTAL_REV_AVG" hidden="1">"c1227"</definedName>
    <definedName name="IQ_TEV_TOTAL_REV_FWD" hidden="1">"c1228"</definedName>
    <definedName name="IQ_TIER_ONE_RATIO" hidden="1">"c1229"</definedName>
    <definedName name="IQ_TIME_DEP" hidden="1">"c1230"</definedName>
    <definedName name="IQ_TODAY" hidden="1">0</definedName>
    <definedName name="IQ_TOT_ADJ_INC" hidden="1">"c1616"</definedName>
    <definedName name="IQ_TOTAL_AR_BR" hidden="1">"c1231"</definedName>
    <definedName name="IQ_TOTAL_AR_REIT" hidden="1">"c1232"</definedName>
    <definedName name="IQ_TOTAL_AR_UTI" hidden="1">"c1233"</definedName>
    <definedName name="IQ_TOTAL_ASSETS" hidden="1">"c1234"</definedName>
    <definedName name="IQ_TOTAL_ASSETS_10YR_ANN_GROWTH" hidden="1">"c1235"</definedName>
    <definedName name="IQ_TOTAL_ASSETS_1YR_ANN_GROWTH" hidden="1">"c1236"</definedName>
    <definedName name="IQ_TOTAL_ASSETS_2YR_ANN_GROWTH" hidden="1">"c1237"</definedName>
    <definedName name="IQ_TOTAL_ASSETS_3YR_ANN_GROWTH" hidden="1">"c1238"</definedName>
    <definedName name="IQ_TOTAL_ASSETS_5YR_ANN_GROWTH" hidden="1">"c1239"</definedName>
    <definedName name="IQ_TOTAL_ASSETS_7YR_ANN_GROWTH" hidden="1">"c1240"</definedName>
    <definedName name="IQ_TOTAL_AVG_CE_TOTAL_AVG_ASSETS" hidden="1">"c1241"</definedName>
    <definedName name="IQ_TOTAL_AVG_EQUITY_TOTAL_AVG_ASSETS" hidden="1">"c1242"</definedName>
    <definedName name="IQ_TOTAL_CA" hidden="1">"c1243"</definedName>
    <definedName name="IQ_TOTAL_CAP" hidden="1">"c1507"</definedName>
    <definedName name="IQ_TOTAL_CAPITAL_RATIO" hidden="1">"c1244"</definedName>
    <definedName name="IQ_TOTAL_CASH_DIVID" hidden="1">"c1266"</definedName>
    <definedName name="IQ_TOTAL_CASH_FINAN" hidden="1">"c119"</definedName>
    <definedName name="IQ_TOTAL_CASH_INVEST" hidden="1">"c121"</definedName>
    <definedName name="IQ_TOTAL_CASH_OPER" hidden="1">"c122"</definedName>
    <definedName name="IQ_TOTAL_CL" hidden="1">"c1245"</definedName>
    <definedName name="IQ_TOTAL_COMMON" hidden="1">"c1022"</definedName>
    <definedName name="IQ_TOTAL_COMMON_EQUITY" hidden="1">"c1246"</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EBITDA" hidden="1">"c1249"</definedName>
    <definedName name="IQ_TOTAL_DEBT_EQUITY" hidden="1">"c1250"</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IT" hidden="1">"c1255"</definedName>
    <definedName name="IQ_TOTAL_DEBT_ISSUED_UTI" hidden="1">"c1256"</definedName>
    <definedName name="IQ_TOTAL_DEBT_ISSUES_INS" hidden="1">"c1257"</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IT" hidden="1">"c1263"</definedName>
    <definedName name="IQ_TOTAL_DEBT_REPAID_UTI" hidden="1">"c1264"</definedName>
    <definedName name="IQ_TOTAL_DEPOSITS" hidden="1">"c1265"</definedName>
    <definedName name="IQ_TOTAL_DIV_PAID_CF" hidden="1">"c1266"</definedName>
    <definedName name="IQ_TOTAL_EMPLOYEE" hidden="1">"c1522"</definedName>
    <definedName name="IQ_TOTAL_EQUITY" hidden="1">"c1267"</definedName>
    <definedName name="IQ_TOTAL_EQUITY_10YR_ANN_GROWTH" hidden="1">"c1268"</definedName>
    <definedName name="IQ_TOTAL_EQUITY_1YR_ANN_GROWTH" hidden="1">"c1269"</definedName>
    <definedName name="IQ_TOTAL_EQUITY_2YR_ANN_GROWTH" hidden="1">"c1270"</definedName>
    <definedName name="IQ_TOTAL_EQUITY_3YR_ANN_GROWTH" hidden="1">"c1271"</definedName>
    <definedName name="IQ_TOTAL_EQUITY_5YR_ANN_GROWTH" hidden="1">"c1272"</definedName>
    <definedName name="IQ_TOTAL_EQUITY_7YR_ANN_GROWTH" hidden="1">"c1273"</definedName>
    <definedName name="IQ_TOTAL_EQUITY_ALLOWANCE_TOTAL_LOANS" hidden="1">"c1274"</definedName>
    <definedName name="IQ_TOTAL_INTEREST_EXP" hidden="1">"c591"</definedName>
    <definedName name="IQ_TOTAL_INVENTORY" hidden="1">"c622"</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FIN" hidden="1">"c1280"</definedName>
    <definedName name="IQ_TOTAL_LIAB_INS" hidden="1">"c1281"</definedName>
    <definedName name="IQ_TOTAL_LIAB_REIT" hidden="1">"c1282"</definedName>
    <definedName name="IQ_TOTAL_LIAB_SHAREHOLD" hidden="1">"c1279"</definedName>
    <definedName name="IQ_TOTAL_LIAB_TOTAL_ASSETS" hidden="1">"c1283"</definedName>
    <definedName name="IQ_TOTAL_LONG_DEBT" hidden="1">"c1617"</definedName>
    <definedName name="IQ_TOTAL_OPER_EXP_BR" hidden="1">"c1284"</definedName>
    <definedName name="IQ_TOTAL_OPER_EXP_FIN" hidden="1">"c1285"</definedName>
    <definedName name="IQ_TOTAL_OPER_EXP_INS" hidden="1">"c1286"</definedName>
    <definedName name="IQ_TOTAL_OPER_EXP_REIT" hidden="1">"c1287"</definedName>
    <definedName name="IQ_TOTAL_OPER_EXP_UTI" hidden="1">"c1288"</definedName>
    <definedName name="IQ_TOTAL_OPER_EXPEN" hidden="1">"c1445"</definedName>
    <definedName name="IQ_TOTAL_OTHER_OPER" hidden="1">"c1289"</definedName>
    <definedName name="IQ_TOTAL_PENSION_ASSETS" hidden="1">"c1290"</definedName>
    <definedName name="IQ_TOTAL_PENSION_EXP" hidden="1">"c1291"</definedName>
    <definedName name="IQ_TOTAL_PENSION_OBLIGATION" hidden="1">"c1292"</definedName>
    <definedName name="IQ_TOTAL_RECEIV" hidden="1">"c1293"</definedName>
    <definedName name="IQ_TOTAL_REV" hidden="1">"c1294"</definedName>
    <definedName name="IQ_TOTAL_REV_10YR_ANN_GROWTH" hidden="1">"c1295"</definedName>
    <definedName name="IQ_TOTAL_REV_1YR_ANN_GROWTH" hidden="1">"c1296"</definedName>
    <definedName name="IQ_TOTAL_REV_2YR_ANN_GROWTH" hidden="1">"c1297"</definedName>
    <definedName name="IQ_TOTAL_REV_3YR_ANN_GROWTH" hidden="1">"c1298"</definedName>
    <definedName name="IQ_TOTAL_REV_5YR_ANN_GROWTH" hidden="1">"c1299"</definedName>
    <definedName name="IQ_TOTAL_REV_7YR_ANN_GROWTH" hidden="1">"c1300"</definedName>
    <definedName name="IQ_TOTAL_REV_AS_REPORTED" hidden="1">"c1301"</definedName>
    <definedName name="IQ_TOTAL_REV_BNK" hidden="1">"c1302"</definedName>
    <definedName name="IQ_TOTAL_REV_BR" hidden="1">"c1303"</definedName>
    <definedName name="IQ_TOTAL_REV_EMPLOYEE" hidden="1">"c1304"</definedName>
    <definedName name="IQ_TOTAL_REV_FIN" hidden="1">"c1305"</definedName>
    <definedName name="IQ_TOTAL_REV_INS" hidden="1">"c1306"</definedName>
    <definedName name="IQ_TOTAL_REV_REIT" hidden="1">"c1307"</definedName>
    <definedName name="IQ_TOTAL_REV_UTI" hidden="1">"c1308"</definedName>
    <definedName name="IQ_TOTAL_REVENUE" hidden="1">"c1294"</definedName>
    <definedName name="IQ_TOTAL_SPECIAL" hidden="1">"c1618"</definedName>
    <definedName name="IQ_TOTAL_ST_BORROW" hidden="1">"c1177"</definedName>
    <definedName name="IQ_TOTAL_UNUSUAL" hidden="1">"c1508"</definedName>
    <definedName name="IQ_TRADE_AR" hidden="1">"c40"</definedName>
    <definedName name="IQ_TRADE_PRINCIPAL" hidden="1">"c1309"</definedName>
    <definedName name="IQ_TRADING_ASSETS" hidden="1">"c1310"</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IT" hidden="1">"c1317"</definedName>
    <definedName name="IQ_TREASURY_OTHER_EQUITY_UTI" hidden="1">"c1318"</definedName>
    <definedName name="IQ_TREASURY_STOCK" hidden="1">"c1311"</definedName>
    <definedName name="IQ_TRUST_INC" hidden="1">"c1319"</definedName>
    <definedName name="IQ_TRUST_PREF" hidden="1">"c1320"</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IT" hidden="1">"c1327"</definedName>
    <definedName name="IQ_UNEARN_REV_CURRENT_UTI" hidden="1">"c1328"</definedName>
    <definedName name="IQ_UNEARN_REV_LT" hidden="1">"c1329"</definedName>
    <definedName name="IQ_UNPAID_CLAIMS" hidden="1">"c1330"</definedName>
    <definedName name="IQ_UNREALIZED_GAIN" hidden="1">"c1619"</definedName>
    <definedName name="IQ_US_GAAP" hidden="1">"c1331"</definedName>
    <definedName name="IQ_UTIL_PPE_NET" hidden="1">"c1620"</definedName>
    <definedName name="IQ_UV_PENSION_LIAB" hidden="1">"c1332"</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UME" hidden="1">"c1333"</definedName>
    <definedName name="IQ_WEIGHTED_AVG_PRICE" hidden="1">"c1334"</definedName>
    <definedName name="IQ_WIP_INV" hidden="1">"c1335"</definedName>
    <definedName name="IQ_WORKMEN_WRITTEN" hidden="1">"c1336"</definedName>
    <definedName name="IQ_YEARHIGH" hidden="1">"c1337"</definedName>
    <definedName name="IQ_YEARLOW" hidden="1">"c1338"</definedName>
    <definedName name="IQ_YTD" hidden="1">3000</definedName>
    <definedName name="IQ_Z_SCORE" hidden="1">"c1339"</definedName>
    <definedName name="IsColHidden" hidden="1">FALSE</definedName>
    <definedName name="IsLTMColHidden" hidden="1">FALSE</definedName>
    <definedName name="ITEM" localSheetId="7">#REF!</definedName>
    <definedName name="jjj" localSheetId="12" hidden="1">{"IS",#N/A,FALSE,"IS";"RPTIS",#N/A,FALSE,"RPTIS";"STATS",#N/A,FALSE,"STATS";"CELL",#N/A,FALSE,"CELL";"BS",#N/A,FALSE,"BS"}</definedName>
    <definedName name="jjj" localSheetId="18" hidden="1">{"IS",#N/A,FALSE,"IS";"RPTIS",#N/A,FALSE,"RPTIS";"STATS",#N/A,FALSE,"STATS";"CELL",#N/A,FALSE,"CELL";"BS",#N/A,FALSE,"BS"}</definedName>
    <definedName name="jjj" localSheetId="19" hidden="1">{"IS",#N/A,FALSE,"IS";"RPTIS",#N/A,FALSE,"RPTIS";"STATS",#N/A,FALSE,"STATS";"CELL",#N/A,FALSE,"CELL";"BS",#N/A,FALSE,"BS"}</definedName>
    <definedName name="jjj" localSheetId="17" hidden="1">{"IS",#N/A,FALSE,"IS";"RPTIS",#N/A,FALSE,"RPTIS";"STATS",#N/A,FALSE,"STATS";"CELL",#N/A,FALSE,"CELL";"BS",#N/A,FALSE,"BS"}</definedName>
    <definedName name="jjj" localSheetId="22" hidden="1">{"IS",#N/A,FALSE,"IS";"RPTIS",#N/A,FALSE,"RPTIS";"STATS",#N/A,FALSE,"STATS";"CELL",#N/A,FALSE,"CELL";"BS",#N/A,FALSE,"BS"}</definedName>
    <definedName name="jjj" localSheetId="10" hidden="1">{"IS",#N/A,FALSE,"IS";"RPTIS",#N/A,FALSE,"RPTIS";"STATS",#N/A,FALSE,"STATS";"CELL",#N/A,FALSE,"CELL";"BS",#N/A,FALSE,"BS"}</definedName>
    <definedName name="jjj" localSheetId="30" hidden="1">{"IS",#N/A,FALSE,"IS";"RPTIS",#N/A,FALSE,"RPTIS";"STATS",#N/A,FALSE,"STATS";"CELL",#N/A,FALSE,"CELL";"BS",#N/A,FALSE,"BS"}</definedName>
    <definedName name="jjj" localSheetId="0" hidden="1">{"IS",#N/A,FALSE,"IS";"RPTIS",#N/A,FALSE,"RPTIS";"STATS",#N/A,FALSE,"STATS";"CELL",#N/A,FALSE,"CELL";"BS",#N/A,FALSE,"BS"}</definedName>
    <definedName name="jjj" localSheetId="3" hidden="1">{"IS",#N/A,FALSE,"IS";"RPTIS",#N/A,FALSE,"RPTIS";"STATS",#N/A,FALSE,"STATS";"CELL",#N/A,FALSE,"CELL";"BS",#N/A,FALSE,"BS"}</definedName>
    <definedName name="jjj" localSheetId="4" hidden="1">{"IS",#N/A,FALSE,"IS";"RPTIS",#N/A,FALSE,"RPTIS";"STATS",#N/A,FALSE,"STATS";"CELL",#N/A,FALSE,"CELL";"BS",#N/A,FALSE,"BS"}</definedName>
    <definedName name="jjj" localSheetId="28" hidden="1">{"IS",#N/A,FALSE,"IS";"RPTIS",#N/A,FALSE,"RPTIS";"STATS",#N/A,FALSE,"STATS";"CELL",#N/A,FALSE,"CELL";"BS",#N/A,FALSE,"BS"}</definedName>
    <definedName name="jjj" localSheetId="33" hidden="1">{"IS",#N/A,FALSE,"IS";"RPTIS",#N/A,FALSE,"RPTIS";"STATS",#N/A,FALSE,"STATS";"CELL",#N/A,FALSE,"CELL";"BS",#N/A,FALSE,"BS"}</definedName>
    <definedName name="jjj" localSheetId="32" hidden="1">{"IS",#N/A,FALSE,"IS";"RPTIS",#N/A,FALSE,"RPTIS";"STATS",#N/A,FALSE,"STATS";"CELL",#N/A,FALSE,"CELL";"BS",#N/A,FALSE,"BS"}</definedName>
    <definedName name="jjj" localSheetId="7" hidden="1">{"IS",#N/A,FALSE,"IS";"RPTIS",#N/A,FALSE,"RPTIS";"STATS",#N/A,FALSE,"STATS";"CELL",#N/A,FALSE,"CELL";"BS",#N/A,FALSE,"BS"}</definedName>
    <definedName name="jjj" localSheetId="29" hidden="1">{"IS",#N/A,FALSE,"IS";"RPTIS",#N/A,FALSE,"RPTIS";"STATS",#N/A,FALSE,"STATS";"CELL",#N/A,FALSE,"CELL";"BS",#N/A,FALSE,"BS"}</definedName>
    <definedName name="jjj" localSheetId="1" hidden="1">{"IS",#N/A,FALSE,"IS";"RPTIS",#N/A,FALSE,"RPTIS";"STATS",#N/A,FALSE,"STATS";"CELL",#N/A,FALSE,"CELL";"BS",#N/A,FALSE,"BS"}</definedName>
    <definedName name="jjj" localSheetId="31" hidden="1">{"IS",#N/A,FALSE,"IS";"RPTIS",#N/A,FALSE,"RPTIS";"STATS",#N/A,FALSE,"STATS";"CELL",#N/A,FALSE,"CELL";"BS",#N/A,FALSE,"BS"}</definedName>
    <definedName name="jjj" hidden="1">{"IS",#N/A,FALSE,"IS";"RPTIS",#N/A,FALSE,"RPTIS";"STATS",#N/A,FALSE,"STATS";"CELL",#N/A,FALSE,"CELL";"BS",#N/A,FALSE,"BS"}</definedName>
    <definedName name="jjjj" localSheetId="12"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jjjj" localSheetId="18"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jjjj" localSheetId="19"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jjjj" localSheetId="17"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jjjj" localSheetId="22"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jjjj" localSheetId="10"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jjjj" localSheetId="30"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jjjj" localSheetId="0"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jjjj" localSheetId="3"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jjjj"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jjjj" localSheetId="28"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jjjj" localSheetId="33"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jjjj" localSheetId="32"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jjjj" localSheetId="7"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jjjj" localSheetId="29"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jjjj" localSheetId="1"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jjjj" localSheetId="31"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jjjj"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jp" localSheetId="12" hidden="1">{"uno",#N/A,FALSE,"Dist total";"COMENTARIO",#N/A,FALSE,"Ficha CODICE"}</definedName>
    <definedName name="jp" localSheetId="18" hidden="1">{"uno",#N/A,FALSE,"Dist total";"COMENTARIO",#N/A,FALSE,"Ficha CODICE"}</definedName>
    <definedName name="jp" localSheetId="19" hidden="1">{"uno",#N/A,FALSE,"Dist total";"COMENTARIO",#N/A,FALSE,"Ficha CODICE"}</definedName>
    <definedName name="jp" localSheetId="17" hidden="1">{"uno",#N/A,FALSE,"Dist total";"COMENTARIO",#N/A,FALSE,"Ficha CODICE"}</definedName>
    <definedName name="jp" localSheetId="22" hidden="1">{"uno",#N/A,FALSE,"Dist total";"COMENTARIO",#N/A,FALSE,"Ficha CODICE"}</definedName>
    <definedName name="jp" localSheetId="10" hidden="1">{"uno",#N/A,FALSE,"Dist total";"COMENTARIO",#N/A,FALSE,"Ficha CODICE"}</definedName>
    <definedName name="jp" localSheetId="30" hidden="1">{"uno",#N/A,FALSE,"Dist total";"COMENTARIO",#N/A,FALSE,"Ficha CODICE"}</definedName>
    <definedName name="jp" localSheetId="0" hidden="1">{"uno",#N/A,FALSE,"Dist total";"COMENTARIO",#N/A,FALSE,"Ficha CODICE"}</definedName>
    <definedName name="jp" localSheetId="3" hidden="1">{"uno",#N/A,FALSE,"Dist total";"COMENTARIO",#N/A,FALSE,"Ficha CODICE"}</definedName>
    <definedName name="jp" localSheetId="4" hidden="1">{"uno",#N/A,FALSE,"Dist total";"COMENTARIO",#N/A,FALSE,"Ficha CODICE"}</definedName>
    <definedName name="jp" localSheetId="28" hidden="1">{"uno",#N/A,FALSE,"Dist total";"COMENTARIO",#N/A,FALSE,"Ficha CODICE"}</definedName>
    <definedName name="jp" localSheetId="33" hidden="1">{"uno",#N/A,FALSE,"Dist total";"COMENTARIO",#N/A,FALSE,"Ficha CODICE"}</definedName>
    <definedName name="jp" localSheetId="32" hidden="1">{"uno",#N/A,FALSE,"Dist total";"COMENTARIO",#N/A,FALSE,"Ficha CODICE"}</definedName>
    <definedName name="jp" localSheetId="7" hidden="1">{"uno",#N/A,FALSE,"Dist total";"COMENTARIO",#N/A,FALSE,"Ficha CODICE"}</definedName>
    <definedName name="jp" localSheetId="29" hidden="1">{"uno",#N/A,FALSE,"Dist total";"COMENTARIO",#N/A,FALSE,"Ficha CODICE"}</definedName>
    <definedName name="jp" localSheetId="1" hidden="1">{"uno",#N/A,FALSE,"Dist total";"COMENTARIO",#N/A,FALSE,"Ficha CODICE"}</definedName>
    <definedName name="jp" localSheetId="31" hidden="1">{"uno",#N/A,FALSE,"Dist total";"COMENTARIO",#N/A,FALSE,"Ficha CODICE"}</definedName>
    <definedName name="jp" hidden="1">{"uno",#N/A,FALSE,"Dist total";"COMENTARIO",#N/A,FALSE,"Ficha CODICE"}</definedName>
    <definedName name="kkkk" localSheetId="12" hidden="1">{"coverall",#N/A,FALSE,"Definitions";"cover1",#N/A,FALSE,"Definitions";"cover2",#N/A,FALSE,"Definitions";"cover3",#N/A,FALSE,"Definitions";"cover4",#N/A,FALSE,"Definitions";"cover5",#N/A,FALSE,"Definitions";"blank",#N/A,FALSE,"Definitions"}</definedName>
    <definedName name="kkkk" localSheetId="18" hidden="1">{"coverall",#N/A,FALSE,"Definitions";"cover1",#N/A,FALSE,"Definitions";"cover2",#N/A,FALSE,"Definitions";"cover3",#N/A,FALSE,"Definitions";"cover4",#N/A,FALSE,"Definitions";"cover5",#N/A,FALSE,"Definitions";"blank",#N/A,FALSE,"Definitions"}</definedName>
    <definedName name="kkkk" localSheetId="19" hidden="1">{"coverall",#N/A,FALSE,"Definitions";"cover1",#N/A,FALSE,"Definitions";"cover2",#N/A,FALSE,"Definitions";"cover3",#N/A,FALSE,"Definitions";"cover4",#N/A,FALSE,"Definitions";"cover5",#N/A,FALSE,"Definitions";"blank",#N/A,FALSE,"Definitions"}</definedName>
    <definedName name="kkkk" localSheetId="17" hidden="1">{"coverall",#N/A,FALSE,"Definitions";"cover1",#N/A,FALSE,"Definitions";"cover2",#N/A,FALSE,"Definitions";"cover3",#N/A,FALSE,"Definitions";"cover4",#N/A,FALSE,"Definitions";"cover5",#N/A,FALSE,"Definitions";"blank",#N/A,FALSE,"Definitions"}</definedName>
    <definedName name="kkkk" localSheetId="22" hidden="1">{"coverall",#N/A,FALSE,"Definitions";"cover1",#N/A,FALSE,"Definitions";"cover2",#N/A,FALSE,"Definitions";"cover3",#N/A,FALSE,"Definitions";"cover4",#N/A,FALSE,"Definitions";"cover5",#N/A,FALSE,"Definitions";"blank",#N/A,FALSE,"Definitions"}</definedName>
    <definedName name="kkkk" localSheetId="10" hidden="1">{"coverall",#N/A,FALSE,"Definitions";"cover1",#N/A,FALSE,"Definitions";"cover2",#N/A,FALSE,"Definitions";"cover3",#N/A,FALSE,"Definitions";"cover4",#N/A,FALSE,"Definitions";"cover5",#N/A,FALSE,"Definitions";"blank",#N/A,FALSE,"Definitions"}</definedName>
    <definedName name="kkkk" localSheetId="30" hidden="1">{"coverall",#N/A,FALSE,"Definitions";"cover1",#N/A,FALSE,"Definitions";"cover2",#N/A,FALSE,"Definitions";"cover3",#N/A,FALSE,"Definitions";"cover4",#N/A,FALSE,"Definitions";"cover5",#N/A,FALSE,"Definitions";"blank",#N/A,FALSE,"Definitions"}</definedName>
    <definedName name="kkkk" localSheetId="0" hidden="1">{"coverall",#N/A,FALSE,"Definitions";"cover1",#N/A,FALSE,"Definitions";"cover2",#N/A,FALSE,"Definitions";"cover3",#N/A,FALSE,"Definitions";"cover4",#N/A,FALSE,"Definitions";"cover5",#N/A,FALSE,"Definitions";"blank",#N/A,FALSE,"Definitions"}</definedName>
    <definedName name="kkkk" localSheetId="3" hidden="1">{"coverall",#N/A,FALSE,"Definitions";"cover1",#N/A,FALSE,"Definitions";"cover2",#N/A,FALSE,"Definitions";"cover3",#N/A,FALSE,"Definitions";"cover4",#N/A,FALSE,"Definitions";"cover5",#N/A,FALSE,"Definitions";"blank",#N/A,FALSE,"Definitions"}</definedName>
    <definedName name="kkkk" localSheetId="4" hidden="1">{"coverall",#N/A,FALSE,"Definitions";"cover1",#N/A,FALSE,"Definitions";"cover2",#N/A,FALSE,"Definitions";"cover3",#N/A,FALSE,"Definitions";"cover4",#N/A,FALSE,"Definitions";"cover5",#N/A,FALSE,"Definitions";"blank",#N/A,FALSE,"Definitions"}</definedName>
    <definedName name="kkkk" localSheetId="28" hidden="1">{"coverall",#N/A,FALSE,"Definitions";"cover1",#N/A,FALSE,"Definitions";"cover2",#N/A,FALSE,"Definitions";"cover3",#N/A,FALSE,"Definitions";"cover4",#N/A,FALSE,"Definitions";"cover5",#N/A,FALSE,"Definitions";"blank",#N/A,FALSE,"Definitions"}</definedName>
    <definedName name="kkkk" localSheetId="33" hidden="1">{"coverall",#N/A,FALSE,"Definitions";"cover1",#N/A,FALSE,"Definitions";"cover2",#N/A,FALSE,"Definitions";"cover3",#N/A,FALSE,"Definitions";"cover4",#N/A,FALSE,"Definitions";"cover5",#N/A,FALSE,"Definitions";"blank",#N/A,FALSE,"Definitions"}</definedName>
    <definedName name="kkkk" localSheetId="32" hidden="1">{"coverall",#N/A,FALSE,"Definitions";"cover1",#N/A,FALSE,"Definitions";"cover2",#N/A,FALSE,"Definitions";"cover3",#N/A,FALSE,"Definitions";"cover4",#N/A,FALSE,"Definitions";"cover5",#N/A,FALSE,"Definitions";"blank",#N/A,FALSE,"Definitions"}</definedName>
    <definedName name="kkkk" localSheetId="7" hidden="1">{"coverall",#N/A,FALSE,"Definitions";"cover1",#N/A,FALSE,"Definitions";"cover2",#N/A,FALSE,"Definitions";"cover3",#N/A,FALSE,"Definitions";"cover4",#N/A,FALSE,"Definitions";"cover5",#N/A,FALSE,"Definitions";"blank",#N/A,FALSE,"Definitions"}</definedName>
    <definedName name="kkkk" localSheetId="29" hidden="1">{"coverall",#N/A,FALSE,"Definitions";"cover1",#N/A,FALSE,"Definitions";"cover2",#N/A,FALSE,"Definitions";"cover3",#N/A,FALSE,"Definitions";"cover4",#N/A,FALSE,"Definitions";"cover5",#N/A,FALSE,"Definitions";"blank",#N/A,FALSE,"Definitions"}</definedName>
    <definedName name="kkkk" localSheetId="1" hidden="1">{"coverall",#N/A,FALSE,"Definitions";"cover1",#N/A,FALSE,"Definitions";"cover2",#N/A,FALSE,"Definitions";"cover3",#N/A,FALSE,"Definitions";"cover4",#N/A,FALSE,"Definitions";"cover5",#N/A,FALSE,"Definitions";"blank",#N/A,FALSE,"Definitions"}</definedName>
    <definedName name="kkkk" localSheetId="31" hidden="1">{"coverall",#N/A,FALSE,"Definitions";"cover1",#N/A,FALSE,"Definitions";"cover2",#N/A,FALSE,"Definitions";"cover3",#N/A,FALSE,"Definitions";"cover4",#N/A,FALSE,"Definitions";"cover5",#N/A,FALSE,"Definitions";"blank",#N/A,FALSE,"Definitions"}</definedName>
    <definedName name="kkkk" hidden="1">{"coverall",#N/A,FALSE,"Definitions";"cover1",#N/A,FALSE,"Definitions";"cover2",#N/A,FALSE,"Definitions";"cover3",#N/A,FALSE,"Definitions";"cover4",#N/A,FALSE,"Definitions";"cover5",#N/A,FALSE,"Definitions";"blank",#N/A,FALSE,"Definitions"}</definedName>
    <definedName name="ListOffset" hidden="1">1</definedName>
    <definedName name="liyugt" localSheetId="12" hidden="1">{"Side 1",#N/A,FALSE,"Hovedark";"Valuation",#N/A,FALSE,"Valuation";"Side 2",#N/A,FALSE,"Hovedark";"Cash Flow",#N/A,FALSE,"Hovedark";"Bidrag",#N/A,FALSE,"Bidrag"}</definedName>
    <definedName name="liyugt" localSheetId="18" hidden="1">{"Side 1",#N/A,FALSE,"Hovedark";"Valuation",#N/A,FALSE,"Valuation";"Side 2",#N/A,FALSE,"Hovedark";"Cash Flow",#N/A,FALSE,"Hovedark";"Bidrag",#N/A,FALSE,"Bidrag"}</definedName>
    <definedName name="liyugt" localSheetId="19" hidden="1">{"Side 1",#N/A,FALSE,"Hovedark";"Valuation",#N/A,FALSE,"Valuation";"Side 2",#N/A,FALSE,"Hovedark";"Cash Flow",#N/A,FALSE,"Hovedark";"Bidrag",#N/A,FALSE,"Bidrag"}</definedName>
    <definedName name="liyugt" localSheetId="17" hidden="1">{"Side 1",#N/A,FALSE,"Hovedark";"Valuation",#N/A,FALSE,"Valuation";"Side 2",#N/A,FALSE,"Hovedark";"Cash Flow",#N/A,FALSE,"Hovedark";"Bidrag",#N/A,FALSE,"Bidrag"}</definedName>
    <definedName name="liyugt" localSheetId="22" hidden="1">{"Side 1",#N/A,FALSE,"Hovedark";"Valuation",#N/A,FALSE,"Valuation";"Side 2",#N/A,FALSE,"Hovedark";"Cash Flow",#N/A,FALSE,"Hovedark";"Bidrag",#N/A,FALSE,"Bidrag"}</definedName>
    <definedName name="liyugt" localSheetId="10" hidden="1">{"Side 1",#N/A,FALSE,"Hovedark";"Valuation",#N/A,FALSE,"Valuation";"Side 2",#N/A,FALSE,"Hovedark";"Cash Flow",#N/A,FALSE,"Hovedark";"Bidrag",#N/A,FALSE,"Bidrag"}</definedName>
    <definedName name="liyugt" localSheetId="30" hidden="1">{"Side 1",#N/A,FALSE,"Hovedark";"Valuation",#N/A,FALSE,"Valuation";"Side 2",#N/A,FALSE,"Hovedark";"Cash Flow",#N/A,FALSE,"Hovedark";"Bidrag",#N/A,FALSE,"Bidrag"}</definedName>
    <definedName name="liyugt" localSheetId="0" hidden="1">{"Side 1",#N/A,FALSE,"Hovedark";"Valuation",#N/A,FALSE,"Valuation";"Side 2",#N/A,FALSE,"Hovedark";"Cash Flow",#N/A,FALSE,"Hovedark";"Bidrag",#N/A,FALSE,"Bidrag"}</definedName>
    <definedName name="liyugt" localSheetId="3" hidden="1">{"Side 1",#N/A,FALSE,"Hovedark";"Valuation",#N/A,FALSE,"Valuation";"Side 2",#N/A,FALSE,"Hovedark";"Cash Flow",#N/A,FALSE,"Hovedark";"Bidrag",#N/A,FALSE,"Bidrag"}</definedName>
    <definedName name="liyugt" localSheetId="4" hidden="1">{"Side 1",#N/A,FALSE,"Hovedark";"Valuation",#N/A,FALSE,"Valuation";"Side 2",#N/A,FALSE,"Hovedark";"Cash Flow",#N/A,FALSE,"Hovedark";"Bidrag",#N/A,FALSE,"Bidrag"}</definedName>
    <definedName name="liyugt" localSheetId="28" hidden="1">{"Side 1",#N/A,FALSE,"Hovedark";"Valuation",#N/A,FALSE,"Valuation";"Side 2",#N/A,FALSE,"Hovedark";"Cash Flow",#N/A,FALSE,"Hovedark";"Bidrag",#N/A,FALSE,"Bidrag"}</definedName>
    <definedName name="liyugt" localSheetId="33" hidden="1">{"Side 1",#N/A,FALSE,"Hovedark";"Valuation",#N/A,FALSE,"Valuation";"Side 2",#N/A,FALSE,"Hovedark";"Cash Flow",#N/A,FALSE,"Hovedark";"Bidrag",#N/A,FALSE,"Bidrag"}</definedName>
    <definedName name="liyugt" localSheetId="32" hidden="1">{"Side 1",#N/A,FALSE,"Hovedark";"Valuation",#N/A,FALSE,"Valuation";"Side 2",#N/A,FALSE,"Hovedark";"Cash Flow",#N/A,FALSE,"Hovedark";"Bidrag",#N/A,FALSE,"Bidrag"}</definedName>
    <definedName name="liyugt" localSheetId="7" hidden="1">{"Side 1",#N/A,FALSE,"Hovedark";"Valuation",#N/A,FALSE,"Valuation";"Side 2",#N/A,FALSE,"Hovedark";"Cash Flow",#N/A,FALSE,"Hovedark";"Bidrag",#N/A,FALSE,"Bidrag"}</definedName>
    <definedName name="liyugt" localSheetId="29" hidden="1">{"Side 1",#N/A,FALSE,"Hovedark";"Valuation",#N/A,FALSE,"Valuation";"Side 2",#N/A,FALSE,"Hovedark";"Cash Flow",#N/A,FALSE,"Hovedark";"Bidrag",#N/A,FALSE,"Bidrag"}</definedName>
    <definedName name="liyugt" localSheetId="1" hidden="1">{"Side 1",#N/A,FALSE,"Hovedark";"Valuation",#N/A,FALSE,"Valuation";"Side 2",#N/A,FALSE,"Hovedark";"Cash Flow",#N/A,FALSE,"Hovedark";"Bidrag",#N/A,FALSE,"Bidrag"}</definedName>
    <definedName name="liyugt" localSheetId="31" hidden="1">{"Side 1",#N/A,FALSE,"Hovedark";"Valuation",#N/A,FALSE,"Valuation";"Side 2",#N/A,FALSE,"Hovedark";"Cash Flow",#N/A,FALSE,"Hovedark";"Bidrag",#N/A,FALSE,"Bidrag"}</definedName>
    <definedName name="liyugt" hidden="1">{"Side 1",#N/A,FALSE,"Hovedark";"Valuation",#N/A,FALSE,"Valuation";"Side 2",#N/A,FALSE,"Hovedark";"Cash Flow",#N/A,FALSE,"Hovedark";"Bidrag",#N/A,FALSE,"Bidrag"}</definedName>
    <definedName name="lllf" localSheetId="12" hidden="1">{#N/A,#N/A,FALSE,"ORIX CSC"}</definedName>
    <definedName name="lllf" localSheetId="18" hidden="1">{#N/A,#N/A,FALSE,"ORIX CSC"}</definedName>
    <definedName name="lllf" localSheetId="19" hidden="1">{#N/A,#N/A,FALSE,"ORIX CSC"}</definedName>
    <definedName name="lllf" localSheetId="17" hidden="1">{#N/A,#N/A,FALSE,"ORIX CSC"}</definedName>
    <definedName name="lllf" localSheetId="22" hidden="1">{#N/A,#N/A,FALSE,"ORIX CSC"}</definedName>
    <definedName name="lllf" localSheetId="10" hidden="1">{#N/A,#N/A,FALSE,"ORIX CSC"}</definedName>
    <definedName name="lllf" localSheetId="30" hidden="1">{#N/A,#N/A,FALSE,"ORIX CSC"}</definedName>
    <definedName name="lllf" localSheetId="0" hidden="1">{#N/A,#N/A,FALSE,"ORIX CSC"}</definedName>
    <definedName name="lllf" localSheetId="3" hidden="1">{#N/A,#N/A,FALSE,"ORIX CSC"}</definedName>
    <definedName name="lllf" localSheetId="4" hidden="1">{#N/A,#N/A,FALSE,"ORIX CSC"}</definedName>
    <definedName name="lllf" localSheetId="28" hidden="1">{#N/A,#N/A,FALSE,"ORIX CSC"}</definedName>
    <definedName name="lllf" localSheetId="33" hidden="1">{#N/A,#N/A,FALSE,"ORIX CSC"}</definedName>
    <definedName name="lllf" localSheetId="32" hidden="1">{#N/A,#N/A,FALSE,"ORIX CSC"}</definedName>
    <definedName name="lllf" localSheetId="7" hidden="1">{#N/A,#N/A,FALSE,"ORIX CSC"}</definedName>
    <definedName name="lllf" localSheetId="29" hidden="1">{#N/A,#N/A,FALSE,"ORIX CSC"}</definedName>
    <definedName name="lllf" localSheetId="1" hidden="1">{#N/A,#N/A,FALSE,"ORIX CSC"}</definedName>
    <definedName name="lllf" localSheetId="31" hidden="1">{#N/A,#N/A,FALSE,"ORIX CSC"}</definedName>
    <definedName name="lllf" hidden="1">{#N/A,#N/A,FALSE,"ORIX CSC"}</definedName>
    <definedName name="lllllq" localSheetId="12"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lllllq" localSheetId="18"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lllllq" localSheetId="19"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lllllq" localSheetId="17"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lllllq" localSheetId="22"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lllllq" localSheetId="10"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lllllq" localSheetId="30"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lllllq" localSheetId="0"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lllllq" localSheetId="3"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lllllq" localSheetId="4"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lllllq" localSheetId="28"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lllllq" localSheetId="33"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lllllq" localSheetId="32"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lllllq" localSheetId="7"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lllllq" localSheetId="29"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lllllq" localSheetId="1"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lllllq" localSheetId="31"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lllllq"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MARGIN" localSheetId="0">#REF!</definedName>
    <definedName name="margin" localSheetId="7">#REF!</definedName>
    <definedName name="Motorola_Label_2" localSheetId="12" hidden="1">#REF!</definedName>
    <definedName name="Motorola_Label_2" localSheetId="18" hidden="1">EMBOP_SI!#REF!</definedName>
    <definedName name="Motorola_Label_2" localSheetId="19" hidden="1">#REF!</definedName>
    <definedName name="Motorola_Label_2" localSheetId="17" hidden="1">#REF!</definedName>
    <definedName name="Motorola_Label_2" localSheetId="10" hidden="1">#REF!</definedName>
    <definedName name="Motorola_Label_2" localSheetId="30" hidden="1">#REF!</definedName>
    <definedName name="Motorola_Label_2" localSheetId="0" hidden="1">#REF!</definedName>
    <definedName name="Motorola_Label_2" localSheetId="3" hidden="1">#REF!</definedName>
    <definedName name="Motorola_Label_2" localSheetId="4" hidden="1">#REF!</definedName>
    <definedName name="Motorola_Label_2" localSheetId="28" hidden="1">#REF!</definedName>
    <definedName name="Motorola_Label_2" localSheetId="33" hidden="1">'Reference documents'!#REF!</definedName>
    <definedName name="Motorola_Label_2" localSheetId="7" hidden="1">#REF!</definedName>
    <definedName name="Motorola_Label_2" localSheetId="29" hidden="1">#REF!</definedName>
    <definedName name="Motorola_Label_2" localSheetId="1" hidden="1">#REF!</definedName>
    <definedName name="Motorola_Label_2" localSheetId="31" hidden="1">#REF!</definedName>
    <definedName name="Motorola_Label_2" hidden="1">#REF!</definedName>
    <definedName name="N">#REF!</definedName>
    <definedName name="newbel" localSheetId="12" hidden="1">{"IS",#N/A,FALSE,"IS";"RPTIS",#N/A,FALSE,"RPTIS";"STATS",#N/A,FALSE,"STATS";"CELL",#N/A,FALSE,"CELL";"BS",#N/A,FALSE,"BS"}</definedName>
    <definedName name="newbel" localSheetId="18" hidden="1">{"IS",#N/A,FALSE,"IS";"RPTIS",#N/A,FALSE,"RPTIS";"STATS",#N/A,FALSE,"STATS";"CELL",#N/A,FALSE,"CELL";"BS",#N/A,FALSE,"BS"}</definedName>
    <definedName name="newbel" localSheetId="19" hidden="1">{"IS",#N/A,FALSE,"IS";"RPTIS",#N/A,FALSE,"RPTIS";"STATS",#N/A,FALSE,"STATS";"CELL",#N/A,FALSE,"CELL";"BS",#N/A,FALSE,"BS"}</definedName>
    <definedName name="newbel" localSheetId="17" hidden="1">{"IS",#N/A,FALSE,"IS";"RPTIS",#N/A,FALSE,"RPTIS";"STATS",#N/A,FALSE,"STATS";"CELL",#N/A,FALSE,"CELL";"BS",#N/A,FALSE,"BS"}</definedName>
    <definedName name="newbel" localSheetId="22" hidden="1">{"IS",#N/A,FALSE,"IS";"RPTIS",#N/A,FALSE,"RPTIS";"STATS",#N/A,FALSE,"STATS";"CELL",#N/A,FALSE,"CELL";"BS",#N/A,FALSE,"BS"}</definedName>
    <definedName name="newbel" localSheetId="10" hidden="1">{"IS",#N/A,FALSE,"IS";"RPTIS",#N/A,FALSE,"RPTIS";"STATS",#N/A,FALSE,"STATS";"CELL",#N/A,FALSE,"CELL";"BS",#N/A,FALSE,"BS"}</definedName>
    <definedName name="newbel" localSheetId="30" hidden="1">{"IS",#N/A,FALSE,"IS";"RPTIS",#N/A,FALSE,"RPTIS";"STATS",#N/A,FALSE,"STATS";"CELL",#N/A,FALSE,"CELL";"BS",#N/A,FALSE,"BS"}</definedName>
    <definedName name="newbel" localSheetId="0" hidden="1">{"IS",#N/A,FALSE,"IS";"RPTIS",#N/A,FALSE,"RPTIS";"STATS",#N/A,FALSE,"STATS";"CELL",#N/A,FALSE,"CELL";"BS",#N/A,FALSE,"BS"}</definedName>
    <definedName name="newbel" localSheetId="3" hidden="1">{"IS",#N/A,FALSE,"IS";"RPTIS",#N/A,FALSE,"RPTIS";"STATS",#N/A,FALSE,"STATS";"CELL",#N/A,FALSE,"CELL";"BS",#N/A,FALSE,"BS"}</definedName>
    <definedName name="newbel" localSheetId="4" hidden="1">{"IS",#N/A,FALSE,"IS";"RPTIS",#N/A,FALSE,"RPTIS";"STATS",#N/A,FALSE,"STATS";"CELL",#N/A,FALSE,"CELL";"BS",#N/A,FALSE,"BS"}</definedName>
    <definedName name="newbel" localSheetId="28" hidden="1">{"IS",#N/A,FALSE,"IS";"RPTIS",#N/A,FALSE,"RPTIS";"STATS",#N/A,FALSE,"STATS";"CELL",#N/A,FALSE,"CELL";"BS",#N/A,FALSE,"BS"}</definedName>
    <definedName name="newbel" localSheetId="33" hidden="1">{"IS",#N/A,FALSE,"IS";"RPTIS",#N/A,FALSE,"RPTIS";"STATS",#N/A,FALSE,"STATS";"CELL",#N/A,FALSE,"CELL";"BS",#N/A,FALSE,"BS"}</definedName>
    <definedName name="newbel" localSheetId="32" hidden="1">{"IS",#N/A,FALSE,"IS";"RPTIS",#N/A,FALSE,"RPTIS";"STATS",#N/A,FALSE,"STATS";"CELL",#N/A,FALSE,"CELL";"BS",#N/A,FALSE,"BS"}</definedName>
    <definedName name="newbel" localSheetId="7" hidden="1">{"IS",#N/A,FALSE,"IS";"RPTIS",#N/A,FALSE,"RPTIS";"STATS",#N/A,FALSE,"STATS";"CELL",#N/A,FALSE,"CELL";"BS",#N/A,FALSE,"BS"}</definedName>
    <definedName name="newbel" localSheetId="29" hidden="1">{"IS",#N/A,FALSE,"IS";"RPTIS",#N/A,FALSE,"RPTIS";"STATS",#N/A,FALSE,"STATS";"CELL",#N/A,FALSE,"CELL";"BS",#N/A,FALSE,"BS"}</definedName>
    <definedName name="newbel" localSheetId="1" hidden="1">{"IS",#N/A,FALSE,"IS";"RPTIS",#N/A,FALSE,"RPTIS";"STATS",#N/A,FALSE,"STATS";"CELL",#N/A,FALSE,"CELL";"BS",#N/A,FALSE,"BS"}</definedName>
    <definedName name="newbel" localSheetId="31" hidden="1">{"IS",#N/A,FALSE,"IS";"RPTIS",#N/A,FALSE,"RPTIS";"STATS",#N/A,FALSE,"STATS";"CELL",#N/A,FALSE,"CELL";"BS",#N/A,FALSE,"BS"}</definedName>
    <definedName name="newbel" hidden="1">{"IS",#N/A,FALSE,"IS";"RPTIS",#N/A,FALSE,"RPTIS";"STATS",#N/A,FALSE,"STATS";"CELL",#N/A,FALSE,"CELL";"BS",#N/A,FALSE,"BS"}</definedName>
    <definedName name="NEWwrn.ALL" localSheetId="12" hidden="1">{#N/A,#N/A,FALSE,"DCF";#N/A,#N/A,FALSE,"WACC";#N/A,#N/A,FALSE,"Sales_EBIT";#N/A,#N/A,FALSE,"Capex_Depreciation";#N/A,#N/A,FALSE,"WC";#N/A,#N/A,FALSE,"Interest";#N/A,#N/A,FALSE,"Assumptions"}</definedName>
    <definedName name="NEWwrn.ALL" localSheetId="18" hidden="1">{#N/A,#N/A,FALSE,"DCF";#N/A,#N/A,FALSE,"WACC";#N/A,#N/A,FALSE,"Sales_EBIT";#N/A,#N/A,FALSE,"Capex_Depreciation";#N/A,#N/A,FALSE,"WC";#N/A,#N/A,FALSE,"Interest";#N/A,#N/A,FALSE,"Assumptions"}</definedName>
    <definedName name="NEWwrn.ALL" localSheetId="19" hidden="1">{#N/A,#N/A,FALSE,"DCF";#N/A,#N/A,FALSE,"WACC";#N/A,#N/A,FALSE,"Sales_EBIT";#N/A,#N/A,FALSE,"Capex_Depreciation";#N/A,#N/A,FALSE,"WC";#N/A,#N/A,FALSE,"Interest";#N/A,#N/A,FALSE,"Assumptions"}</definedName>
    <definedName name="NEWwrn.ALL" localSheetId="17" hidden="1">{#N/A,#N/A,FALSE,"DCF";#N/A,#N/A,FALSE,"WACC";#N/A,#N/A,FALSE,"Sales_EBIT";#N/A,#N/A,FALSE,"Capex_Depreciation";#N/A,#N/A,FALSE,"WC";#N/A,#N/A,FALSE,"Interest";#N/A,#N/A,FALSE,"Assumptions"}</definedName>
    <definedName name="NEWwrn.ALL" localSheetId="22" hidden="1">{#N/A,#N/A,FALSE,"DCF";#N/A,#N/A,FALSE,"WACC";#N/A,#N/A,FALSE,"Sales_EBIT";#N/A,#N/A,FALSE,"Capex_Depreciation";#N/A,#N/A,FALSE,"WC";#N/A,#N/A,FALSE,"Interest";#N/A,#N/A,FALSE,"Assumptions"}</definedName>
    <definedName name="NEWwrn.ALL" localSheetId="10" hidden="1">{#N/A,#N/A,FALSE,"DCF";#N/A,#N/A,FALSE,"WACC";#N/A,#N/A,FALSE,"Sales_EBIT";#N/A,#N/A,FALSE,"Capex_Depreciation";#N/A,#N/A,FALSE,"WC";#N/A,#N/A,FALSE,"Interest";#N/A,#N/A,FALSE,"Assumptions"}</definedName>
    <definedName name="NEWwrn.ALL" localSheetId="30" hidden="1">{#N/A,#N/A,FALSE,"DCF";#N/A,#N/A,FALSE,"WACC";#N/A,#N/A,FALSE,"Sales_EBIT";#N/A,#N/A,FALSE,"Capex_Depreciation";#N/A,#N/A,FALSE,"WC";#N/A,#N/A,FALSE,"Interest";#N/A,#N/A,FALSE,"Assumptions"}</definedName>
    <definedName name="NEWwrn.ALL" localSheetId="0" hidden="1">{#N/A,#N/A,FALSE,"DCF";#N/A,#N/A,FALSE,"WACC";#N/A,#N/A,FALSE,"Sales_EBIT";#N/A,#N/A,FALSE,"Capex_Depreciation";#N/A,#N/A,FALSE,"WC";#N/A,#N/A,FALSE,"Interest";#N/A,#N/A,FALSE,"Assumptions"}</definedName>
    <definedName name="NEWwrn.ALL" localSheetId="3" hidden="1">{#N/A,#N/A,FALSE,"DCF";#N/A,#N/A,FALSE,"WACC";#N/A,#N/A,FALSE,"Sales_EBIT";#N/A,#N/A,FALSE,"Capex_Depreciation";#N/A,#N/A,FALSE,"WC";#N/A,#N/A,FALSE,"Interest";#N/A,#N/A,FALSE,"Assumptions"}</definedName>
    <definedName name="NEWwrn.ALL" localSheetId="4" hidden="1">{#N/A,#N/A,FALSE,"DCF";#N/A,#N/A,FALSE,"WACC";#N/A,#N/A,FALSE,"Sales_EBIT";#N/A,#N/A,FALSE,"Capex_Depreciation";#N/A,#N/A,FALSE,"WC";#N/A,#N/A,FALSE,"Interest";#N/A,#N/A,FALSE,"Assumptions"}</definedName>
    <definedName name="NEWwrn.ALL" localSheetId="28" hidden="1">{#N/A,#N/A,FALSE,"DCF";#N/A,#N/A,FALSE,"WACC";#N/A,#N/A,FALSE,"Sales_EBIT";#N/A,#N/A,FALSE,"Capex_Depreciation";#N/A,#N/A,FALSE,"WC";#N/A,#N/A,FALSE,"Interest";#N/A,#N/A,FALSE,"Assumptions"}</definedName>
    <definedName name="NEWwrn.ALL" localSheetId="33" hidden="1">{#N/A,#N/A,FALSE,"DCF";#N/A,#N/A,FALSE,"WACC";#N/A,#N/A,FALSE,"Sales_EBIT";#N/A,#N/A,FALSE,"Capex_Depreciation";#N/A,#N/A,FALSE,"WC";#N/A,#N/A,FALSE,"Interest";#N/A,#N/A,FALSE,"Assumptions"}</definedName>
    <definedName name="NEWwrn.ALL" localSheetId="32" hidden="1">{#N/A,#N/A,FALSE,"DCF";#N/A,#N/A,FALSE,"WACC";#N/A,#N/A,FALSE,"Sales_EBIT";#N/A,#N/A,FALSE,"Capex_Depreciation";#N/A,#N/A,FALSE,"WC";#N/A,#N/A,FALSE,"Interest";#N/A,#N/A,FALSE,"Assumptions"}</definedName>
    <definedName name="NEWwrn.ALL" localSheetId="7" hidden="1">{#N/A,#N/A,FALSE,"DCF";#N/A,#N/A,FALSE,"WACC";#N/A,#N/A,FALSE,"Sales_EBIT";#N/A,#N/A,FALSE,"Capex_Depreciation";#N/A,#N/A,FALSE,"WC";#N/A,#N/A,FALSE,"Interest";#N/A,#N/A,FALSE,"Assumptions"}</definedName>
    <definedName name="NEWwrn.ALL" localSheetId="29" hidden="1">{#N/A,#N/A,FALSE,"DCF";#N/A,#N/A,FALSE,"WACC";#N/A,#N/A,FALSE,"Sales_EBIT";#N/A,#N/A,FALSE,"Capex_Depreciation";#N/A,#N/A,FALSE,"WC";#N/A,#N/A,FALSE,"Interest";#N/A,#N/A,FALSE,"Assumptions"}</definedName>
    <definedName name="NEWwrn.ALL" localSheetId="1" hidden="1">{#N/A,#N/A,FALSE,"DCF";#N/A,#N/A,FALSE,"WACC";#N/A,#N/A,FALSE,"Sales_EBIT";#N/A,#N/A,FALSE,"Capex_Depreciation";#N/A,#N/A,FALSE,"WC";#N/A,#N/A,FALSE,"Interest";#N/A,#N/A,FALSE,"Assumptions"}</definedName>
    <definedName name="NEWwrn.ALL" localSheetId="31" hidden="1">{#N/A,#N/A,FALSE,"DCF";#N/A,#N/A,FALSE,"WACC";#N/A,#N/A,FALSE,"Sales_EBIT";#N/A,#N/A,FALSE,"Capex_Depreciation";#N/A,#N/A,FALSE,"WC";#N/A,#N/A,FALSE,"Interest";#N/A,#N/A,FALSE,"Assumptions"}</definedName>
    <definedName name="NEWwrn.ALL" hidden="1">{#N/A,#N/A,FALSE,"DCF";#N/A,#N/A,FALSE,"WACC";#N/A,#N/A,FALSE,"Sales_EBIT";#N/A,#N/A,FALSE,"Capex_Depreciation";#N/A,#N/A,FALSE,"WC";#N/A,#N/A,FALSE,"Interest";#N/A,#N/A,FALSE,"Assumptions"}</definedName>
    <definedName name="NEWwrn.ALL.Ge" localSheetId="12" hidden="1">{#N/A,#N/A,FALSE,"DCF";#N/A,#N/A,FALSE,"WACC";#N/A,#N/A,FALSE,"Sales_EBIT";#N/A,#N/A,FALSE,"Capex_Depreciation";#N/A,#N/A,FALSE,"WC";#N/A,#N/A,FALSE,"Interest";#N/A,#N/A,FALSE,"Assumptions"}</definedName>
    <definedName name="NEWwrn.ALL.Ge" localSheetId="18" hidden="1">{#N/A,#N/A,FALSE,"DCF";#N/A,#N/A,FALSE,"WACC";#N/A,#N/A,FALSE,"Sales_EBIT";#N/A,#N/A,FALSE,"Capex_Depreciation";#N/A,#N/A,FALSE,"WC";#N/A,#N/A,FALSE,"Interest";#N/A,#N/A,FALSE,"Assumptions"}</definedName>
    <definedName name="NEWwrn.ALL.Ge" localSheetId="19" hidden="1">{#N/A,#N/A,FALSE,"DCF";#N/A,#N/A,FALSE,"WACC";#N/A,#N/A,FALSE,"Sales_EBIT";#N/A,#N/A,FALSE,"Capex_Depreciation";#N/A,#N/A,FALSE,"WC";#N/A,#N/A,FALSE,"Interest";#N/A,#N/A,FALSE,"Assumptions"}</definedName>
    <definedName name="NEWwrn.ALL.Ge" localSheetId="17" hidden="1">{#N/A,#N/A,FALSE,"DCF";#N/A,#N/A,FALSE,"WACC";#N/A,#N/A,FALSE,"Sales_EBIT";#N/A,#N/A,FALSE,"Capex_Depreciation";#N/A,#N/A,FALSE,"WC";#N/A,#N/A,FALSE,"Interest";#N/A,#N/A,FALSE,"Assumptions"}</definedName>
    <definedName name="NEWwrn.ALL.Ge" localSheetId="22" hidden="1">{#N/A,#N/A,FALSE,"DCF";#N/A,#N/A,FALSE,"WACC";#N/A,#N/A,FALSE,"Sales_EBIT";#N/A,#N/A,FALSE,"Capex_Depreciation";#N/A,#N/A,FALSE,"WC";#N/A,#N/A,FALSE,"Interest";#N/A,#N/A,FALSE,"Assumptions"}</definedName>
    <definedName name="NEWwrn.ALL.Ge" localSheetId="10" hidden="1">{#N/A,#N/A,FALSE,"DCF";#N/A,#N/A,FALSE,"WACC";#N/A,#N/A,FALSE,"Sales_EBIT";#N/A,#N/A,FALSE,"Capex_Depreciation";#N/A,#N/A,FALSE,"WC";#N/A,#N/A,FALSE,"Interest";#N/A,#N/A,FALSE,"Assumptions"}</definedName>
    <definedName name="NEWwrn.ALL.Ge" localSheetId="30" hidden="1">{#N/A,#N/A,FALSE,"DCF";#N/A,#N/A,FALSE,"WACC";#N/A,#N/A,FALSE,"Sales_EBIT";#N/A,#N/A,FALSE,"Capex_Depreciation";#N/A,#N/A,FALSE,"WC";#N/A,#N/A,FALSE,"Interest";#N/A,#N/A,FALSE,"Assumptions"}</definedName>
    <definedName name="NEWwrn.ALL.Ge" localSheetId="0" hidden="1">{#N/A,#N/A,FALSE,"DCF";#N/A,#N/A,FALSE,"WACC";#N/A,#N/A,FALSE,"Sales_EBIT";#N/A,#N/A,FALSE,"Capex_Depreciation";#N/A,#N/A,FALSE,"WC";#N/A,#N/A,FALSE,"Interest";#N/A,#N/A,FALSE,"Assumptions"}</definedName>
    <definedName name="NEWwrn.ALL.Ge" localSheetId="3" hidden="1">{#N/A,#N/A,FALSE,"DCF";#N/A,#N/A,FALSE,"WACC";#N/A,#N/A,FALSE,"Sales_EBIT";#N/A,#N/A,FALSE,"Capex_Depreciation";#N/A,#N/A,FALSE,"WC";#N/A,#N/A,FALSE,"Interest";#N/A,#N/A,FALSE,"Assumptions"}</definedName>
    <definedName name="NEWwrn.ALL.Ge" localSheetId="4" hidden="1">{#N/A,#N/A,FALSE,"DCF";#N/A,#N/A,FALSE,"WACC";#N/A,#N/A,FALSE,"Sales_EBIT";#N/A,#N/A,FALSE,"Capex_Depreciation";#N/A,#N/A,FALSE,"WC";#N/A,#N/A,FALSE,"Interest";#N/A,#N/A,FALSE,"Assumptions"}</definedName>
    <definedName name="NEWwrn.ALL.Ge" localSheetId="28" hidden="1">{#N/A,#N/A,FALSE,"DCF";#N/A,#N/A,FALSE,"WACC";#N/A,#N/A,FALSE,"Sales_EBIT";#N/A,#N/A,FALSE,"Capex_Depreciation";#N/A,#N/A,FALSE,"WC";#N/A,#N/A,FALSE,"Interest";#N/A,#N/A,FALSE,"Assumptions"}</definedName>
    <definedName name="NEWwrn.ALL.Ge" localSheetId="33" hidden="1">{#N/A,#N/A,FALSE,"DCF";#N/A,#N/A,FALSE,"WACC";#N/A,#N/A,FALSE,"Sales_EBIT";#N/A,#N/A,FALSE,"Capex_Depreciation";#N/A,#N/A,FALSE,"WC";#N/A,#N/A,FALSE,"Interest";#N/A,#N/A,FALSE,"Assumptions"}</definedName>
    <definedName name="NEWwrn.ALL.Ge" localSheetId="32" hidden="1">{#N/A,#N/A,FALSE,"DCF";#N/A,#N/A,FALSE,"WACC";#N/A,#N/A,FALSE,"Sales_EBIT";#N/A,#N/A,FALSE,"Capex_Depreciation";#N/A,#N/A,FALSE,"WC";#N/A,#N/A,FALSE,"Interest";#N/A,#N/A,FALSE,"Assumptions"}</definedName>
    <definedName name="NEWwrn.ALL.Ge" localSheetId="7" hidden="1">{#N/A,#N/A,FALSE,"DCF";#N/A,#N/A,FALSE,"WACC";#N/A,#N/A,FALSE,"Sales_EBIT";#N/A,#N/A,FALSE,"Capex_Depreciation";#N/A,#N/A,FALSE,"WC";#N/A,#N/A,FALSE,"Interest";#N/A,#N/A,FALSE,"Assumptions"}</definedName>
    <definedName name="NEWwrn.ALL.Ge" localSheetId="29" hidden="1">{#N/A,#N/A,FALSE,"DCF";#N/A,#N/A,FALSE,"WACC";#N/A,#N/A,FALSE,"Sales_EBIT";#N/A,#N/A,FALSE,"Capex_Depreciation";#N/A,#N/A,FALSE,"WC";#N/A,#N/A,FALSE,"Interest";#N/A,#N/A,FALSE,"Assumptions"}</definedName>
    <definedName name="NEWwrn.ALL.Ge" localSheetId="1" hidden="1">{#N/A,#N/A,FALSE,"DCF";#N/A,#N/A,FALSE,"WACC";#N/A,#N/A,FALSE,"Sales_EBIT";#N/A,#N/A,FALSE,"Capex_Depreciation";#N/A,#N/A,FALSE,"WC";#N/A,#N/A,FALSE,"Interest";#N/A,#N/A,FALSE,"Assumptions"}</definedName>
    <definedName name="NEWwrn.ALL.Ge" localSheetId="31" hidden="1">{#N/A,#N/A,FALSE,"DCF";#N/A,#N/A,FALSE,"WACC";#N/A,#N/A,FALSE,"Sales_EBIT";#N/A,#N/A,FALSE,"Capex_Depreciation";#N/A,#N/A,FALSE,"WC";#N/A,#N/A,FALSE,"Interest";#N/A,#N/A,FALSE,"Assumptions"}</definedName>
    <definedName name="NEWwrn.ALL.Ge" hidden="1">{#N/A,#N/A,FALSE,"DCF";#N/A,#N/A,FALSE,"WACC";#N/A,#N/A,FALSE,"Sales_EBIT";#N/A,#N/A,FALSE,"Capex_Depreciation";#N/A,#N/A,FALSE,"WC";#N/A,#N/A,FALSE,"Interest";#N/A,#N/A,FALSE,"Assumptions"}</definedName>
    <definedName name="NEWwrn.old" localSheetId="12" hidden="1">{#N/A,#N/A,FALSE,"DCF";#N/A,#N/A,FALSE,"WACC";#N/A,#N/A,FALSE,"Sales_EBIT";#N/A,#N/A,FALSE,"Capex_Depreciation";#N/A,#N/A,FALSE,"WC";#N/A,#N/A,FALSE,"Interest";#N/A,#N/A,FALSE,"Assumptions"}</definedName>
    <definedName name="NEWwrn.old" localSheetId="18" hidden="1">{#N/A,#N/A,FALSE,"DCF";#N/A,#N/A,FALSE,"WACC";#N/A,#N/A,FALSE,"Sales_EBIT";#N/A,#N/A,FALSE,"Capex_Depreciation";#N/A,#N/A,FALSE,"WC";#N/A,#N/A,FALSE,"Interest";#N/A,#N/A,FALSE,"Assumptions"}</definedName>
    <definedName name="NEWwrn.old" localSheetId="19" hidden="1">{#N/A,#N/A,FALSE,"DCF";#N/A,#N/A,FALSE,"WACC";#N/A,#N/A,FALSE,"Sales_EBIT";#N/A,#N/A,FALSE,"Capex_Depreciation";#N/A,#N/A,FALSE,"WC";#N/A,#N/A,FALSE,"Interest";#N/A,#N/A,FALSE,"Assumptions"}</definedName>
    <definedName name="NEWwrn.old" localSheetId="17" hidden="1">{#N/A,#N/A,FALSE,"DCF";#N/A,#N/A,FALSE,"WACC";#N/A,#N/A,FALSE,"Sales_EBIT";#N/A,#N/A,FALSE,"Capex_Depreciation";#N/A,#N/A,FALSE,"WC";#N/A,#N/A,FALSE,"Interest";#N/A,#N/A,FALSE,"Assumptions"}</definedName>
    <definedName name="NEWwrn.old" localSheetId="22" hidden="1">{#N/A,#N/A,FALSE,"DCF";#N/A,#N/A,FALSE,"WACC";#N/A,#N/A,FALSE,"Sales_EBIT";#N/A,#N/A,FALSE,"Capex_Depreciation";#N/A,#N/A,FALSE,"WC";#N/A,#N/A,FALSE,"Interest";#N/A,#N/A,FALSE,"Assumptions"}</definedName>
    <definedName name="NEWwrn.old" localSheetId="10" hidden="1">{#N/A,#N/A,FALSE,"DCF";#N/A,#N/A,FALSE,"WACC";#N/A,#N/A,FALSE,"Sales_EBIT";#N/A,#N/A,FALSE,"Capex_Depreciation";#N/A,#N/A,FALSE,"WC";#N/A,#N/A,FALSE,"Interest";#N/A,#N/A,FALSE,"Assumptions"}</definedName>
    <definedName name="NEWwrn.old" localSheetId="30" hidden="1">{#N/A,#N/A,FALSE,"DCF";#N/A,#N/A,FALSE,"WACC";#N/A,#N/A,FALSE,"Sales_EBIT";#N/A,#N/A,FALSE,"Capex_Depreciation";#N/A,#N/A,FALSE,"WC";#N/A,#N/A,FALSE,"Interest";#N/A,#N/A,FALSE,"Assumptions"}</definedName>
    <definedName name="NEWwrn.old" localSheetId="0" hidden="1">{#N/A,#N/A,FALSE,"DCF";#N/A,#N/A,FALSE,"WACC";#N/A,#N/A,FALSE,"Sales_EBIT";#N/A,#N/A,FALSE,"Capex_Depreciation";#N/A,#N/A,FALSE,"WC";#N/A,#N/A,FALSE,"Interest";#N/A,#N/A,FALSE,"Assumptions"}</definedName>
    <definedName name="NEWwrn.old" localSheetId="3" hidden="1">{#N/A,#N/A,FALSE,"DCF";#N/A,#N/A,FALSE,"WACC";#N/A,#N/A,FALSE,"Sales_EBIT";#N/A,#N/A,FALSE,"Capex_Depreciation";#N/A,#N/A,FALSE,"WC";#N/A,#N/A,FALSE,"Interest";#N/A,#N/A,FALSE,"Assumptions"}</definedName>
    <definedName name="NEWwrn.old" localSheetId="4" hidden="1">{#N/A,#N/A,FALSE,"DCF";#N/A,#N/A,FALSE,"WACC";#N/A,#N/A,FALSE,"Sales_EBIT";#N/A,#N/A,FALSE,"Capex_Depreciation";#N/A,#N/A,FALSE,"WC";#N/A,#N/A,FALSE,"Interest";#N/A,#N/A,FALSE,"Assumptions"}</definedName>
    <definedName name="NEWwrn.old" localSheetId="28" hidden="1">{#N/A,#N/A,FALSE,"DCF";#N/A,#N/A,FALSE,"WACC";#N/A,#N/A,FALSE,"Sales_EBIT";#N/A,#N/A,FALSE,"Capex_Depreciation";#N/A,#N/A,FALSE,"WC";#N/A,#N/A,FALSE,"Interest";#N/A,#N/A,FALSE,"Assumptions"}</definedName>
    <definedName name="NEWwrn.old" localSheetId="33" hidden="1">{#N/A,#N/A,FALSE,"DCF";#N/A,#N/A,FALSE,"WACC";#N/A,#N/A,FALSE,"Sales_EBIT";#N/A,#N/A,FALSE,"Capex_Depreciation";#N/A,#N/A,FALSE,"WC";#N/A,#N/A,FALSE,"Interest";#N/A,#N/A,FALSE,"Assumptions"}</definedName>
    <definedName name="NEWwrn.old" localSheetId="32" hidden="1">{#N/A,#N/A,FALSE,"DCF";#N/A,#N/A,FALSE,"WACC";#N/A,#N/A,FALSE,"Sales_EBIT";#N/A,#N/A,FALSE,"Capex_Depreciation";#N/A,#N/A,FALSE,"WC";#N/A,#N/A,FALSE,"Interest";#N/A,#N/A,FALSE,"Assumptions"}</definedName>
    <definedName name="NEWwrn.old" localSheetId="7" hidden="1">{#N/A,#N/A,FALSE,"DCF";#N/A,#N/A,FALSE,"WACC";#N/A,#N/A,FALSE,"Sales_EBIT";#N/A,#N/A,FALSE,"Capex_Depreciation";#N/A,#N/A,FALSE,"WC";#N/A,#N/A,FALSE,"Interest";#N/A,#N/A,FALSE,"Assumptions"}</definedName>
    <definedName name="NEWwrn.old" localSheetId="29" hidden="1">{#N/A,#N/A,FALSE,"DCF";#N/A,#N/A,FALSE,"WACC";#N/A,#N/A,FALSE,"Sales_EBIT";#N/A,#N/A,FALSE,"Capex_Depreciation";#N/A,#N/A,FALSE,"WC";#N/A,#N/A,FALSE,"Interest";#N/A,#N/A,FALSE,"Assumptions"}</definedName>
    <definedName name="NEWwrn.old" localSheetId="1" hidden="1">{#N/A,#N/A,FALSE,"DCF";#N/A,#N/A,FALSE,"WACC";#N/A,#N/A,FALSE,"Sales_EBIT";#N/A,#N/A,FALSE,"Capex_Depreciation";#N/A,#N/A,FALSE,"WC";#N/A,#N/A,FALSE,"Interest";#N/A,#N/A,FALSE,"Assumptions"}</definedName>
    <definedName name="NEWwrn.old" localSheetId="31" hidden="1">{#N/A,#N/A,FALSE,"DCF";#N/A,#N/A,FALSE,"WACC";#N/A,#N/A,FALSE,"Sales_EBIT";#N/A,#N/A,FALSE,"Capex_Depreciation";#N/A,#N/A,FALSE,"WC";#N/A,#N/A,FALSE,"Interest";#N/A,#N/A,FALSE,"Assumptions"}</definedName>
    <definedName name="NEWwrn.old" hidden="1">{#N/A,#N/A,FALSE,"DCF";#N/A,#N/A,FALSE,"WACC";#N/A,#N/A,FALSE,"Sales_EBIT";#N/A,#N/A,FALSE,"Capex_Depreciation";#N/A,#N/A,FALSE,"WC";#N/A,#N/A,FALSE,"Interest";#N/A,#N/A,FALSE,"Assumptions"}</definedName>
    <definedName name="por" localSheetId="12" hidden="1">{#N/A,#N/A,TRUE,"Assumptions";#N/A,#N/A,TRUE,"Op Projection";#N/A,#N/A,TRUE,"Capital";#N/A,#N/A,TRUE,"Income";#N/A,#N/A,TRUE,"Balance";#N/A,#N/A,TRUE,"Sources&amp;Uses"}</definedName>
    <definedName name="por" localSheetId="18" hidden="1">{#N/A,#N/A,TRUE,"Assumptions";#N/A,#N/A,TRUE,"Op Projection";#N/A,#N/A,TRUE,"Capital";#N/A,#N/A,TRUE,"Income";#N/A,#N/A,TRUE,"Balance";#N/A,#N/A,TRUE,"Sources&amp;Uses"}</definedName>
    <definedName name="por" localSheetId="19" hidden="1">{#N/A,#N/A,TRUE,"Assumptions";#N/A,#N/A,TRUE,"Op Projection";#N/A,#N/A,TRUE,"Capital";#N/A,#N/A,TRUE,"Income";#N/A,#N/A,TRUE,"Balance";#N/A,#N/A,TRUE,"Sources&amp;Uses"}</definedName>
    <definedName name="por" localSheetId="17" hidden="1">{#N/A,#N/A,TRUE,"Assumptions";#N/A,#N/A,TRUE,"Op Projection";#N/A,#N/A,TRUE,"Capital";#N/A,#N/A,TRUE,"Income";#N/A,#N/A,TRUE,"Balance";#N/A,#N/A,TRUE,"Sources&amp;Uses"}</definedName>
    <definedName name="por" localSheetId="22" hidden="1">{#N/A,#N/A,TRUE,"Assumptions";#N/A,#N/A,TRUE,"Op Projection";#N/A,#N/A,TRUE,"Capital";#N/A,#N/A,TRUE,"Income";#N/A,#N/A,TRUE,"Balance";#N/A,#N/A,TRUE,"Sources&amp;Uses"}</definedName>
    <definedName name="por" localSheetId="10" hidden="1">{#N/A,#N/A,TRUE,"Assumptions";#N/A,#N/A,TRUE,"Op Projection";#N/A,#N/A,TRUE,"Capital";#N/A,#N/A,TRUE,"Income";#N/A,#N/A,TRUE,"Balance";#N/A,#N/A,TRUE,"Sources&amp;Uses"}</definedName>
    <definedName name="por" localSheetId="30" hidden="1">{#N/A,#N/A,TRUE,"Assumptions";#N/A,#N/A,TRUE,"Op Projection";#N/A,#N/A,TRUE,"Capital";#N/A,#N/A,TRUE,"Income";#N/A,#N/A,TRUE,"Balance";#N/A,#N/A,TRUE,"Sources&amp;Uses"}</definedName>
    <definedName name="por" localSheetId="0" hidden="1">{#N/A,#N/A,TRUE,"Assumptions";#N/A,#N/A,TRUE,"Op Projection";#N/A,#N/A,TRUE,"Capital";#N/A,#N/A,TRUE,"Income";#N/A,#N/A,TRUE,"Balance";#N/A,#N/A,TRUE,"Sources&amp;Uses"}</definedName>
    <definedName name="por" localSheetId="3" hidden="1">{#N/A,#N/A,TRUE,"Assumptions";#N/A,#N/A,TRUE,"Op Projection";#N/A,#N/A,TRUE,"Capital";#N/A,#N/A,TRUE,"Income";#N/A,#N/A,TRUE,"Balance";#N/A,#N/A,TRUE,"Sources&amp;Uses"}</definedName>
    <definedName name="por" localSheetId="4" hidden="1">{#N/A,#N/A,TRUE,"Assumptions";#N/A,#N/A,TRUE,"Op Projection";#N/A,#N/A,TRUE,"Capital";#N/A,#N/A,TRUE,"Income";#N/A,#N/A,TRUE,"Balance";#N/A,#N/A,TRUE,"Sources&amp;Uses"}</definedName>
    <definedName name="por" localSheetId="28" hidden="1">{#N/A,#N/A,TRUE,"Assumptions";#N/A,#N/A,TRUE,"Op Projection";#N/A,#N/A,TRUE,"Capital";#N/A,#N/A,TRUE,"Income";#N/A,#N/A,TRUE,"Balance";#N/A,#N/A,TRUE,"Sources&amp;Uses"}</definedName>
    <definedName name="por" localSheetId="33" hidden="1">{#N/A,#N/A,TRUE,"Assumptions";#N/A,#N/A,TRUE,"Op Projection";#N/A,#N/A,TRUE,"Capital";#N/A,#N/A,TRUE,"Income";#N/A,#N/A,TRUE,"Balance";#N/A,#N/A,TRUE,"Sources&amp;Uses"}</definedName>
    <definedName name="por" localSheetId="32" hidden="1">{#N/A,#N/A,TRUE,"Assumptions";#N/A,#N/A,TRUE,"Op Projection";#N/A,#N/A,TRUE,"Capital";#N/A,#N/A,TRUE,"Income";#N/A,#N/A,TRUE,"Balance";#N/A,#N/A,TRUE,"Sources&amp;Uses"}</definedName>
    <definedName name="por" localSheetId="7" hidden="1">{#N/A,#N/A,TRUE,"Assumptions";#N/A,#N/A,TRUE,"Op Projection";#N/A,#N/A,TRUE,"Capital";#N/A,#N/A,TRUE,"Income";#N/A,#N/A,TRUE,"Balance";#N/A,#N/A,TRUE,"Sources&amp;Uses"}</definedName>
    <definedName name="por" localSheetId="29" hidden="1">{#N/A,#N/A,TRUE,"Assumptions";#N/A,#N/A,TRUE,"Op Projection";#N/A,#N/A,TRUE,"Capital";#N/A,#N/A,TRUE,"Income";#N/A,#N/A,TRUE,"Balance";#N/A,#N/A,TRUE,"Sources&amp;Uses"}</definedName>
    <definedName name="por" localSheetId="1" hidden="1">{#N/A,#N/A,TRUE,"Assumptions";#N/A,#N/A,TRUE,"Op Projection";#N/A,#N/A,TRUE,"Capital";#N/A,#N/A,TRUE,"Income";#N/A,#N/A,TRUE,"Balance";#N/A,#N/A,TRUE,"Sources&amp;Uses"}</definedName>
    <definedName name="por" localSheetId="31" hidden="1">{#N/A,#N/A,TRUE,"Assumptions";#N/A,#N/A,TRUE,"Op Projection";#N/A,#N/A,TRUE,"Capital";#N/A,#N/A,TRUE,"Income";#N/A,#N/A,TRUE,"Balance";#N/A,#N/A,TRUE,"Sources&amp;Uses"}</definedName>
    <definedName name="por" hidden="1">{#N/A,#N/A,TRUE,"Assumptions";#N/A,#N/A,TRUE,"Op Projection";#N/A,#N/A,TRUE,"Capital";#N/A,#N/A,TRUE,"Income";#N/A,#N/A,TRUE,"Balance";#N/A,#N/A,TRUE,"Sources&amp;Uses"}</definedName>
    <definedName name="ppppppp" localSheetId="12" hidden="1">{"mgmt forecast",#N/A,FALSE,"Mgmt Forecast";"dcf table",#N/A,FALSE,"Mgmt Forecast";"sensitivity",#N/A,FALSE,"Mgmt Forecast";"table inputs",#N/A,FALSE,"Mgmt Forecast";"calculations",#N/A,FALSE,"Mgmt Forecast"}</definedName>
    <definedName name="ppppppp" localSheetId="18" hidden="1">{"mgmt forecast",#N/A,FALSE,"Mgmt Forecast";"dcf table",#N/A,FALSE,"Mgmt Forecast";"sensitivity",#N/A,FALSE,"Mgmt Forecast";"table inputs",#N/A,FALSE,"Mgmt Forecast";"calculations",#N/A,FALSE,"Mgmt Forecast"}</definedName>
    <definedName name="ppppppp" localSheetId="19" hidden="1">{"mgmt forecast",#N/A,FALSE,"Mgmt Forecast";"dcf table",#N/A,FALSE,"Mgmt Forecast";"sensitivity",#N/A,FALSE,"Mgmt Forecast";"table inputs",#N/A,FALSE,"Mgmt Forecast";"calculations",#N/A,FALSE,"Mgmt Forecast"}</definedName>
    <definedName name="ppppppp" localSheetId="17" hidden="1">{"mgmt forecast",#N/A,FALSE,"Mgmt Forecast";"dcf table",#N/A,FALSE,"Mgmt Forecast";"sensitivity",#N/A,FALSE,"Mgmt Forecast";"table inputs",#N/A,FALSE,"Mgmt Forecast";"calculations",#N/A,FALSE,"Mgmt Forecast"}</definedName>
    <definedName name="ppppppp" localSheetId="22" hidden="1">{"mgmt forecast",#N/A,FALSE,"Mgmt Forecast";"dcf table",#N/A,FALSE,"Mgmt Forecast";"sensitivity",#N/A,FALSE,"Mgmt Forecast";"table inputs",#N/A,FALSE,"Mgmt Forecast";"calculations",#N/A,FALSE,"Mgmt Forecast"}</definedName>
    <definedName name="ppppppp" localSheetId="10" hidden="1">{"mgmt forecast",#N/A,FALSE,"Mgmt Forecast";"dcf table",#N/A,FALSE,"Mgmt Forecast";"sensitivity",#N/A,FALSE,"Mgmt Forecast";"table inputs",#N/A,FALSE,"Mgmt Forecast";"calculations",#N/A,FALSE,"Mgmt Forecast"}</definedName>
    <definedName name="ppppppp" localSheetId="30" hidden="1">{"mgmt forecast",#N/A,FALSE,"Mgmt Forecast";"dcf table",#N/A,FALSE,"Mgmt Forecast";"sensitivity",#N/A,FALSE,"Mgmt Forecast";"table inputs",#N/A,FALSE,"Mgmt Forecast";"calculations",#N/A,FALSE,"Mgmt Forecast"}</definedName>
    <definedName name="ppppppp" localSheetId="0" hidden="1">{"mgmt forecast",#N/A,FALSE,"Mgmt Forecast";"dcf table",#N/A,FALSE,"Mgmt Forecast";"sensitivity",#N/A,FALSE,"Mgmt Forecast";"table inputs",#N/A,FALSE,"Mgmt Forecast";"calculations",#N/A,FALSE,"Mgmt Forecast"}</definedName>
    <definedName name="ppppppp" localSheetId="3" hidden="1">{"mgmt forecast",#N/A,FALSE,"Mgmt Forecast";"dcf table",#N/A,FALSE,"Mgmt Forecast";"sensitivity",#N/A,FALSE,"Mgmt Forecast";"table inputs",#N/A,FALSE,"Mgmt Forecast";"calculations",#N/A,FALSE,"Mgmt Forecast"}</definedName>
    <definedName name="ppppppp" localSheetId="4" hidden="1">{"mgmt forecast",#N/A,FALSE,"Mgmt Forecast";"dcf table",#N/A,FALSE,"Mgmt Forecast";"sensitivity",#N/A,FALSE,"Mgmt Forecast";"table inputs",#N/A,FALSE,"Mgmt Forecast";"calculations",#N/A,FALSE,"Mgmt Forecast"}</definedName>
    <definedName name="ppppppp" localSheetId="28" hidden="1">{"mgmt forecast",#N/A,FALSE,"Mgmt Forecast";"dcf table",#N/A,FALSE,"Mgmt Forecast";"sensitivity",#N/A,FALSE,"Mgmt Forecast";"table inputs",#N/A,FALSE,"Mgmt Forecast";"calculations",#N/A,FALSE,"Mgmt Forecast"}</definedName>
    <definedName name="ppppppp" localSheetId="33" hidden="1">{"mgmt forecast",#N/A,FALSE,"Mgmt Forecast";"dcf table",#N/A,FALSE,"Mgmt Forecast";"sensitivity",#N/A,FALSE,"Mgmt Forecast";"table inputs",#N/A,FALSE,"Mgmt Forecast";"calculations",#N/A,FALSE,"Mgmt Forecast"}</definedName>
    <definedName name="ppppppp" localSheetId="32" hidden="1">{"mgmt forecast",#N/A,FALSE,"Mgmt Forecast";"dcf table",#N/A,FALSE,"Mgmt Forecast";"sensitivity",#N/A,FALSE,"Mgmt Forecast";"table inputs",#N/A,FALSE,"Mgmt Forecast";"calculations",#N/A,FALSE,"Mgmt Forecast"}</definedName>
    <definedName name="ppppppp" localSheetId="7" hidden="1">{"mgmt forecast",#N/A,FALSE,"Mgmt Forecast";"dcf table",#N/A,FALSE,"Mgmt Forecast";"sensitivity",#N/A,FALSE,"Mgmt Forecast";"table inputs",#N/A,FALSE,"Mgmt Forecast";"calculations",#N/A,FALSE,"Mgmt Forecast"}</definedName>
    <definedName name="ppppppp" localSheetId="29" hidden="1">{"mgmt forecast",#N/A,FALSE,"Mgmt Forecast";"dcf table",#N/A,FALSE,"Mgmt Forecast";"sensitivity",#N/A,FALSE,"Mgmt Forecast";"table inputs",#N/A,FALSE,"Mgmt Forecast";"calculations",#N/A,FALSE,"Mgmt Forecast"}</definedName>
    <definedName name="ppppppp" localSheetId="1" hidden="1">{"mgmt forecast",#N/A,FALSE,"Mgmt Forecast";"dcf table",#N/A,FALSE,"Mgmt Forecast";"sensitivity",#N/A,FALSE,"Mgmt Forecast";"table inputs",#N/A,FALSE,"Mgmt Forecast";"calculations",#N/A,FALSE,"Mgmt Forecast"}</definedName>
    <definedName name="ppppppp" localSheetId="31" hidden="1">{"mgmt forecast",#N/A,FALSE,"Mgmt Forecast";"dcf table",#N/A,FALSE,"Mgmt Forecast";"sensitivity",#N/A,FALSE,"Mgmt Forecast";"table inputs",#N/A,FALSE,"Mgmt Forecast";"calculations",#N/A,FALSE,"Mgmt Forecast"}</definedName>
    <definedName name="ppppppp" hidden="1">{"mgmt forecast",#N/A,FALSE,"Mgmt Forecast";"dcf table",#N/A,FALSE,"Mgmt Forecast";"sensitivity",#N/A,FALSE,"Mgmt Forecast";"table inputs",#N/A,FALSE,"Mgmt Forecast";"calculations",#N/A,FALSE,"Mgmt Forecast"}</definedName>
    <definedName name="Progetto" localSheetId="0">#REF!</definedName>
    <definedName name="Progetto" localSheetId="7">#REF!</definedName>
    <definedName name="Prt_A_Bot" localSheetId="0">#REF!</definedName>
    <definedName name="Prt_A_Bot" localSheetId="7">#REF!</definedName>
    <definedName name="PRU\02p01p01p00s01" localSheetId="0">#REF!</definedName>
    <definedName name="PRU\02p01p01p00s01" localSheetId="28">#REF!</definedName>
    <definedName name="PRU\02p01p01p00s01" localSheetId="32">'[1]Prices List'!$E$10</definedName>
    <definedName name="PRU\02p01p01p00s01" localSheetId="7">#REF!</definedName>
    <definedName name="PRU\02p01p01p00s01" localSheetId="29">#REF!</definedName>
    <definedName name="PRU\02p01p01p00s01" localSheetId="31">#REF!</definedName>
    <definedName name="PRU\02p01p01p00s01">#REF!</definedName>
    <definedName name="PRU\02p01p01p00s02" localSheetId="0">#REF!</definedName>
    <definedName name="PRU\02p01p01p00s02" localSheetId="28">#REF!</definedName>
    <definedName name="PRU\02p01p01p00s02" localSheetId="32">'[1]Prices List'!$E$15</definedName>
    <definedName name="PRU\02p01p01p00s02" localSheetId="7">#REF!</definedName>
    <definedName name="PRU\02p01p01p00s02" localSheetId="29">#REF!</definedName>
    <definedName name="PRU\02p01p01p00s02" localSheetId="31">#REF!</definedName>
    <definedName name="PRU\02p01p01p00s02">#REF!</definedName>
    <definedName name="PRU\02p01p01p00s03" localSheetId="0">#REF!</definedName>
    <definedName name="PRU\02p01p01p00s03" localSheetId="28">#REF!</definedName>
    <definedName name="PRU\02p01p01p00s03" localSheetId="32">'[1]Prices List'!$E$20</definedName>
    <definedName name="PRU\02p01p01p00s03" localSheetId="7">#REF!</definedName>
    <definedName name="PRU\02p01p01p00s03" localSheetId="29">#REF!</definedName>
    <definedName name="PRU\02p01p01p00s03" localSheetId="31">#REF!</definedName>
    <definedName name="PRU\02p01p01p00s03">#REF!</definedName>
    <definedName name="PRU\02p01p02p00s01" localSheetId="0">#REF!</definedName>
    <definedName name="PRU\02p01p02p00s01" localSheetId="32">'[1]Prices List'!$E$26</definedName>
    <definedName name="PRU\02p01p02p00s01" localSheetId="7">#REF!</definedName>
    <definedName name="PRU\02p01p02p00s01">#REF!</definedName>
    <definedName name="PRU\02p01p03p00s01" localSheetId="0">#REF!</definedName>
    <definedName name="PRU\02p01p03p00s01" localSheetId="32">'[1]Prices List'!$E$32</definedName>
    <definedName name="PRU\02p01p03p00s01" localSheetId="7">#REF!</definedName>
    <definedName name="PRU\02p01p03p00s01">#REF!</definedName>
    <definedName name="PRU\02p01p05p00s01" localSheetId="0">#REF!</definedName>
    <definedName name="PRU\02p01p05p00s01" localSheetId="32">'[1]Prices List'!$E$38</definedName>
    <definedName name="PRU\02p01p05p00s01" localSheetId="7">#REF!</definedName>
    <definedName name="PRU\02p01p05p00s01">#REF!</definedName>
    <definedName name="PRU\02p01p06p00s01" localSheetId="7">#REF!</definedName>
    <definedName name="PRU\02p01p06p00s02" localSheetId="7">#REF!</definedName>
    <definedName name="PRU\02p01p06p00s04" localSheetId="0">#REF!</definedName>
    <definedName name="PRU\02p01p06p00s04" localSheetId="32">'[1]Prices List'!$E$44</definedName>
    <definedName name="PRU\02p01p06p00s04" localSheetId="7">#REF!</definedName>
    <definedName name="PRU\02p01p06p00s04">#REF!</definedName>
    <definedName name="PRU\02p01p06p00s05" localSheetId="0">#REF!</definedName>
    <definedName name="PRU\02p01p06p00s05" localSheetId="32">'[1]Prices List'!$E$49</definedName>
    <definedName name="PRU\02p01p06p00s05" localSheetId="7">#REF!</definedName>
    <definedName name="PRU\02p01p06p00s05">#REF!</definedName>
    <definedName name="PRU\02p01p06p00s06" localSheetId="0">#REF!</definedName>
    <definedName name="PRU\02p01p06p00s06" localSheetId="32">'[1]Prices List'!$E$54</definedName>
    <definedName name="PRU\02p01p06p00s06" localSheetId="7">#REF!</definedName>
    <definedName name="PRU\02p01p06p00s06">#REF!</definedName>
    <definedName name="PRU\02p01p06p00s07" localSheetId="0">#REF!</definedName>
    <definedName name="PRU\02p01p06p00s07" localSheetId="32">'[1]Prices List'!$E$59</definedName>
    <definedName name="PRU\02p01p06p00s07" localSheetId="7">#REF!</definedName>
    <definedName name="PRU\02p01p06p00s07">#REF!</definedName>
    <definedName name="PRU\02p01p07p00s01" localSheetId="0">#REF!</definedName>
    <definedName name="PRU\02p01p07p00s01" localSheetId="32">'[1]Prices List'!$E$66</definedName>
    <definedName name="PRU\02p01p07p00s01" localSheetId="7">#REF!</definedName>
    <definedName name="PRU\02p01p07p00s01">#REF!</definedName>
    <definedName name="PRU\02p01p07p00s02" localSheetId="0">#REF!</definedName>
    <definedName name="PRU\02p01p07p00s02" localSheetId="32">'[1]Prices List'!$E$72</definedName>
    <definedName name="PRU\02p01p07p00s02" localSheetId="7">#REF!</definedName>
    <definedName name="PRU\02p01p07p00s02">#REF!</definedName>
    <definedName name="PRU\02p02p01p00s01" localSheetId="0">#REF!</definedName>
    <definedName name="PRU\02p02p01p00s01" localSheetId="32">'[1]Prices List'!$E$80</definedName>
    <definedName name="PRU\02p02p01p00s01" localSheetId="7">#REF!</definedName>
    <definedName name="PRU\02p02p01p00s01">#REF!</definedName>
    <definedName name="PRU\02p02p01p00sA3" localSheetId="7">#REF!</definedName>
    <definedName name="PRU\02p02p02p00s01" localSheetId="0">#REF!</definedName>
    <definedName name="PRU\02p02p02p00s01" localSheetId="32">'[1]Prices List'!$E$86</definedName>
    <definedName name="PRU\02p02p02p00s01" localSheetId="7">#REF!</definedName>
    <definedName name="PRU\02p02p02p00s01">#REF!</definedName>
    <definedName name="PRU\02p02p02p00s02" localSheetId="0">#REF!</definedName>
    <definedName name="PRU\02p02p02p00s02" localSheetId="32">'[1]Prices List'!$E$91</definedName>
    <definedName name="PRU\02p02p02p00s02" localSheetId="7">#REF!</definedName>
    <definedName name="PRU\02p02p02p00s02">#REF!</definedName>
    <definedName name="PRU\02p02p02p00s03" localSheetId="0">#REF!</definedName>
    <definedName name="PRU\02p02p02p00s03" localSheetId="32">'[1]Prices List'!$E$96</definedName>
    <definedName name="PRU\02p02p02p00s03" localSheetId="7">#REF!</definedName>
    <definedName name="PRU\02p02p02p00s03">#REF!</definedName>
    <definedName name="PRU\02p02p02p00s04" localSheetId="0">#REF!</definedName>
    <definedName name="PRU\02p02p02p00s04" localSheetId="32">'[1]Prices List'!$E$101</definedName>
    <definedName name="PRU\02p02p02p00s04" localSheetId="7">#REF!</definedName>
    <definedName name="PRU\02p02p02p00s04">#REF!</definedName>
    <definedName name="PRU\02p02p02p03s05" localSheetId="0">#REF!</definedName>
    <definedName name="PRU\02p02p02p03s05" localSheetId="32">'[1]Prices List'!$E$106</definedName>
    <definedName name="PRU\02p02p02p03s05" localSheetId="7">#REF!</definedName>
    <definedName name="PRU\02p02p02p03s05">#REF!</definedName>
    <definedName name="PRU\02p02p02p03s06" localSheetId="0">#REF!</definedName>
    <definedName name="PRU\02p02p02p03s06" localSheetId="32">'[1]Prices List'!$E$111</definedName>
    <definedName name="PRU\02p02p02p03s06" localSheetId="7">#REF!</definedName>
    <definedName name="PRU\02p02p02p03s06">#REF!</definedName>
    <definedName name="PRU\02p02p02p03s07" localSheetId="0">#REF!</definedName>
    <definedName name="PRU\02p02p02p03s07" localSheetId="32">'[1]Prices List'!$E$116</definedName>
    <definedName name="PRU\02p02p02p03s07" localSheetId="7">#REF!</definedName>
    <definedName name="PRU\02p02p02p03s07">#REF!</definedName>
    <definedName name="PRU\02p02p02p03s08" localSheetId="0">#REF!</definedName>
    <definedName name="PRU\02p02p02p03s08" localSheetId="32">'[1]Prices List'!$E$121</definedName>
    <definedName name="PRU\02p02p02p03s08" localSheetId="7">#REF!</definedName>
    <definedName name="PRU\02p02p02p03s08">#REF!</definedName>
    <definedName name="PRU\02p02p02p04s09" localSheetId="0">#REF!</definedName>
    <definedName name="PRU\02p02p02p04s09" localSheetId="32">'[1]Prices List'!$E$126</definedName>
    <definedName name="PRU\02p02p02p04s09" localSheetId="7">#REF!</definedName>
    <definedName name="PRU\02p02p02p04s09">#REF!</definedName>
    <definedName name="PRU\02p02p02p04s10" localSheetId="0">#REF!</definedName>
    <definedName name="PRU\02p02p02p04s10" localSheetId="32">'[1]Prices List'!$E$131</definedName>
    <definedName name="PRU\02p02p02p04s10" localSheetId="7">#REF!</definedName>
    <definedName name="PRU\02p02p02p04s10">#REF!</definedName>
    <definedName name="PRU\02p02p02p04s11" localSheetId="0">#REF!</definedName>
    <definedName name="PRU\02p02p02p04s11" localSheetId="32">'[1]Prices List'!$E$136</definedName>
    <definedName name="PRU\02p02p02p04s11" localSheetId="7">#REF!</definedName>
    <definedName name="PRU\02p02p02p04s11">#REF!</definedName>
    <definedName name="PRU\02p02p02p04s12" localSheetId="0">#REF!</definedName>
    <definedName name="PRU\02p02p02p04s12" localSheetId="32">'[1]Prices List'!$E$141</definedName>
    <definedName name="PRU\02p02p02p04s12" localSheetId="7">#REF!</definedName>
    <definedName name="PRU\02p02p02p04s12">#REF!</definedName>
    <definedName name="PRU\02p02p03p00s01" localSheetId="0">#REF!</definedName>
    <definedName name="PRU\02p02p03p00s01" localSheetId="32">'[1]Prices List'!$E$147</definedName>
    <definedName name="PRU\02p02p03p00s01" localSheetId="7">#REF!</definedName>
    <definedName name="PRU\02p02p03p00s01">#REF!</definedName>
    <definedName name="PRU\02p02p03p00s02" localSheetId="0">#REF!</definedName>
    <definedName name="PRU\02p02p03p00s02" localSheetId="32">'[1]Prices List'!$E$152</definedName>
    <definedName name="PRU\02p02p03p00s02" localSheetId="7">#REF!</definedName>
    <definedName name="PRU\02p02p03p00s02">#REF!</definedName>
    <definedName name="PRU\02p02p03p00s03" localSheetId="0">#REF!</definedName>
    <definedName name="PRU\02p02p03p00s03" localSheetId="32">'[1]Prices List'!$E$157</definedName>
    <definedName name="PRU\02p02p03p00s03" localSheetId="7">#REF!</definedName>
    <definedName name="PRU\02p02p03p00s03">#REF!</definedName>
    <definedName name="PRU\02p02p03p00s04" localSheetId="0">#REF!</definedName>
    <definedName name="PRU\02p02p03p00s04" localSheetId="32">'[1]Prices List'!$E$162</definedName>
    <definedName name="PRU\02p02p03p00s04" localSheetId="7">#REF!</definedName>
    <definedName name="PRU\02p02p03p00s04">#REF!</definedName>
    <definedName name="PRU\02p02p03p00s05" localSheetId="0">#REF!</definedName>
    <definedName name="PRU\02p02p03p00s05" localSheetId="32">'[1]Prices List'!$E$167</definedName>
    <definedName name="PRU\02p02p03p00s05" localSheetId="7">#REF!</definedName>
    <definedName name="PRU\02p02p03p00s05">#REF!</definedName>
    <definedName name="PRU\02p02p03p00s06" localSheetId="0">#REF!</definedName>
    <definedName name="PRU\02p02p03p00s06" localSheetId="32">'[1]Prices List'!$E$172</definedName>
    <definedName name="PRU\02p02p03p00s06" localSheetId="7">#REF!</definedName>
    <definedName name="PRU\02p02p03p00s06">#REF!</definedName>
    <definedName name="PRU\02p02p03p00s07" localSheetId="0">#REF!</definedName>
    <definedName name="PRU\02p02p03p00s07" localSheetId="32">'[1]Prices List'!$E$177</definedName>
    <definedName name="PRU\02p02p03p00s07" localSheetId="7">#REF!</definedName>
    <definedName name="PRU\02p02p03p00s07">#REF!</definedName>
    <definedName name="PRU\02p02p03p00s08" localSheetId="0">#REF!</definedName>
    <definedName name="PRU\02p02p03p00s08" localSheetId="32">'[1]Prices List'!$E$182</definedName>
    <definedName name="PRU\02p02p03p00s08" localSheetId="7">#REF!</definedName>
    <definedName name="PRU\02p02p03p00s08">#REF!</definedName>
    <definedName name="PRU\02p02p03p00s09" localSheetId="0">#REF!</definedName>
    <definedName name="PRU\02p02p03p00s09" localSheetId="32">'[1]Prices List'!$E$187</definedName>
    <definedName name="PRU\02p02p03p00s09" localSheetId="7">#REF!</definedName>
    <definedName name="PRU\02p02p03p00s09">#REF!</definedName>
    <definedName name="PRU\02p02p03p00s10" localSheetId="0">#REF!</definedName>
    <definedName name="PRU\02p02p03p00s10" localSheetId="32">'[1]Prices List'!$E$192</definedName>
    <definedName name="PRU\02p02p03p00s10" localSheetId="7">#REF!</definedName>
    <definedName name="PRU\02p02p03p00s10">#REF!</definedName>
    <definedName name="PRU\02p02p03p00s11" localSheetId="0">#REF!</definedName>
    <definedName name="PRU\02p02p03p00s11" localSheetId="32">'[1]Prices List'!$E$197</definedName>
    <definedName name="PRU\02p02p03p00s11" localSheetId="7">#REF!</definedName>
    <definedName name="PRU\02p02p03p00s11">#REF!</definedName>
    <definedName name="PRU\02p02p03p00s12" localSheetId="0">#REF!</definedName>
    <definedName name="PRU\02p02p03p00s12" localSheetId="32">'[1]Prices List'!$E$202</definedName>
    <definedName name="PRU\02p02p03p00s12" localSheetId="7">#REF!</definedName>
    <definedName name="PRU\02p02p03p00s12">#REF!</definedName>
    <definedName name="PRU\02p02p04p00s01" localSheetId="0">#REF!</definedName>
    <definedName name="PRU\02p02p04p00s01" localSheetId="32">'[1]Prices List'!$E$208</definedName>
    <definedName name="PRU\02p02p04p00s01" localSheetId="7">#REF!</definedName>
    <definedName name="PRU\02p02p04p00s01">#REF!</definedName>
    <definedName name="PRU\02p02p04p00s02" localSheetId="0">#REF!</definedName>
    <definedName name="PRU\02p02p04p00s02" localSheetId="32">'[1]Prices List'!$E$213</definedName>
    <definedName name="PRU\02p02p04p00s02" localSheetId="7">#REF!</definedName>
    <definedName name="PRU\02p02p04p00s02">#REF!</definedName>
    <definedName name="PRU\02p02p05p00sA1" localSheetId="0">#REF!</definedName>
    <definedName name="PRU\02p02p05p00sA1" localSheetId="32">'[1]Prices List'!$E$219</definedName>
    <definedName name="PRU\02p02p05p00sA1" localSheetId="7">#REF!</definedName>
    <definedName name="PRU\02p02p05p00sA1">#REF!</definedName>
    <definedName name="PRU\02p02p06p00sA1" localSheetId="0">#REF!</definedName>
    <definedName name="PRU\02p02p06p00sA1" localSheetId="32">'[1]Prices List'!$E$225</definedName>
    <definedName name="PRU\02p02p06p00sA1" localSheetId="7">#REF!</definedName>
    <definedName name="PRU\02p02p06p00sA1">#REF!</definedName>
    <definedName name="PRU\02p02p06p00sA2" localSheetId="0">#REF!</definedName>
    <definedName name="PRU\02p02p06p00sA2" localSheetId="32">'[1]Prices List'!$E$230</definedName>
    <definedName name="PRU\02p02p06p00sA2" localSheetId="7">#REF!</definedName>
    <definedName name="PRU\02p02p06p00sA2">#REF!</definedName>
    <definedName name="PRU\02p02p07p00sA1" localSheetId="0">#REF!</definedName>
    <definedName name="PRU\02p02p07p00sA1" localSheetId="32">'[1]Prices List'!$E$236</definedName>
    <definedName name="PRU\02p02p07p00sA1" localSheetId="7">#REF!</definedName>
    <definedName name="PRU\02p02p07p00sA1">#REF!</definedName>
    <definedName name="PRU\02p02p07p00sA2" localSheetId="0">#REF!</definedName>
    <definedName name="PRU\02p02p07p00sA2" localSheetId="32">'[1]Prices List'!$E$241</definedName>
    <definedName name="PRU\02p02p07p00sA2" localSheetId="7">#REF!</definedName>
    <definedName name="PRU\02p02p07p00sA2">#REF!</definedName>
    <definedName name="PRU\02p02p08p00sA1" localSheetId="0">#REF!</definedName>
    <definedName name="PRU\02p02p08p00sA1" localSheetId="32">'[1]Prices List'!$E$247</definedName>
    <definedName name="PRU\02p02p08p00sA1" localSheetId="7">#REF!</definedName>
    <definedName name="PRU\02p02p08p00sA1">#REF!</definedName>
    <definedName name="PRU\02p03p00p00s01" localSheetId="0">#REF!</definedName>
    <definedName name="PRU\02p03p00p00s01" localSheetId="32">'[1]Prices List'!$E$253</definedName>
    <definedName name="PRU\02p03p00p00s01" localSheetId="7">#REF!</definedName>
    <definedName name="PRU\02p03p00p00s01">#REF!</definedName>
    <definedName name="PRU\02p03p00p00s02" localSheetId="0">#REF!</definedName>
    <definedName name="PRU\02p03p00p00s02" localSheetId="32">'[1]Prices List'!$E$258</definedName>
    <definedName name="PRU\02p03p00p00s02" localSheetId="7">#REF!</definedName>
    <definedName name="PRU\02p03p00p00s02">#REF!</definedName>
    <definedName name="PRU\02p03p00p00s03" localSheetId="0">#REF!</definedName>
    <definedName name="PRU\02p03p00p00s03" localSheetId="32">'[1]Prices List'!$E$263</definedName>
    <definedName name="PRU\02p03p00p00s03" localSheetId="7">#REF!</definedName>
    <definedName name="PRU\02p03p00p00s03">#REF!</definedName>
    <definedName name="PRU\02p03p00p00s04" localSheetId="0">#REF!</definedName>
    <definedName name="PRU\02p03p00p00s04" localSheetId="32">'[1]Prices List'!$E$268</definedName>
    <definedName name="PRU\02p03p00p00s04" localSheetId="7">#REF!</definedName>
    <definedName name="PRU\02p03p00p00s04">#REF!</definedName>
    <definedName name="PRU\02p05p01p00s04" localSheetId="0">#REF!</definedName>
    <definedName name="PRU\02p05p01p00s04" localSheetId="32">'[1]Prices List'!$E$275</definedName>
    <definedName name="PRU\02p05p01p00s04" localSheetId="7">#REF!</definedName>
    <definedName name="PRU\02p05p01p00s04">#REF!</definedName>
    <definedName name="PRU\02p05p01p00s05" localSheetId="0">#REF!</definedName>
    <definedName name="PRU\02p05p01p00s05" localSheetId="32">'[1]Prices List'!$E$280</definedName>
    <definedName name="PRU\02p05p01p00s05" localSheetId="7">#REF!</definedName>
    <definedName name="PRU\02p05p01p00s05">#REF!</definedName>
    <definedName name="PRU\02p05p01p00s06" localSheetId="0">#REF!</definedName>
    <definedName name="PRU\02p05p01p00s06" localSheetId="32">'[1]Prices List'!$E$285</definedName>
    <definedName name="PRU\02p05p01p00s06" localSheetId="7">#REF!</definedName>
    <definedName name="PRU\02p05p01p00s06">#REF!</definedName>
    <definedName name="PRU\02p05p01p00s07" localSheetId="0">#REF!</definedName>
    <definedName name="PRU\02p05p01p00s07" localSheetId="32">'[1]Prices List'!$E$290</definedName>
    <definedName name="PRU\02p05p01p00s07" localSheetId="7">#REF!</definedName>
    <definedName name="PRU\02p05p01p00s07">#REF!</definedName>
    <definedName name="PRU\02p05p02p00s01" localSheetId="7">#REF!</definedName>
    <definedName name="PRU\02p05p02p00s02" localSheetId="7">#REF!</definedName>
    <definedName name="PRU\02p05p02p00s04" localSheetId="0">#REF!</definedName>
    <definedName name="PRU\02p05p02p00s04" localSheetId="32">'[1]Prices List'!$E$296</definedName>
    <definedName name="PRU\02p05p02p00s04" localSheetId="7">#REF!</definedName>
    <definedName name="PRU\02p05p02p00s04">#REF!</definedName>
    <definedName name="PRU\02p05p02p00s06" localSheetId="0">#REF!</definedName>
    <definedName name="PRU\02p05p02p00s06" localSheetId="32">'[1]Prices List'!$E$301</definedName>
    <definedName name="PRU\02p05p02p00s06" localSheetId="7">#REF!</definedName>
    <definedName name="PRU\02p05p02p00s06">#REF!</definedName>
    <definedName name="PRU\02p06p00p00s01" localSheetId="0">#REF!</definedName>
    <definedName name="PRU\02p06p00p00s01" localSheetId="32">'[1]Prices List'!$E$307</definedName>
    <definedName name="PRU\02p06p00p00s01" localSheetId="7">#REF!</definedName>
    <definedName name="PRU\02p06p00p00s01">#REF!</definedName>
    <definedName name="PRU\02p07p00p00s01" localSheetId="0">#REF!</definedName>
    <definedName name="PRU\02p07p00p00s01" localSheetId="32">'[1]Prices List'!$E$313</definedName>
    <definedName name="PRU\02p07p00p00s01" localSheetId="7">#REF!</definedName>
    <definedName name="PRU\02p07p00p00s01">#REF!</definedName>
    <definedName name="PRU\02p07p00p00s02" localSheetId="0">#REF!</definedName>
    <definedName name="PRU\02p07p00p00s02" localSheetId="32">'[1]Prices List'!$E$318</definedName>
    <definedName name="PRU\02p07p00p00s02" localSheetId="7">#REF!</definedName>
    <definedName name="PRU\02p07p00p00s02">#REF!</definedName>
    <definedName name="PRU\02p07p00p00s03" localSheetId="7">#REF!</definedName>
    <definedName name="PRU\02p07p00p00s04" localSheetId="0">#REF!</definedName>
    <definedName name="PRU\02p07p00p00s04" localSheetId="32">'[1]Prices List'!$E$323</definedName>
    <definedName name="PRU\02p07p00p00s04" localSheetId="7">#REF!</definedName>
    <definedName name="PRU\02p07p00p00s04">#REF!</definedName>
    <definedName name="PRU\03p01p00p00s01" localSheetId="0">#REF!</definedName>
    <definedName name="PRU\03p01p00p00s01" localSheetId="32">'[1]Prices List'!$E$330</definedName>
    <definedName name="PRU\03p01p00p00s01" localSheetId="7">#REF!</definedName>
    <definedName name="PRU\03p01p00p00s01">#REF!</definedName>
    <definedName name="PRU\03p01p00p00s02" localSheetId="0">#REF!</definedName>
    <definedName name="PRU\03p01p00p00s02" localSheetId="32">'[1]Prices List'!$E$335</definedName>
    <definedName name="PRU\03p01p00p00s02" localSheetId="7">#REF!</definedName>
    <definedName name="PRU\03p01p00p00s02">#REF!</definedName>
    <definedName name="PRU\03p02p00p00s01" localSheetId="7">#REF!</definedName>
    <definedName name="PRU\03p03p00p00s01" localSheetId="0">#REF!</definedName>
    <definedName name="PRU\03p03p00p00s01" localSheetId="32">'[1]Prices List'!$E$341</definedName>
    <definedName name="PRU\03p03p00p00s01" localSheetId="7">#REF!</definedName>
    <definedName name="PRU\03p03p00p00s01">#REF!</definedName>
    <definedName name="PRU\03p03p00p00s02" localSheetId="7">#REF!</definedName>
    <definedName name="PRU\03p03p00p00s07" localSheetId="0">#REF!</definedName>
    <definedName name="PRU\03p03p00p00s07" localSheetId="32">'[1]Prices List'!$E$346</definedName>
    <definedName name="PRU\03p03p00p00s07" localSheetId="7">#REF!</definedName>
    <definedName name="PRU\03p03p00p00s07">#REF!</definedName>
    <definedName name="PRU\03p05p01p00s01" localSheetId="0">#REF!</definedName>
    <definedName name="PRU\03p05p01p00s01" localSheetId="32">'[1]Prices List'!$E$353</definedName>
    <definedName name="PRU\03p05p01p00s01" localSheetId="7">#REF!</definedName>
    <definedName name="PRU\03p05p01p00s01">#REF!</definedName>
    <definedName name="PRU\03p05p01p00s03" localSheetId="0">#REF!</definedName>
    <definedName name="PRU\03p05p01p00s03" localSheetId="32">'[1]Prices List'!$E$358</definedName>
    <definedName name="PRU\03p05p01p00s03" localSheetId="7">#REF!</definedName>
    <definedName name="PRU\03p05p01p00s03">#REF!</definedName>
    <definedName name="PRU\03p05p02p00s01" localSheetId="0">#REF!</definedName>
    <definedName name="PRU\03p05p02p00s01" localSheetId="32">'[1]Prices List'!$E$364</definedName>
    <definedName name="PRU\03p05p02p00s01" localSheetId="7">#REF!</definedName>
    <definedName name="PRU\03p05p02p00s01">#REF!</definedName>
    <definedName name="PRU\03p05p02p00s03" localSheetId="0">#REF!</definedName>
    <definedName name="PRU\03p05p02p00s03" localSheetId="32">'[1]Prices List'!$E$369</definedName>
    <definedName name="PRU\03p05p02p00s03" localSheetId="7">#REF!</definedName>
    <definedName name="PRU\03p05p02p00s03">#REF!</definedName>
    <definedName name="PRU\03p05p03p01s01" localSheetId="7">#REF!</definedName>
    <definedName name="PRU\03p05p03p01s02" localSheetId="7">#REF!</definedName>
    <definedName name="PRU\03p05p03p01s04" localSheetId="0">#REF!</definedName>
    <definedName name="PRU\03p05p03p01s04" localSheetId="32">'[1]Prices List'!$E$376</definedName>
    <definedName name="PRU\03p05p03p01s04" localSheetId="7">#REF!</definedName>
    <definedName name="PRU\03p05p03p01s04">#REF!</definedName>
    <definedName name="PRU\03p05p03p01s05" localSheetId="0">#REF!</definedName>
    <definedName name="PRU\03p05p03p01s05" localSheetId="32">'[1]Prices List'!$E$381</definedName>
    <definedName name="PRU\03p05p03p01s05" localSheetId="7">#REF!</definedName>
    <definedName name="PRU\03p05p03p01s05">#REF!</definedName>
    <definedName name="PRU\03p05p03p01s06" localSheetId="0">#REF!</definedName>
    <definedName name="PRU\03p05p03p01s06" localSheetId="32">'[1]Prices List'!$E$386</definedName>
    <definedName name="PRU\03p05p03p01s06" localSheetId="7">#REF!</definedName>
    <definedName name="PRU\03p05p03p01s06">#REF!</definedName>
    <definedName name="PRU\03p05p03p03s05" localSheetId="0">#REF!</definedName>
    <definedName name="PRU\03p05p03p03s05" localSheetId="32">'[1]Prices List'!$E$392</definedName>
    <definedName name="PRU\03p05p03p03s05" localSheetId="7">#REF!</definedName>
    <definedName name="PRU\03p05p03p03s05">#REF!</definedName>
    <definedName name="PRU\03p06p00p00s01" localSheetId="0">#REF!</definedName>
    <definedName name="PRU\03p06p00p00s01" localSheetId="32">'[1]Prices List'!$E$398</definedName>
    <definedName name="PRU\03p06p00p00s01" localSheetId="7">#REF!</definedName>
    <definedName name="PRU\03p06p00p00s01">#REF!</definedName>
    <definedName name="PRU\03p06p00p00s02" localSheetId="0">#REF!</definedName>
    <definedName name="PRU\03p06p00p00s02" localSheetId="32">'[1]Prices List'!$E$403</definedName>
    <definedName name="PRU\03p06p00p00s02" localSheetId="7">#REF!</definedName>
    <definedName name="PRU\03p06p00p00s02">#REF!</definedName>
    <definedName name="PRU\03p06p00p00s03" localSheetId="0">#REF!</definedName>
    <definedName name="PRU\03p06p00p00s03" localSheetId="32">'[1]Prices List'!$E$408</definedName>
    <definedName name="PRU\03p06p00p00s03" localSheetId="7">#REF!</definedName>
    <definedName name="PRU\03p06p00p00s03">#REF!</definedName>
    <definedName name="PRU\03p06p00p00s04" localSheetId="0">#REF!</definedName>
    <definedName name="PRU\03p06p00p00s04" localSheetId="32">'[1]Prices List'!$E$413</definedName>
    <definedName name="PRU\03p06p00p00s04" localSheetId="7">#REF!</definedName>
    <definedName name="PRU\03p06p00p00s04">#REF!</definedName>
    <definedName name="PRU\03p06p00p00s05" localSheetId="0">#REF!</definedName>
    <definedName name="PRU\03p06p00p00s05" localSheetId="32">'[1]Prices List'!$E$418</definedName>
    <definedName name="PRU\03p06p00p00s05" localSheetId="7">#REF!</definedName>
    <definedName name="PRU\03p06p00p00s05">#REF!</definedName>
    <definedName name="PRU\03p06p00p00s06" localSheetId="0">#REF!</definedName>
    <definedName name="PRU\03p06p00p00s06" localSheetId="32">'[1]Prices List'!$E$423</definedName>
    <definedName name="PRU\03p06p00p00s06" localSheetId="7">#REF!</definedName>
    <definedName name="PRU\03p06p00p00s06">#REF!</definedName>
    <definedName name="PRU\03p06p00p00s07" localSheetId="0">#REF!</definedName>
    <definedName name="PRU\03p06p00p00s07" localSheetId="32">'[1]Prices List'!$E$428</definedName>
    <definedName name="PRU\03p06p00p00s07" localSheetId="7">#REF!</definedName>
    <definedName name="PRU\03p06p00p00s07">#REF!</definedName>
    <definedName name="PRU\03p06p00p00s08" localSheetId="0">#REF!</definedName>
    <definedName name="PRU\03p06p00p00s08" localSheetId="32">'[1]Prices List'!$E$433</definedName>
    <definedName name="PRU\03p06p00p00s08" localSheetId="7">#REF!</definedName>
    <definedName name="PRU\03p06p00p00s08">#REF!</definedName>
    <definedName name="PRU\03p06p00p00s09" localSheetId="0">#REF!</definedName>
    <definedName name="PRU\03p06p00p00s09" localSheetId="32">'[1]Prices List'!$E$438</definedName>
    <definedName name="PRU\03p06p00p00s09" localSheetId="7">#REF!</definedName>
    <definedName name="PRU\03p06p00p00s09">#REF!</definedName>
    <definedName name="PRU\03p06p00p00s10" localSheetId="0">#REF!</definedName>
    <definedName name="PRU\03p06p00p00s10" localSheetId="32">'[1]Prices List'!$E$443</definedName>
    <definedName name="PRU\03p06p00p00s10" localSheetId="7">#REF!</definedName>
    <definedName name="PRU\03p06p00p00s10">#REF!</definedName>
    <definedName name="PRU\03p06p00p00s11" localSheetId="0">#REF!</definedName>
    <definedName name="PRU\03p06p00p00s11" localSheetId="32">'[1]Prices List'!$E$448</definedName>
    <definedName name="PRU\03p06p00p00s11" localSheetId="7">#REF!</definedName>
    <definedName name="PRU\03p06p00p00s11">#REF!</definedName>
    <definedName name="PRU\03p06p00p00s12" localSheetId="0">#REF!</definedName>
    <definedName name="PRU\03p06p00p00s12" localSheetId="32">'[1]Prices List'!$E$453</definedName>
    <definedName name="PRU\03p06p00p00s12" localSheetId="7">#REF!</definedName>
    <definedName name="PRU\03p06p00p00s12">#REF!</definedName>
    <definedName name="PRU\03p06p00p00s13" localSheetId="0">#REF!</definedName>
    <definedName name="PRU\03p06p00p00s13" localSheetId="32">'[1]Prices List'!$E$458</definedName>
    <definedName name="PRU\03p06p00p00s13" localSheetId="7">#REF!</definedName>
    <definedName name="PRU\03p06p00p00s13">#REF!</definedName>
    <definedName name="PRU\03p06p00p00s14" localSheetId="0">#REF!</definedName>
    <definedName name="PRU\03p06p00p00s14" localSheetId="32">'[1]Prices List'!$E$463</definedName>
    <definedName name="PRU\03p06p00p00s14" localSheetId="7">#REF!</definedName>
    <definedName name="PRU\03p06p00p00s14">#REF!</definedName>
    <definedName name="PRU\03p06p00p00s15" localSheetId="0">#REF!</definedName>
    <definedName name="PRU\03p06p00p00s15" localSheetId="32">'[1]Prices List'!$E$468</definedName>
    <definedName name="PRU\03p06p00p00s15" localSheetId="7">#REF!</definedName>
    <definedName name="PRU\03p06p00p00s15">#REF!</definedName>
    <definedName name="PRU\03p06p00p00s16" localSheetId="0">#REF!</definedName>
    <definedName name="PRU\03p06p00p00s16" localSheetId="32">'[1]Prices List'!$E$473</definedName>
    <definedName name="PRU\03p06p00p00s16" localSheetId="7">#REF!</definedName>
    <definedName name="PRU\03p06p00p00s16">#REF!</definedName>
    <definedName name="PRU\03p06p00p00s17" localSheetId="7">#REF!</definedName>
    <definedName name="PRU\04p01p00p00s01" localSheetId="0">#REF!</definedName>
    <definedName name="PRU\04p01p00p00s01" localSheetId="32">'[1]Prices List'!$E$484</definedName>
    <definedName name="PRU\04p01p00p00s01" localSheetId="7">#REF!</definedName>
    <definedName name="PRU\04p01p00p00s01">#REF!</definedName>
    <definedName name="PRU\04p01p00p00s02" localSheetId="0">#REF!</definedName>
    <definedName name="PRU\04p01p00p00s02" localSheetId="32">'[1]Prices List'!$E$489</definedName>
    <definedName name="PRU\04p01p00p00s02" localSheetId="7">#REF!</definedName>
    <definedName name="PRU\04p01p00p00s02">#REF!</definedName>
    <definedName name="PRU\04p02p00p00s01" localSheetId="7">#REF!</definedName>
    <definedName name="PRU\04p02p00p00s03" localSheetId="7">#REF!</definedName>
    <definedName name="PRU\04p02p00p00s04" localSheetId="0">#REF!</definedName>
    <definedName name="PRU\04p02p00p00s04" localSheetId="32">'[1]Prices List'!$E$495</definedName>
    <definedName name="PRU\04p02p00p00s04" localSheetId="7">#REF!</definedName>
    <definedName name="PRU\04p02p00p00s04">#REF!</definedName>
    <definedName name="PRU\04p02p00p00s06" localSheetId="0">#REF!</definedName>
    <definedName name="PRU\04p02p00p00s06" localSheetId="32">'[1]Prices List'!$E$500</definedName>
    <definedName name="PRU\04p02p00p00s06" localSheetId="7">#REF!</definedName>
    <definedName name="PRU\04p02p00p00s06">#REF!</definedName>
    <definedName name="PRU\04p02p01p00s01" localSheetId="0">#REF!</definedName>
    <definedName name="PRU\04p02p01p00s01" localSheetId="32">'[1]Prices List'!$E$506</definedName>
    <definedName name="PRU\04p02p01p00s01" localSheetId="7">#REF!</definedName>
    <definedName name="PRU\04p02p01p00s01">#REF!</definedName>
    <definedName name="PRU\04p02p01p00s03" localSheetId="0">#REF!</definedName>
    <definedName name="PRU\04p02p01p00s03" localSheetId="32">'[1]Prices List'!$E$511</definedName>
    <definedName name="PRU\04p02p01p00s03" localSheetId="7">#REF!</definedName>
    <definedName name="PRU\04p02p01p00s03">#REF!</definedName>
    <definedName name="PRU\04p02p02p00s01" localSheetId="0">#REF!</definedName>
    <definedName name="PRU\04p02p02p00s01" localSheetId="32">'[1]Prices List'!$E$517</definedName>
    <definedName name="PRU\04p02p02p00s01" localSheetId="7">#REF!</definedName>
    <definedName name="PRU\04p02p02p00s01">#REF!</definedName>
    <definedName name="PRU\04p02p02p00s03" localSheetId="0">#REF!</definedName>
    <definedName name="PRU\04p02p02p00s03" localSheetId="32">'[1]Prices List'!$E$522</definedName>
    <definedName name="PRU\04p02p02p00s03" localSheetId="7">#REF!</definedName>
    <definedName name="PRU\04p02p02p00s03">#REF!</definedName>
    <definedName name="PRU\04p04p00p00s04" localSheetId="0">#REF!</definedName>
    <definedName name="PRU\04p04p00p00s04" localSheetId="32">'[1]Prices List'!$E$528</definedName>
    <definedName name="PRU\04p04p00p00s04" localSheetId="7">#REF!</definedName>
    <definedName name="PRU\04p04p00p00s04">#REF!</definedName>
    <definedName name="PRU\04p04p00p00s05" localSheetId="0">#REF!</definedName>
    <definedName name="PRU\04p04p00p00s05" localSheetId="32">'[1]Prices List'!$E$533</definedName>
    <definedName name="PRU\04p04p00p00s05" localSheetId="7">#REF!</definedName>
    <definedName name="PRU\04p04p00p00s05">#REF!</definedName>
    <definedName name="PRU\04p04p00p00s06" localSheetId="0">#REF!</definedName>
    <definedName name="PRU\04p04p00p00s06" localSheetId="32">'[1]Prices List'!$E$538</definedName>
    <definedName name="PRU\04p04p00p00s06" localSheetId="7">#REF!</definedName>
    <definedName name="PRU\04p04p00p00s06">#REF!</definedName>
    <definedName name="PRU\04p04p00p00s07" localSheetId="0">#REF!</definedName>
    <definedName name="PRU\04p04p00p00s07" localSheetId="32">'[1]Prices List'!$E$543</definedName>
    <definedName name="PRU\04p04p00p00s07" localSheetId="7">#REF!</definedName>
    <definedName name="PRU\04p04p00p00s07">#REF!</definedName>
    <definedName name="PRU\04p04p00p00s08" localSheetId="0">#REF!</definedName>
    <definedName name="PRU\04p04p00p00s08" localSheetId="32">'[1]Prices List'!$E$548</definedName>
    <definedName name="PRU\04p04p00p00s08" localSheetId="7">#REF!</definedName>
    <definedName name="PRU\04p04p00p00s08">#REF!</definedName>
    <definedName name="PRU\04p04p00p00s09" localSheetId="0">#REF!</definedName>
    <definedName name="PRU\04p04p00p00s09" localSheetId="32">'[1]Prices List'!$E$553</definedName>
    <definedName name="PRU\04p04p00p00s09" localSheetId="7">#REF!</definedName>
    <definedName name="PRU\04p04p00p00s09">#REF!</definedName>
    <definedName name="PRU\04p04p00p00s10" localSheetId="0">#REF!</definedName>
    <definedName name="PRU\04p04p00p00s10" localSheetId="32">'[1]Prices List'!$E$558</definedName>
    <definedName name="PRU\04p04p00p00s10" localSheetId="7">#REF!</definedName>
    <definedName name="PRU\04p04p00p00s10">#REF!</definedName>
    <definedName name="PRU\04p04p00p00s11" localSheetId="0">#REF!</definedName>
    <definedName name="PRU\04p04p00p00s11" localSheetId="32">'[1]Prices List'!$E$563</definedName>
    <definedName name="PRU\04p04p00p00s11" localSheetId="7">#REF!</definedName>
    <definedName name="PRU\04p04p00p00s11">#REF!</definedName>
    <definedName name="PRU\04p04p00p00s12" localSheetId="0">#REF!</definedName>
    <definedName name="PRU\04p04p00p00s12" localSheetId="32">'[1]Prices List'!$E$568</definedName>
    <definedName name="PRU\04p04p00p00s12" localSheetId="7">#REF!</definedName>
    <definedName name="PRU\04p04p00p00s12">#REF!</definedName>
    <definedName name="PRU\04p04p00p00s13" localSheetId="0">#REF!</definedName>
    <definedName name="PRU\04p04p00p00s13" localSheetId="32">'[1]Prices List'!$E$573</definedName>
    <definedName name="PRU\04p04p00p00s13" localSheetId="7">#REF!</definedName>
    <definedName name="PRU\04p04p00p00s13">#REF!</definedName>
    <definedName name="PRU\05p01p01p00s04" localSheetId="0">#REF!</definedName>
    <definedName name="PRU\05p01p01p00s04" localSheetId="32">'[1]Prices List'!$E$581</definedName>
    <definedName name="PRU\05p01p01p00s04" localSheetId="7">#REF!</definedName>
    <definedName name="PRU\05p01p01p00s04">#REF!</definedName>
    <definedName name="PRU\05p01p02p00s04" localSheetId="0">#REF!</definedName>
    <definedName name="PRU\05p01p02p00s04" localSheetId="32">'[1]Prices List'!$E$587</definedName>
    <definedName name="PRU\05p01p02p00s04" localSheetId="7">#REF!</definedName>
    <definedName name="PRU\05p01p02p00s04">#REF!</definedName>
    <definedName name="PRU\05p01p03p00s02" localSheetId="7">#REF!</definedName>
    <definedName name="PRU\05p01p03p00s04" localSheetId="0">#REF!</definedName>
    <definedName name="PRU\05p01p03p00s04" localSheetId="32">'[1]Prices List'!$E$593</definedName>
    <definedName name="PRU\05p01p03p00s04" localSheetId="7">#REF!</definedName>
    <definedName name="PRU\05p01p03p00s04">#REF!</definedName>
    <definedName name="PRU\05p01p03p00s05" localSheetId="0">#REF!</definedName>
    <definedName name="PRU\05p01p03p00s05" localSheetId="32">'[1]Prices List'!$E$598</definedName>
    <definedName name="PRU\05p01p03p00s05" localSheetId="7">#REF!</definedName>
    <definedName name="PRU\05p01p03p00s05">#REF!</definedName>
    <definedName name="PRU\05p01p04p00s03" localSheetId="7">#REF!</definedName>
    <definedName name="PRU\05p01p04p00s04" localSheetId="0">#REF!</definedName>
    <definedName name="PRU\05p01p04p00s04" localSheetId="32">'[1]Prices List'!$E$604</definedName>
    <definedName name="PRU\05p01p04p00s04" localSheetId="7">#REF!</definedName>
    <definedName name="PRU\05p01p04p00s04">#REF!</definedName>
    <definedName name="PRU\05p01p04p00s05" localSheetId="0">#REF!</definedName>
    <definedName name="PRU\05p01p04p00s05" localSheetId="32">'[1]Prices List'!$E$609</definedName>
    <definedName name="PRU\05p01p04p00s05" localSheetId="7">#REF!</definedName>
    <definedName name="PRU\05p01p04p00s05">#REF!</definedName>
    <definedName name="PRU\05p01p05p00s02" localSheetId="7">#REF!</definedName>
    <definedName name="PRU\05p01p05p00s03" localSheetId="7">#REF!</definedName>
    <definedName name="PRU\05p01p05p00s04" localSheetId="0">#REF!</definedName>
    <definedName name="PRU\05p01p05p00s04" localSheetId="32">'[1]Prices List'!$E$615</definedName>
    <definedName name="PRU\05p01p05p00s04" localSheetId="7">#REF!</definedName>
    <definedName name="PRU\05p01p05p00s04">#REF!</definedName>
    <definedName name="PRU\05p02p00p00s04" localSheetId="0">#REF!</definedName>
    <definedName name="PRU\05p02p00p00s04" localSheetId="32">'[1]Prices List'!$E$621</definedName>
    <definedName name="PRU\05p02p00p00s04" localSheetId="7">#REF!</definedName>
    <definedName name="PRU\05p02p00p00s04">#REF!</definedName>
    <definedName name="PRU\05p03p00p00s04" localSheetId="0">#REF!</definedName>
    <definedName name="PRU\05p03p00p00s04" localSheetId="32">'[1]Prices List'!$E$627</definedName>
    <definedName name="PRU\05p03p00p00s04" localSheetId="7">#REF!</definedName>
    <definedName name="PRU\05p03p00p00s04">#REF!</definedName>
    <definedName name="PRU\05p05p00p00s04" localSheetId="0">#REF!</definedName>
    <definedName name="PRU\05p05p00p00s04" localSheetId="32">'[1]Prices List'!$E$633</definedName>
    <definedName name="PRU\05p05p00p00s04" localSheetId="7">#REF!</definedName>
    <definedName name="PRU\05p05p00p00s04">#REF!</definedName>
    <definedName name="PRU\06p03p00p00s01" localSheetId="0">#REF!</definedName>
    <definedName name="PRU\06p03p00p00s01" localSheetId="32">'[1]Prices List'!$E$640</definedName>
    <definedName name="PRU\06p03p00p00s01" localSheetId="7">#REF!</definedName>
    <definedName name="PRU\06p03p00p00s01">#REF!</definedName>
    <definedName name="PRU\06p03p01p00s05" localSheetId="0">#REF!</definedName>
    <definedName name="PRU\06p03p01p00s05" localSheetId="32">'[1]Prices List'!$E$645</definedName>
    <definedName name="PRU\06p03p01p00s05" localSheetId="7">#REF!</definedName>
    <definedName name="PRU\06p03p01p00s05">#REF!</definedName>
    <definedName name="PRU\06p03p01p00s06" localSheetId="0">#REF!</definedName>
    <definedName name="PRU\06p03p01p00s06" localSheetId="32">'[1]Prices List'!$E$650</definedName>
    <definedName name="PRU\06p03p01p00s06" localSheetId="7">#REF!</definedName>
    <definedName name="PRU\06p03p01p00s06">#REF!</definedName>
    <definedName name="PRU\06p03p01p00s07" localSheetId="0">#REF!</definedName>
    <definedName name="PRU\06p03p01p00s07" localSheetId="32">'[1]Prices List'!$E$655</definedName>
    <definedName name="PRU\06p03p01p00s07" localSheetId="7">#REF!</definedName>
    <definedName name="PRU\06p03p01p00s07">#REF!</definedName>
    <definedName name="PRU\06p03p01p00s08" localSheetId="0">#REF!</definedName>
    <definedName name="PRU\06p03p01p00s08" localSheetId="32">'[1]Prices List'!$E$660</definedName>
    <definedName name="PRU\06p03p01p00s08" localSheetId="7">#REF!</definedName>
    <definedName name="PRU\06p03p01p00s08">#REF!</definedName>
    <definedName name="PRU\06p03p01p00sA2" localSheetId="0">#REF!</definedName>
    <definedName name="PRU\06p03p01p00sA2" localSheetId="32">'[1]Prices List'!$E$665</definedName>
    <definedName name="PRU\06p03p01p00sA2" localSheetId="7">#REF!</definedName>
    <definedName name="PRU\06p03p01p00sA2">#REF!</definedName>
    <definedName name="PRU\06p03p03p01s01" localSheetId="0">#REF!</definedName>
    <definedName name="PRU\06p03p03p01s01" localSheetId="32">'[1]Prices List'!$E$672</definedName>
    <definedName name="PRU\06p03p03p01s01" localSheetId="7">#REF!</definedName>
    <definedName name="PRU\06p03p03p01s01">#REF!</definedName>
    <definedName name="PRU\07p02p01p00s01" localSheetId="7">#REF!</definedName>
    <definedName name="PRU\07p03p02p00s01" localSheetId="0">#REF!</definedName>
    <definedName name="PRU\07p03p02p00s01" localSheetId="32">'[1]Prices List'!$E$680</definedName>
    <definedName name="PRU\07p03p02p00s01" localSheetId="7">#REF!</definedName>
    <definedName name="PRU\07p03p02p00s01">#REF!</definedName>
    <definedName name="PRU\07p03p02p00s02" localSheetId="0">#REF!</definedName>
    <definedName name="PRU\07p03p02p00s02" localSheetId="32">'[1]Prices List'!$E$685</definedName>
    <definedName name="PRU\07p03p02p00s02" localSheetId="7">#REF!</definedName>
    <definedName name="PRU\07p03p02p00s02">#REF!</definedName>
    <definedName name="PRU\07p03p03p00s01" localSheetId="7">#REF!</definedName>
    <definedName name="PRU\07p04p01p00s01" localSheetId="0">#REF!</definedName>
    <definedName name="PRU\07p04p01p00s01" localSheetId="32">'[1]Prices List'!$E$692</definedName>
    <definedName name="PRU\07p04p01p00s01" localSheetId="7">#REF!</definedName>
    <definedName name="PRU\07p04p01p00s01">#REF!</definedName>
    <definedName name="PRU\07p04p01p00s02" localSheetId="0">#REF!</definedName>
    <definedName name="PRU\07p04p01p00s02" localSheetId="32">'[1]Prices List'!$E$697</definedName>
    <definedName name="PRU\07p04p01p00s02" localSheetId="7">#REF!</definedName>
    <definedName name="PRU\07p04p01p00s02">#REF!</definedName>
    <definedName name="PRU\07p04p01p00s04" localSheetId="0">#REF!</definedName>
    <definedName name="PRU\07p04p01p00s04" localSheetId="32">'[1]Prices List'!$E$702</definedName>
    <definedName name="PRU\07p04p01p00s04" localSheetId="7">#REF!</definedName>
    <definedName name="PRU\07p04p01p00s04">#REF!</definedName>
    <definedName name="PRU\07p04p01p00s05" localSheetId="0">#REF!</definedName>
    <definedName name="PRU\07p04p01p00s05" localSheetId="32">'[1]Prices List'!$E$707</definedName>
    <definedName name="PRU\07p04p01p00s05" localSheetId="7">#REF!</definedName>
    <definedName name="PRU\07p04p01p00s05">#REF!</definedName>
    <definedName name="PRU\07p04p01p00s06" localSheetId="0">#REF!</definedName>
    <definedName name="PRU\07p04p01p00s06" localSheetId="32">'[1]Prices List'!$E$712</definedName>
    <definedName name="PRU\07p04p01p00s06" localSheetId="7">#REF!</definedName>
    <definedName name="PRU\07p04p01p00s06">#REF!</definedName>
    <definedName name="PRU\07p04p01p00s06A" localSheetId="0">#REF!</definedName>
    <definedName name="PRU\07p04p01p00s06A" localSheetId="32">'[1]Prices List'!$E$717</definedName>
    <definedName name="PRU\07p04p01p00s06A" localSheetId="7">#REF!</definedName>
    <definedName name="PRU\07p04p01p00s06A">#REF!</definedName>
    <definedName name="PRU\07p04p01p00s07" localSheetId="0">#REF!</definedName>
    <definedName name="PRU\07p04p01p00s07" localSheetId="32">'[1]Prices List'!$E$722</definedName>
    <definedName name="PRU\07p04p01p00s07" localSheetId="7">#REF!</definedName>
    <definedName name="PRU\07p04p01p00s07">#REF!</definedName>
    <definedName name="PRU\07p04p01p00s07A" localSheetId="0">#REF!</definedName>
    <definedName name="PRU\07p04p01p00s07A" localSheetId="32">'[1]Prices List'!$E$727</definedName>
    <definedName name="PRU\07p04p01p00s07A" localSheetId="7">#REF!</definedName>
    <definedName name="PRU\07p04p01p00s07A">#REF!</definedName>
    <definedName name="PRU\07p04p01p00s08" localSheetId="0">#REF!</definedName>
    <definedName name="PRU\07p04p01p00s08" localSheetId="32">'[1]Prices List'!$E$732</definedName>
    <definedName name="PRU\07p04p01p00s08" localSheetId="7">#REF!</definedName>
    <definedName name="PRU\07p04p01p00s08">#REF!</definedName>
    <definedName name="PRU\07p04p01p00s09" localSheetId="0">#REF!</definedName>
    <definedName name="PRU\07p04p01p00s09" localSheetId="32">'[1]Prices List'!$E$737</definedName>
    <definedName name="PRU\07p04p01p00s09" localSheetId="7">#REF!</definedName>
    <definedName name="PRU\07p04p01p00s09">#REF!</definedName>
    <definedName name="PRU\07p04p01p00s09A" localSheetId="0">#REF!</definedName>
    <definedName name="PRU\07p04p01p00s09A" localSheetId="32">'[1]Prices List'!$E$742</definedName>
    <definedName name="PRU\07p04p01p00s09A" localSheetId="7">#REF!</definedName>
    <definedName name="PRU\07p04p01p00s09A">#REF!</definedName>
    <definedName name="PRU\07p04p01p00s09B" localSheetId="0">#REF!</definedName>
    <definedName name="PRU\07p04p01p00s09B" localSheetId="32">'[1]Prices List'!$E$747</definedName>
    <definedName name="PRU\07p04p01p00s09B" localSheetId="7">#REF!</definedName>
    <definedName name="PRU\07p04p01p00s09B">#REF!</definedName>
    <definedName name="PRU\07p04p01p00s09C" localSheetId="0">#REF!</definedName>
    <definedName name="PRU\07p04p01p00s09C" localSheetId="32">'[1]Prices List'!$E$752</definedName>
    <definedName name="PRU\07p04p01p00s09C" localSheetId="7">#REF!</definedName>
    <definedName name="PRU\07p04p01p00s09C">#REF!</definedName>
    <definedName name="PRU\07p04p01p00s09D" localSheetId="0">#REF!</definedName>
    <definedName name="PRU\07p04p01p00s09D" localSheetId="32">'[1]Prices List'!$E$757</definedName>
    <definedName name="PRU\07p04p01p00s09D" localSheetId="7">#REF!</definedName>
    <definedName name="PRU\07p04p01p00s09D">#REF!</definedName>
    <definedName name="PRU\07p04p03p00s01" localSheetId="0">#REF!</definedName>
    <definedName name="PRU\07p04p03p00s01" localSheetId="32">'[1]Prices List'!$E$763</definedName>
    <definedName name="PRU\07p04p03p00s01" localSheetId="7">#REF!</definedName>
    <definedName name="PRU\07p04p03p00s01">#REF!</definedName>
    <definedName name="PRU\07p04p03p00s02" localSheetId="0">#REF!</definedName>
    <definedName name="PRU\07p04p03p00s02" localSheetId="32">'[1]Prices List'!$E$768</definedName>
    <definedName name="PRU\07p04p03p00s02" localSheetId="7">#REF!</definedName>
    <definedName name="PRU\07p04p03p00s02">#REF!</definedName>
    <definedName name="PRU\08p01p00p00s01" localSheetId="0">#REF!</definedName>
    <definedName name="PRU\08p01p00p00s01" localSheetId="32">'[1]Prices List'!$E$775</definedName>
    <definedName name="PRU\08p01p00p00s01" localSheetId="7">#REF!</definedName>
    <definedName name="PRU\08p01p00p00s01">#REF!</definedName>
    <definedName name="PRU\08p02p00p00s01" localSheetId="0">#REF!</definedName>
    <definedName name="PRU\08p02p00p00s01" localSheetId="32">'[1]Prices List'!#REF!</definedName>
    <definedName name="PRU\08p02p00p00s01" localSheetId="7">#REF!</definedName>
    <definedName name="PRU\08p02p00p00s01">#REF!</definedName>
    <definedName name="PRU\08p02p00p00s02" localSheetId="7">#REF!</definedName>
    <definedName name="PRU\08p02p00p00s03" localSheetId="7">#REF!</definedName>
    <definedName name="PRU\08p02p00p00s05" localSheetId="0">#REF!</definedName>
    <definedName name="PRU\08p02p00p00s05" localSheetId="32">'[1]Prices List'!#REF!</definedName>
    <definedName name="PRU\08p02p00p00s05" localSheetId="7">#REF!</definedName>
    <definedName name="PRU\08p02p00p00s05">#REF!</definedName>
    <definedName name="PRU\08p02p00p00s06" localSheetId="7">#REF!</definedName>
    <definedName name="PRU\08p02p00p00s09" localSheetId="0">#REF!</definedName>
    <definedName name="PRU\08p02p00p00s09" localSheetId="32">'[1]Prices List'!$E$781</definedName>
    <definedName name="PRU\08p02p00p00s09" localSheetId="7">#REF!</definedName>
    <definedName name="PRU\08p02p00p00s09">#REF!</definedName>
    <definedName name="PRU\08p02p00p00s10" localSheetId="0">#REF!</definedName>
    <definedName name="PRU\08p02p00p00s10" localSheetId="32">'[1]Prices List'!#REF!</definedName>
    <definedName name="PRU\08p02p00p00s10" localSheetId="7">#REF!</definedName>
    <definedName name="PRU\08p02p00p00s10">#REF!</definedName>
    <definedName name="PRU\08p02p00p00s11" localSheetId="0">#REF!</definedName>
    <definedName name="PRU\08p02p00p00s11" localSheetId="32">'[1]Prices List'!$E$786</definedName>
    <definedName name="PRU\08p02p00p00s11" localSheetId="7">#REF!</definedName>
    <definedName name="PRU\08p02p00p00s11">#REF!</definedName>
    <definedName name="PRU\08p02p00p01sA1" localSheetId="0">#REF!</definedName>
    <definedName name="PRU\08p02p00p01sA1" localSheetId="32">'[1]Prices List'!$E$792</definedName>
    <definedName name="PRU\08p02p00p01sA1" localSheetId="7">#REF!</definedName>
    <definedName name="PRU\08p02p00p01sA1">#REF!</definedName>
    <definedName name="PRU\08p03p01p00s01" localSheetId="0">#REF!</definedName>
    <definedName name="PRU\08p03p01p00s01" localSheetId="32">'[1]Prices List'!$E$799</definedName>
    <definedName name="PRU\08p03p01p00s01" localSheetId="7">#REF!</definedName>
    <definedName name="PRU\08p03p01p00s01">#REF!</definedName>
    <definedName name="PRU\08p03p02p00s01" localSheetId="7">#REF!</definedName>
    <definedName name="PRU\08p04p00p00s01" localSheetId="0">#REF!</definedName>
    <definedName name="PRU\08p04p00p00s01" localSheetId="32">'[1]Prices List'!$E$805</definedName>
    <definedName name="PRU\08p04p00p00s01" localSheetId="7">#REF!</definedName>
    <definedName name="PRU\08p04p00p00s01">#REF!</definedName>
    <definedName name="PRU\08p04p00p00s02" localSheetId="7">#REF!</definedName>
    <definedName name="PRU\08p04p00p00s03" localSheetId="0">#REF!</definedName>
    <definedName name="PRU\08p04p00p00s03" localSheetId="32">'[1]Prices List'!$E$810</definedName>
    <definedName name="PRU\08p04p00p00s03" localSheetId="7">#REF!</definedName>
    <definedName name="PRU\08p04p00p00s03">#REF!</definedName>
    <definedName name="PRU\08p05p00p00s01" localSheetId="0">#REF!</definedName>
    <definedName name="PRU\08p05p00p00s01" localSheetId="32">'[1]Prices List'!$E$816</definedName>
    <definedName name="PRU\08p05p00p00s01" localSheetId="7">#REF!</definedName>
    <definedName name="PRU\08p05p00p00s01">#REF!</definedName>
    <definedName name="PRU\08p05p00p00s02" localSheetId="0">#REF!</definedName>
    <definedName name="PRU\08p05p00p00s02" localSheetId="32">'[1]Prices List'!$E$821</definedName>
    <definedName name="PRU\08p05p00p00s02" localSheetId="7">#REF!</definedName>
    <definedName name="PRU\08p05p00p00s02">#REF!</definedName>
    <definedName name="PRU\08p05p00p00s03" localSheetId="0">#REF!</definedName>
    <definedName name="PRU\08p05p00p00s03" localSheetId="32">'[1]Prices List'!$E$826</definedName>
    <definedName name="PRU\08p05p00p00s03" localSheetId="7">#REF!</definedName>
    <definedName name="PRU\08p05p00p00s03">#REF!</definedName>
    <definedName name="PRU\08p05p00p00s04" localSheetId="0">#REF!</definedName>
    <definedName name="PRU\08p05p00p00s04" localSheetId="32">'[1]Prices List'!$E$831</definedName>
    <definedName name="PRU\08p05p00p00s04" localSheetId="7">#REF!</definedName>
    <definedName name="PRU\08p05p00p00s04">#REF!</definedName>
    <definedName name="PRU\08p05p00p00s05" localSheetId="0">#REF!</definedName>
    <definedName name="PRU\08p05p00p00s05" localSheetId="32">'[1]Prices List'!$E$836</definedName>
    <definedName name="PRU\08p05p00p00s05" localSheetId="7">#REF!</definedName>
    <definedName name="PRU\08p05p00p00s05">#REF!</definedName>
    <definedName name="PRU\08p05p00p00s06" localSheetId="0">#REF!</definedName>
    <definedName name="PRU\08p05p00p00s06" localSheetId="32">'[1]Prices List'!$E$841</definedName>
    <definedName name="PRU\08p05p00p00s06" localSheetId="7">#REF!</definedName>
    <definedName name="PRU\08p05p00p00s06">#REF!</definedName>
    <definedName name="PRU\08p05p00p00s07" localSheetId="0">#REF!</definedName>
    <definedName name="PRU\08p05p00p00s07" localSheetId="32">'[1]Prices List'!$E$846</definedName>
    <definedName name="PRU\08p05p00p00s07" localSheetId="7">#REF!</definedName>
    <definedName name="PRU\08p05p00p00s07">#REF!</definedName>
    <definedName name="PRU\08p05p00p00s08" localSheetId="0">#REF!</definedName>
    <definedName name="PRU\08p05p00p00s08" localSheetId="32">'[1]Prices List'!$E$851</definedName>
    <definedName name="PRU\08p05p00p00s08" localSheetId="7">#REF!</definedName>
    <definedName name="PRU\08p05p00p00s08">#REF!</definedName>
    <definedName name="PRU\08p05p00p00s09" localSheetId="0">#REF!</definedName>
    <definedName name="PRU\08p05p00p00s09" localSheetId="32">'[1]Prices List'!#REF!</definedName>
    <definedName name="PRU\08p05p00p00s09" localSheetId="7">#REF!</definedName>
    <definedName name="PRU\08p05p00p00s09">#REF!</definedName>
    <definedName name="PRU\08p05p01p01s01" localSheetId="0">#REF!</definedName>
    <definedName name="PRU\08p05p01p01s01" localSheetId="32">'[1]Prices List'!$E$859</definedName>
    <definedName name="PRU\08p05p01p01s01" localSheetId="7">#REF!</definedName>
    <definedName name="PRU\08p05p01p01s01">#REF!</definedName>
    <definedName name="PRU\08p05p01p01s02" localSheetId="0">#REF!</definedName>
    <definedName name="PRU\08p05p01p01s02" localSheetId="32">'[1]Prices List'!$E$864</definedName>
    <definedName name="PRU\08p05p01p01s02" localSheetId="7">#REF!</definedName>
    <definedName name="PRU\08p05p01p01s02">#REF!</definedName>
    <definedName name="PRU\08p05p01p02s01" localSheetId="0">#REF!</definedName>
    <definedName name="PRU\08p05p01p02s01" localSheetId="32">'[1]Prices List'!$E$870</definedName>
    <definedName name="PRU\08p05p01p02s01" localSheetId="7">#REF!</definedName>
    <definedName name="PRU\08p05p01p02s01">#REF!</definedName>
    <definedName name="PRU\08p05p01p02s02" localSheetId="0">#REF!</definedName>
    <definedName name="PRU\08p05p01p02s02" localSheetId="32">'[1]Prices List'!$E$875</definedName>
    <definedName name="PRU\08p05p01p02s02" localSheetId="7">#REF!</definedName>
    <definedName name="PRU\08p05p01p02s02">#REF!</definedName>
    <definedName name="PRU\08p05p01p03s01" localSheetId="0">#REF!</definedName>
    <definedName name="PRU\08p05p01p03s01" localSheetId="32">'[1]Prices List'!$E$881</definedName>
    <definedName name="PRU\08p05p01p03s01" localSheetId="7">#REF!</definedName>
    <definedName name="PRU\08p05p01p03s01">#REF!</definedName>
    <definedName name="PRU\08p05p01p03s02" localSheetId="0">#REF!</definedName>
    <definedName name="PRU\08p05p01p03s02" localSheetId="32">'[1]Prices List'!$E$886</definedName>
    <definedName name="PRU\08p05p01p03s02" localSheetId="7">#REF!</definedName>
    <definedName name="PRU\08p05p01p03s02">#REF!</definedName>
    <definedName name="PRU\08p05p01p03s03" localSheetId="0">#REF!</definedName>
    <definedName name="PRU\08p05p01p03s03" localSheetId="32">'[1]Prices List'!$E$891</definedName>
    <definedName name="PRU\08p05p01p03s03" localSheetId="7">#REF!</definedName>
    <definedName name="PRU\08p05p01p03s03">#REF!</definedName>
    <definedName name="PRU\08p05p01p03s04" localSheetId="0">#REF!</definedName>
    <definedName name="PRU\08p05p01p03s04" localSheetId="32">'[1]Prices List'!$E$896</definedName>
    <definedName name="PRU\08p05p01p03s04" localSheetId="7">#REF!</definedName>
    <definedName name="PRU\08p05p01p03s04">#REF!</definedName>
    <definedName name="PRU\08p05p02p00s01" localSheetId="0">#REF!</definedName>
    <definedName name="PRU\08p05p02p00s01" localSheetId="32">'[1]Prices List'!$E$902</definedName>
    <definedName name="PRU\08p05p02p00s01" localSheetId="7">#REF!</definedName>
    <definedName name="PRU\08p05p02p00s01">#REF!</definedName>
    <definedName name="PRU\08p05p03p00s01" localSheetId="0">#REF!</definedName>
    <definedName name="PRU\08p05p03p00s01" localSheetId="32">'[1]Prices List'!$E$908</definedName>
    <definedName name="PRU\08p05p03p00s01" localSheetId="7">#REF!</definedName>
    <definedName name="PRU\08p05p03p00s01">#REF!</definedName>
    <definedName name="PRU\08p06p01p00s01" localSheetId="0">#REF!</definedName>
    <definedName name="PRU\08p06p01p00s01" localSheetId="32">'[1]Prices List'!$E$915</definedName>
    <definedName name="PRU\08p06p01p00s01" localSheetId="7">#REF!</definedName>
    <definedName name="PRU\08p06p01p00s01">#REF!</definedName>
    <definedName name="PRU\08p06p01p00s02" localSheetId="0">#REF!</definedName>
    <definedName name="PRU\08p06p01p00s02" localSheetId="32">'[1]Prices List'!$E$920</definedName>
    <definedName name="PRU\08p06p01p00s02" localSheetId="7">#REF!</definedName>
    <definedName name="PRU\08p06p01p00s02">#REF!</definedName>
    <definedName name="PRU\08p06p02p00s01" localSheetId="0">#REF!</definedName>
    <definedName name="PRU\08p06p02p00s01" localSheetId="32">'[1]Prices List'!$E$926</definedName>
    <definedName name="PRU\08p06p02p00s01" localSheetId="7">#REF!</definedName>
    <definedName name="PRU\08p06p02p00s01">#REF!</definedName>
    <definedName name="PRU\08p06p02p00s02" localSheetId="0">#REF!</definedName>
    <definedName name="PRU\08p06p02p00s02" localSheetId="32">'[1]Prices List'!$E$931</definedName>
    <definedName name="PRU\08p06p02p00s02" localSheetId="7">#REF!</definedName>
    <definedName name="PRU\08p06p02p00s02">#REF!</definedName>
    <definedName name="PRU\08p07p01p00s01" localSheetId="7">#REF!</definedName>
    <definedName name="PRU\09p01p01p00s02" localSheetId="7">#REF!</definedName>
    <definedName name="PRU\09p02p01p00s01" localSheetId="0">#REF!</definedName>
    <definedName name="PRU\09p02p01p00s01" localSheetId="32">'[1]Prices List'!$E$939</definedName>
    <definedName name="PRU\09p02p01p00s01" localSheetId="7">#REF!</definedName>
    <definedName name="PRU\09p02p01p00s01">#REF!</definedName>
    <definedName name="PRU\09p02p01p00s02" localSheetId="0">#REF!</definedName>
    <definedName name="PRU\09p02p01p00s02" localSheetId="32">'[1]Prices List'!$E$944</definedName>
    <definedName name="PRU\09p02p01p00s02" localSheetId="7">#REF!</definedName>
    <definedName name="PRU\09p02p01p00s02">#REF!</definedName>
    <definedName name="PRU\09p02p01p00s03" localSheetId="0">#REF!</definedName>
    <definedName name="PRU\09p02p01p00s03" localSheetId="32">'[1]Prices List'!$E$949</definedName>
    <definedName name="PRU\09p02p01p00s03" localSheetId="7">#REF!</definedName>
    <definedName name="PRU\09p02p01p00s03">#REF!</definedName>
    <definedName name="PRU\09p02p01p00s04" localSheetId="0">#REF!</definedName>
    <definedName name="PRU\09p02p01p00s04" localSheetId="32">'[1]Prices List'!$E$954</definedName>
    <definedName name="PRU\09p02p01p00s04" localSheetId="7">#REF!</definedName>
    <definedName name="PRU\09p02p01p00s04">#REF!</definedName>
    <definedName name="PRU\09p02p01p00s05" localSheetId="0">#REF!</definedName>
    <definedName name="PRU\09p02p01p00s05" localSheetId="32">'[1]Prices List'!$E$959</definedName>
    <definedName name="PRU\09p02p01p00s05" localSheetId="7">#REF!</definedName>
    <definedName name="PRU\09p02p01p00s05">#REF!</definedName>
    <definedName name="PRU\09p02p01p00sA1" localSheetId="0">#REF!</definedName>
    <definedName name="PRU\09p02p01p00sA1" localSheetId="32">'[1]Prices List'!$E$964</definedName>
    <definedName name="PRU\09p02p01p00sA1" localSheetId="7">#REF!</definedName>
    <definedName name="PRU\09p02p01p00sA1">#REF!</definedName>
    <definedName name="PRU\09p02p01p00sA2" localSheetId="0">#REF!</definedName>
    <definedName name="PRU\09p02p01p00sA2" localSheetId="32">'[1]Prices List'!$E$969</definedName>
    <definedName name="PRU\09p02p01p00sA2" localSheetId="7">#REF!</definedName>
    <definedName name="PRU\09p02p01p00sA2">#REF!</definedName>
    <definedName name="PRU\09p02p01p00sA3" localSheetId="0">#REF!</definedName>
    <definedName name="PRU\09p02p01p00sA3" localSheetId="32">'[1]Prices List'!$E$974</definedName>
    <definedName name="PRU\09p02p01p00sA3" localSheetId="7">#REF!</definedName>
    <definedName name="PRU\09p02p01p00sA3">#REF!</definedName>
    <definedName name="PRU\09p02p01p00sA4" localSheetId="0">#REF!</definedName>
    <definedName name="PRU\09p02p01p00sA4" localSheetId="32">'[1]Prices List'!$E$979</definedName>
    <definedName name="PRU\09p02p01p00sA4" localSheetId="7">#REF!</definedName>
    <definedName name="PRU\09p02p01p00sA4">#REF!</definedName>
    <definedName name="PRU\09p02p01p00sA5" localSheetId="0">#REF!</definedName>
    <definedName name="PRU\09p02p01p00sA5" localSheetId="32">'[1]Prices List'!$E$984</definedName>
    <definedName name="PRU\09p02p01p00sA5" localSheetId="7">#REF!</definedName>
    <definedName name="PRU\09p02p01p00sA5">#REF!</definedName>
    <definedName name="PRU\09p02p02p00s01" localSheetId="0">#REF!</definedName>
    <definedName name="PRU\09p02p02p00s01" localSheetId="32">'[1]Prices List'!$E$990</definedName>
    <definedName name="PRU\09p02p02p00s01" localSheetId="7">#REF!</definedName>
    <definedName name="PRU\09p02p02p00s01">#REF!</definedName>
    <definedName name="PRU\09p02p02p00s02" localSheetId="0">#REF!</definedName>
    <definedName name="PRU\09p02p02p00s02" localSheetId="32">'[1]Prices List'!$E$995</definedName>
    <definedName name="PRU\09p02p02p00s02" localSheetId="7">#REF!</definedName>
    <definedName name="PRU\09p02p02p00s02">#REF!</definedName>
    <definedName name="PRU\09p02p02p00s03" localSheetId="0">#REF!</definedName>
    <definedName name="PRU\09p02p02p00s03" localSheetId="32">'[1]Prices List'!$E$1000</definedName>
    <definedName name="PRU\09p02p02p00s03" localSheetId="7">#REF!</definedName>
    <definedName name="PRU\09p02p02p00s03">#REF!</definedName>
    <definedName name="PRU\09p02p02p00s04" localSheetId="0">#REF!</definedName>
    <definedName name="PRU\09p02p02p00s04" localSheetId="32">'[1]Prices List'!$E$1005</definedName>
    <definedName name="PRU\09p02p02p00s04" localSheetId="7">#REF!</definedName>
    <definedName name="PRU\09p02p02p00s04">#REF!</definedName>
    <definedName name="PRU\09p02p02p00s05" localSheetId="0">#REF!</definedName>
    <definedName name="PRU\09p02p02p00s05" localSheetId="32">'[1]Prices List'!$E$1010</definedName>
    <definedName name="PRU\09p02p02p00s05" localSheetId="7">#REF!</definedName>
    <definedName name="PRU\09p02p02p00s05">#REF!</definedName>
    <definedName name="PRU\09p02p02p00s06" localSheetId="0">#REF!</definedName>
    <definedName name="PRU\09p02p02p00s06" localSheetId="32">'[1]Prices List'!$E$1015</definedName>
    <definedName name="PRU\09p02p02p00s06" localSheetId="7">#REF!</definedName>
    <definedName name="PRU\09p02p02p00s06">#REF!</definedName>
    <definedName name="PRU\09p02p02p00s07" localSheetId="0">#REF!</definedName>
    <definedName name="PRU\09p02p02p00s07" localSheetId="32">'[1]Prices List'!$E$1020</definedName>
    <definedName name="PRU\09p02p02p00s07" localSheetId="7">#REF!</definedName>
    <definedName name="PRU\09p02p02p00s07">#REF!</definedName>
    <definedName name="PRU\09p02p02p00s08" localSheetId="0">#REF!</definedName>
    <definedName name="PRU\09p02p02p00s08" localSheetId="32">'[1]Prices List'!$E$1025</definedName>
    <definedName name="PRU\09p02p02p00s08" localSheetId="7">#REF!</definedName>
    <definedName name="PRU\09p02p02p00s08">#REF!</definedName>
    <definedName name="PRU\09p02p02p00s09" localSheetId="0">#REF!</definedName>
    <definedName name="PRU\09p02p02p00s09" localSheetId="32">'[1]Prices List'!$E$1030</definedName>
    <definedName name="PRU\09p02p02p00s09" localSheetId="7">#REF!</definedName>
    <definedName name="PRU\09p02p02p00s09">#REF!</definedName>
    <definedName name="PRU\09p03p01p01s02" localSheetId="7">#REF!</definedName>
    <definedName name="PRU\09p03p01p01s03" localSheetId="7">#REF!</definedName>
    <definedName name="PRU\09p03p01p01s06" localSheetId="7">#REF!</definedName>
    <definedName name="PRU\09p03p01p03sA2" localSheetId="7">#REF!</definedName>
    <definedName name="PRU\09p03p01p03sA3" localSheetId="7">#REF!</definedName>
    <definedName name="PRU\09p03p02p00s06" localSheetId="7">#REF!</definedName>
    <definedName name="PRU\10p01p00p00s01" localSheetId="7">#REF!</definedName>
    <definedName name="PRU\10p01p02p00s02" localSheetId="7">#REF!</definedName>
    <definedName name="PRU\10p02p01p00s01" localSheetId="7">#REF!</definedName>
    <definedName name="PRU\10p02p01p00s02" localSheetId="7">#REF!</definedName>
    <definedName name="PRU\10p02p02p00s01" localSheetId="7">#REF!</definedName>
    <definedName name="PRU\10p03p01p00s01" localSheetId="7">#REF!</definedName>
    <definedName name="PRU\10p03p05p00s02" localSheetId="7">#REF!</definedName>
    <definedName name="PRU\11p01p01p00s01" localSheetId="0">#REF!</definedName>
    <definedName name="PRU\11p01p01p00s01" localSheetId="32">'[1]Prices List'!$E$1038</definedName>
    <definedName name="PRU\11p01p01p00s01" localSheetId="7">#REF!</definedName>
    <definedName name="PRU\11p01p01p00s01">#REF!</definedName>
    <definedName name="PRU\11p01p01p00s02" localSheetId="0">#REF!</definedName>
    <definedName name="PRU\11p01p01p00s02" localSheetId="32">'[1]Prices List'!$E$1043</definedName>
    <definedName name="PRU\11p01p01p00s02" localSheetId="7">#REF!</definedName>
    <definedName name="PRU\11p01p01p00s02">#REF!</definedName>
    <definedName name="PRU\11p01p02p01s01" localSheetId="0">#REF!</definedName>
    <definedName name="PRU\11p01p02p01s01" localSheetId="32">'[1]Prices List'!$E$1049</definedName>
    <definedName name="PRU\11p01p02p01s01" localSheetId="7">#REF!</definedName>
    <definedName name="PRU\11p01p02p01s01">#REF!</definedName>
    <definedName name="PRU\11p01p02p02sA1" localSheetId="0">#REF!</definedName>
    <definedName name="PRU\11p01p02p02sA1" localSheetId="32">'[1]Prices List'!$E$1055</definedName>
    <definedName name="PRU\11p01p02p02sA1" localSheetId="7">#REF!</definedName>
    <definedName name="PRU\11p01p02p02sA1">#REF!</definedName>
    <definedName name="PRU\11p01p03p00s01" localSheetId="0">#REF!</definedName>
    <definedName name="PRU\11p01p03p00s01" localSheetId="32">'[1]Prices List'!$E$1061</definedName>
    <definedName name="PRU\11p01p03p00s01" localSheetId="7">#REF!</definedName>
    <definedName name="PRU\11p01p03p00s01">#REF!</definedName>
    <definedName name="PRU\11p01p03p00s02" localSheetId="0">#REF!</definedName>
    <definedName name="PRU\11p01p03p00s02" localSheetId="32">'[1]Prices List'!$E$1066</definedName>
    <definedName name="PRU\11p01p03p00s02" localSheetId="7">#REF!</definedName>
    <definedName name="PRU\11p01p03p00s02">#REF!</definedName>
    <definedName name="PRU\11p01p03p00s03" localSheetId="0">#REF!</definedName>
    <definedName name="PRU\11p01p03p00s03" localSheetId="32">'[1]Prices List'!$E$1071</definedName>
    <definedName name="PRU\11p01p03p00s03" localSheetId="7">#REF!</definedName>
    <definedName name="PRU\11p01p03p00s03">#REF!</definedName>
    <definedName name="PRU\11p01p04p01s02" localSheetId="0">#REF!</definedName>
    <definedName name="PRU\11p01p04p01s02" localSheetId="32">'[1]Prices List'!$E$1078</definedName>
    <definedName name="PRU\11p01p04p01s02" localSheetId="7">#REF!</definedName>
    <definedName name="PRU\11p01p04p01s02">#REF!</definedName>
    <definedName name="PRU\11p02p01p00s01" localSheetId="0">#REF!</definedName>
    <definedName name="PRU\11p02p01p00s01" localSheetId="32">'[1]Prices List'!$E$1085</definedName>
    <definedName name="PRU\11p02p01p00s01" localSheetId="7">#REF!</definedName>
    <definedName name="PRU\11p02p01p00s01">#REF!</definedName>
    <definedName name="PRU\11p02p01p00s02" localSheetId="0">#REF!</definedName>
    <definedName name="PRU\11p02p01p00s02" localSheetId="32">'[1]Prices List'!$E$1090</definedName>
    <definedName name="PRU\11p02p01p00s02" localSheetId="7">#REF!</definedName>
    <definedName name="PRU\11p02p01p00s02">#REF!</definedName>
    <definedName name="PRU\11p02p02p00s01" localSheetId="0">#REF!</definedName>
    <definedName name="PRU\11p02p02p00s01" localSheetId="32">'[1]Prices List'!$E$1096</definedName>
    <definedName name="PRU\11p02p02p00s01" localSheetId="7">#REF!</definedName>
    <definedName name="PRU\11p02p02p00s01">#REF!</definedName>
    <definedName name="PRU\11p02p02p00s02" localSheetId="0">#REF!</definedName>
    <definedName name="PRU\11p02p02p00s02" localSheetId="32">'[1]Prices List'!$E$1101</definedName>
    <definedName name="PRU\11p02p02p00s02" localSheetId="7">#REF!</definedName>
    <definedName name="PRU\11p02p02p00s02">#REF!</definedName>
    <definedName name="PRU\11p02p03p00s01" localSheetId="0">#REF!</definedName>
    <definedName name="PRU\11p02p03p00s01" localSheetId="32">'[1]Prices List'!$E$1107</definedName>
    <definedName name="PRU\11p02p03p00s01" localSheetId="7">#REF!</definedName>
    <definedName name="PRU\11p02p03p00s01">#REF!</definedName>
    <definedName name="PRU\11p02p03p00s02" localSheetId="0">#REF!</definedName>
    <definedName name="PRU\11p02p03p00s02" localSheetId="32">'[1]Prices List'!$E$1112</definedName>
    <definedName name="PRU\11p02p03p00s02" localSheetId="7">#REF!</definedName>
    <definedName name="PRU\11p02p03p00s02">#REF!</definedName>
    <definedName name="PRU\11p03p02p00s01" localSheetId="7">#REF!</definedName>
    <definedName name="PRU\11p03p04p00s01" localSheetId="0">#REF!</definedName>
    <definedName name="PRU\11p03p04p00s01" localSheetId="32">'[1]Prices List'!$E$1119</definedName>
    <definedName name="PRU\11p03p04p00s01" localSheetId="7">#REF!</definedName>
    <definedName name="PRU\11p03p04p00s01">#REF!</definedName>
    <definedName name="PRU\11p03p04p00s02" localSheetId="0">#REF!</definedName>
    <definedName name="PRU\11p03p04p00s02" localSheetId="32">'[1]Prices List'!$E$1124</definedName>
    <definedName name="PRU\11p03p04p00s02" localSheetId="7">#REF!</definedName>
    <definedName name="PRU\11p03p04p00s02">#REF!</definedName>
    <definedName name="PRU\11p03p04p00s03" localSheetId="0">#REF!</definedName>
    <definedName name="PRU\11p03p04p00s03" localSheetId="32">'[1]Prices List'!$E$1129</definedName>
    <definedName name="PRU\11p03p04p00s03" localSheetId="7">#REF!</definedName>
    <definedName name="PRU\11p03p04p00s03">#REF!</definedName>
    <definedName name="PRU\11p04p00p00s01" localSheetId="7">#REF!</definedName>
    <definedName name="PRU\11p04p00p00sA1" localSheetId="7">#REF!</definedName>
    <definedName name="PRU\11p05p01p00s01" localSheetId="0">#REF!</definedName>
    <definedName name="PRU\11p05p01p00s01" localSheetId="32">'[2]Prices List'!$E$1033</definedName>
    <definedName name="PRU\11p05p01p00s01" localSheetId="7">#REF!</definedName>
    <definedName name="PRU\11p05p01p00s01">#REF!</definedName>
    <definedName name="PRU\11p05p02p00s01" localSheetId="0">#REF!</definedName>
    <definedName name="PRU\11p05p02p00s01" localSheetId="32">'[2]Prices List'!$E$1038</definedName>
    <definedName name="PRU\11p05p02p00s01" localSheetId="7">#REF!</definedName>
    <definedName name="PRU\11p05p02p00s01">#REF!</definedName>
    <definedName name="PRU\11p05p03p00s01" localSheetId="0">#REF!</definedName>
    <definedName name="PRU\11p05p03p00s01" localSheetId="32">'[2]Prices List'!$E$1043</definedName>
    <definedName name="PRU\11p05p03p00s01" localSheetId="7">#REF!</definedName>
    <definedName name="PRU\11p05p03p00s01">#REF!</definedName>
    <definedName name="PRU\11p06p01p00s01" localSheetId="0">#REF!</definedName>
    <definedName name="PRU\11p06p01p00s01" localSheetId="32">'[1]Prices List'!$E$1135</definedName>
    <definedName name="PRU\11p06p01p00s01" localSheetId="7">#REF!</definedName>
    <definedName name="PRU\11p06p01p00s01">#REF!</definedName>
    <definedName name="PRU\11p06p01p00s02" localSheetId="0">#REF!</definedName>
    <definedName name="PRU\11p06p01p00s02" localSheetId="32">'[1]Prices List'!$E$1140</definedName>
    <definedName name="PRU\11p06p01p00s02" localSheetId="7">#REF!</definedName>
    <definedName name="PRU\11p06p01p00s02">#REF!</definedName>
    <definedName name="PRU\11p06p01p00s03" localSheetId="0">#REF!</definedName>
    <definedName name="PRU\11p06p01p00s03" localSheetId="32">'[1]Prices List'!$E$1145</definedName>
    <definedName name="PRU\11p06p01p00s03" localSheetId="7">#REF!</definedName>
    <definedName name="PRU\11p06p01p00s03">#REF!</definedName>
    <definedName name="PRU\11p06p02p00s01" localSheetId="0">#REF!</definedName>
    <definedName name="PRU\11p06p02p00s01" localSheetId="32">'[2]Prices List'!$E$1054</definedName>
    <definedName name="PRU\11p06p02p00s01" localSheetId="7">#REF!</definedName>
    <definedName name="PRU\11p06p02p00s01">#REF!</definedName>
    <definedName name="PRU\11p06p03p00s01" localSheetId="0">#REF!</definedName>
    <definedName name="PRU\11p06p03p00s01" localSheetId="32">'[2]Prices List'!$E$1059</definedName>
    <definedName name="PRU\11p06p03p00s01" localSheetId="7">#REF!</definedName>
    <definedName name="PRU\11p06p03p00s01">#REF!</definedName>
    <definedName name="PRU\11p07p01p00s01" localSheetId="0">#REF!</definedName>
    <definedName name="PRU\11p07p01p00s01" localSheetId="32">'[1]Prices List'!$E$1151</definedName>
    <definedName name="PRU\11p07p01p00s01" localSheetId="7">#REF!</definedName>
    <definedName name="PRU\11p07p01p00s01">#REF!</definedName>
    <definedName name="PRU\11p07p01p00s02" localSheetId="0">#REF!</definedName>
    <definedName name="PRU\11p07p01p00s02" localSheetId="32">'[1]Prices List'!$E$1156</definedName>
    <definedName name="PRU\11p07p01p00s02" localSheetId="7">#REF!</definedName>
    <definedName name="PRU\11p07p01p00s02">#REF!</definedName>
    <definedName name="PRU\11p07p01p00s03" localSheetId="0">#REF!</definedName>
    <definedName name="PRU\11p07p01p00s03" localSheetId="32">'[2]Prices List'!$E$1075</definedName>
    <definedName name="PRU\11p07p01p00s03" localSheetId="7">#REF!</definedName>
    <definedName name="PRU\11p07p01p00s03">#REF!</definedName>
    <definedName name="PRU\11p07p01p00s04" localSheetId="0">#REF!</definedName>
    <definedName name="PRU\11p07p01p00s04" localSheetId="32">'[2]Prices List'!$E$1080</definedName>
    <definedName name="PRU\11p07p01p00s04" localSheetId="7">#REF!</definedName>
    <definedName name="PRU\11p07p01p00s04">#REF!</definedName>
    <definedName name="PRU\11p07p01p00s05" localSheetId="0">#REF!</definedName>
    <definedName name="PRU\11p07p01p00s05" localSheetId="32">'[2]Prices List'!$E$1085</definedName>
    <definedName name="PRU\11p07p01p00s05" localSheetId="7">#REF!</definedName>
    <definedName name="PRU\11p07p01p00s05">#REF!</definedName>
    <definedName name="PRU\11p07p01p00s06" localSheetId="0">#REF!</definedName>
    <definedName name="PRU\11p07p01p00s06" localSheetId="32">'[2]Prices List'!$E$1090</definedName>
    <definedName name="PRU\11p07p01p00s06" localSheetId="7">#REF!</definedName>
    <definedName name="PRU\11p07p01p00s06">#REF!</definedName>
    <definedName name="PRU\11p07p01p00s07" localSheetId="0">#REF!</definedName>
    <definedName name="PRU\11p07p01p00s07" localSheetId="32">'[2]Prices List'!$E$1095</definedName>
    <definedName name="PRU\11p07p01p00s07" localSheetId="7">#REF!</definedName>
    <definedName name="PRU\11p07p01p00s07">#REF!</definedName>
    <definedName name="PRU\11p07p01p00s08" localSheetId="0">#REF!</definedName>
    <definedName name="PRU\11p07p01p00s08" localSheetId="32">'[2]Prices List'!$E$1100</definedName>
    <definedName name="PRU\11p07p01p00s08" localSheetId="7">#REF!</definedName>
    <definedName name="PRU\11p07p01p00s08">#REF!</definedName>
    <definedName name="PRU\11p07p01p00s09" localSheetId="0">#REF!</definedName>
    <definedName name="PRU\11p07p01p00s09" localSheetId="32">'[2]Prices List'!$E$1105</definedName>
    <definedName name="PRU\11p07p01p00s09" localSheetId="7">#REF!</definedName>
    <definedName name="PRU\11p07p01p00s09">#REF!</definedName>
    <definedName name="PRU\11p07p01p00s10" localSheetId="0">#REF!</definedName>
    <definedName name="PRU\11p07p01p00s10" localSheetId="32">'[2]Prices List'!$E$1110</definedName>
    <definedName name="PRU\11p07p01p00s10" localSheetId="7">#REF!</definedName>
    <definedName name="PRU\11p07p01p00s10">#REF!</definedName>
    <definedName name="PRU\11p07p01p00s11" localSheetId="0">#REF!</definedName>
    <definedName name="PRU\11p07p01p00s11" localSheetId="32">'[2]Prices List'!$E$1115</definedName>
    <definedName name="PRU\11p07p01p00s11" localSheetId="7">#REF!</definedName>
    <definedName name="PRU\11p07p01p00s11">#REF!</definedName>
    <definedName name="PRU\11p07p01p00s12" localSheetId="0">#REF!</definedName>
    <definedName name="PRU\11p07p01p00s12" localSheetId="32">'[2]Prices List'!$E$1120</definedName>
    <definedName name="PRU\11p07p01p00s12" localSheetId="7">#REF!</definedName>
    <definedName name="PRU\11p07p01p00s12">#REF!</definedName>
    <definedName name="PRU\11p07p01p00s13" localSheetId="0">#REF!</definedName>
    <definedName name="PRU\11p07p01p00s13" localSheetId="32">'[2]Prices List'!$E$1125</definedName>
    <definedName name="PRU\11p07p01p00s13" localSheetId="7">#REF!</definedName>
    <definedName name="PRU\11p07p01p00s13">#REF!</definedName>
    <definedName name="PRU\11p07p01p00s14" localSheetId="0">#REF!</definedName>
    <definedName name="PRU\11p07p01p00s14" localSheetId="32">'[2]Prices List'!$E$1130</definedName>
    <definedName name="PRU\11p07p01p00s14" localSheetId="7">#REF!</definedName>
    <definedName name="PRU\11p07p01p00s14">#REF!</definedName>
    <definedName name="PRU\11p07p01p00s15" localSheetId="0">#REF!</definedName>
    <definedName name="PRU\11p07p01p00s15" localSheetId="32">'[2]Prices List'!$E$1135</definedName>
    <definedName name="PRU\11p07p01p00s15" localSheetId="7">#REF!</definedName>
    <definedName name="PRU\11p07p01p00s15">#REF!</definedName>
    <definedName name="PRU\11p07p01p00s16" localSheetId="0">#REF!</definedName>
    <definedName name="PRU\11p07p01p00s16" localSheetId="32">'[2]Prices List'!$E$1140</definedName>
    <definedName name="PRU\11p07p01p00s16" localSheetId="7">#REF!</definedName>
    <definedName name="PRU\11p07p01p00s16">#REF!</definedName>
    <definedName name="PRU\11p07p01p00s17" localSheetId="0">#REF!</definedName>
    <definedName name="PRU\11p07p01p00s17" localSheetId="32">'[2]Prices List'!$E$1145</definedName>
    <definedName name="PRU\11p07p01p00s17" localSheetId="7">#REF!</definedName>
    <definedName name="PRU\11p07p01p00s17">#REF!</definedName>
    <definedName name="PRU\11p07p01p00s18" localSheetId="0">#REF!</definedName>
    <definedName name="PRU\11p07p01p00s18" localSheetId="32">'[2]Prices List'!$E$1150</definedName>
    <definedName name="PRU\11p07p01p00s18" localSheetId="7">#REF!</definedName>
    <definedName name="PRU\11p07p01p00s18">#REF!</definedName>
    <definedName name="PRU\11p07p01p00s19" localSheetId="0">#REF!</definedName>
    <definedName name="PRU\11p07p01p00s19" localSheetId="32">'[2]Prices List'!$E$1155</definedName>
    <definedName name="PRU\11p07p01p00s19" localSheetId="7">#REF!</definedName>
    <definedName name="PRU\11p07p01p00s19">#REF!</definedName>
    <definedName name="PRU\11p07p01p00s20" localSheetId="0">#REF!</definedName>
    <definedName name="PRU\11p07p01p00s20" localSheetId="32">'[2]Prices List'!$E$1160</definedName>
    <definedName name="PRU\11p07p01p00s20" localSheetId="7">#REF!</definedName>
    <definedName name="PRU\11p07p01p00s20">#REF!</definedName>
    <definedName name="PRU\11p07p01p00s21" localSheetId="0">#REF!</definedName>
    <definedName name="PRU\11p07p01p00s21" localSheetId="32">'[2]Prices List'!$E$1165</definedName>
    <definedName name="PRU\11p07p01p00s21" localSheetId="7">#REF!</definedName>
    <definedName name="PRU\11p07p01p00s21">#REF!</definedName>
    <definedName name="PRU\11p07p01p00s22" localSheetId="0">#REF!</definedName>
    <definedName name="PRU\11p07p01p00s22" localSheetId="32">'[2]Prices List'!$E$1170</definedName>
    <definedName name="PRU\11p07p01p00s22" localSheetId="7">#REF!</definedName>
    <definedName name="PRU\11p07p01p00s22">#REF!</definedName>
    <definedName name="PRU\11p07p01p00s23" localSheetId="0">#REF!</definedName>
    <definedName name="PRU\11p07p01p00s23" localSheetId="32">'[2]Prices List'!$E$1175</definedName>
    <definedName name="PRU\11p07p01p00s23" localSheetId="7">#REF!</definedName>
    <definedName name="PRU\11p07p01p00s23">#REF!</definedName>
    <definedName name="PRU\11p08p01p00s01" localSheetId="0">#REF!</definedName>
    <definedName name="PRU\11p08p01p00s01" localSheetId="32">'[1]Prices List'!$E$1162</definedName>
    <definedName name="PRU\11p08p01p00s01" localSheetId="7">#REF!</definedName>
    <definedName name="PRU\11p08p01p00s01">#REF!</definedName>
    <definedName name="PRU\11p09p01p00s01" localSheetId="0">#REF!</definedName>
    <definedName name="PRU\11p09p01p00s01" localSheetId="32">'[1]Prices List'!$E$1171</definedName>
    <definedName name="PRU\11p09p01p00s01" localSheetId="7">#REF!</definedName>
    <definedName name="PRU\11p09p01p00s01">#REF!</definedName>
    <definedName name="PRU\11p10p01p00s01" localSheetId="0">#REF!</definedName>
    <definedName name="PRU\11p10p01p00s01" localSheetId="32">'[1]Prices List'!$E$1177</definedName>
    <definedName name="PRU\11p10p01p00s01" localSheetId="7">#REF!</definedName>
    <definedName name="PRU\11p10p01p00s01">#REF!</definedName>
    <definedName name="PRU\11p10p01p00s02" localSheetId="0">#REF!</definedName>
    <definedName name="PRU\11p10p01p00s02" localSheetId="32">'[1]Prices List'!$E$1182</definedName>
    <definedName name="PRU\11p10p01p00s02" localSheetId="7">#REF!</definedName>
    <definedName name="PRU\11p10p01p00s02">#REF!</definedName>
    <definedName name="PRU\11p10p01p00s03" localSheetId="0">#REF!</definedName>
    <definedName name="PRU\11p10p01p00s03" localSheetId="32">'[1]Prices List'!$E$1187</definedName>
    <definedName name="PRU\11p10p01p00s03" localSheetId="7">#REF!</definedName>
    <definedName name="PRU\11p10p01p00s03">#REF!</definedName>
    <definedName name="PRU\11p10p01p00s04" localSheetId="0">#REF!</definedName>
    <definedName name="PRU\11p10p01p00s04" localSheetId="32">'[1]Prices List'!$E$1192</definedName>
    <definedName name="PRU\11p10p01p00s04" localSheetId="7">#REF!</definedName>
    <definedName name="PRU\11p10p01p00s04">#REF!</definedName>
    <definedName name="PRU\11p10p01p00s05" localSheetId="0">#REF!</definedName>
    <definedName name="PRU\11p10p01p00s05" localSheetId="32">'[1]Prices List'!$E$1197</definedName>
    <definedName name="PRU\11p10p01p00s05" localSheetId="7">#REF!</definedName>
    <definedName name="PRU\11p10p01p00s05">#REF!</definedName>
    <definedName name="PRU\11p11p01p00s01" localSheetId="0">#REF!</definedName>
    <definedName name="PRU\11p11p01p00s01" localSheetId="32">'[1]Prices List'!$E$1203</definedName>
    <definedName name="PRU\11p11p01p00s01" localSheetId="7">#REF!</definedName>
    <definedName name="PRU\11p11p01p00s01">#REF!</definedName>
    <definedName name="PRU\11p11p01p00s02" localSheetId="0">#REF!</definedName>
    <definedName name="PRU\11p11p01p00s02" localSheetId="32">'[1]Prices List'!$E$1208</definedName>
    <definedName name="PRU\11p11p01p00s02" localSheetId="7">#REF!</definedName>
    <definedName name="PRU\11p11p01p00s02">#REF!</definedName>
    <definedName name="PRU\11p11p01p00s03" localSheetId="0">#REF!</definedName>
    <definedName name="PRU\11p11p01p00s03" localSheetId="32">'[1]Prices List'!$E$1213</definedName>
    <definedName name="PRU\11p11p01p00s03" localSheetId="7">#REF!</definedName>
    <definedName name="PRU\11p11p01p00s03">#REF!</definedName>
    <definedName name="PRU\11p11p01p00s04" localSheetId="0">#REF!</definedName>
    <definedName name="PRU\11p11p01p00s04" localSheetId="32">'[1]Prices List'!$E$1218</definedName>
    <definedName name="PRU\11p11p01p00s04" localSheetId="7">#REF!</definedName>
    <definedName name="PRU\11p11p01p00s04">#REF!</definedName>
    <definedName name="PRU\11p11p01p00s05" localSheetId="0">#REF!</definedName>
    <definedName name="PRU\11p11p01p00s05" localSheetId="32">'[1]Prices List'!$E$1223</definedName>
    <definedName name="PRU\11p11p01p00s05" localSheetId="7">#REF!</definedName>
    <definedName name="PRU\11p11p01p00s05">#REF!</definedName>
    <definedName name="PRU\11p11p01p00s06" localSheetId="0">#REF!</definedName>
    <definedName name="PRU\11p11p01p00s06" localSheetId="32">'[1]Prices List'!$E$1228</definedName>
    <definedName name="PRU\11p11p01p00s06" localSheetId="7">#REF!</definedName>
    <definedName name="PRU\11p11p01p00s06">#REF!</definedName>
    <definedName name="PRU\11p11p01p00s07" localSheetId="0">#REF!</definedName>
    <definedName name="PRU\11p11p01p00s07" localSheetId="32">'[1]Prices List'!$E$1233</definedName>
    <definedName name="PRU\11p11p01p00s07" localSheetId="7">#REF!</definedName>
    <definedName name="PRU\11p11p01p00s07">#REF!</definedName>
    <definedName name="PRU\11p11p01p00s08" localSheetId="0">#REF!</definedName>
    <definedName name="PRU\11p11p01p00s08" localSheetId="32">'[1]Prices List'!$E$1238</definedName>
    <definedName name="PRU\11p11p01p00s08" localSheetId="7">#REF!</definedName>
    <definedName name="PRU\11p11p01p00s08">#REF!</definedName>
    <definedName name="PRU\11p11p01p00s09" localSheetId="0">#REF!</definedName>
    <definedName name="PRU\11p11p01p00s09" localSheetId="32">'[1]Prices List'!$E$1243</definedName>
    <definedName name="PRU\11p11p01p00s09" localSheetId="7">#REF!</definedName>
    <definedName name="PRU\11p11p01p00s09">#REF!</definedName>
    <definedName name="PRU\11p11p01p00s10" localSheetId="0">#REF!</definedName>
    <definedName name="PRU\11p11p01p00s10" localSheetId="32">'[1]Prices List'!$E$1248</definedName>
    <definedName name="PRU\11p11p01p00s10" localSheetId="7">#REF!</definedName>
    <definedName name="PRU\11p11p01p00s10">#REF!</definedName>
    <definedName name="PRU\11p11p01p00s11" localSheetId="0">#REF!</definedName>
    <definedName name="PRU\11p11p01p00s11" localSheetId="32">'[1]Prices List'!$E$1253</definedName>
    <definedName name="PRU\11p11p01p00s11" localSheetId="7">#REF!</definedName>
    <definedName name="PRU\11p11p01p00s11">#REF!</definedName>
    <definedName name="PRU\11p11p01p00s12" localSheetId="0">#REF!</definedName>
    <definedName name="PRU\11p11p01p00s12" localSheetId="32">'[1]Prices List'!$E$1258</definedName>
    <definedName name="PRU\11p11p01p00s12" localSheetId="7">#REF!</definedName>
    <definedName name="PRU\11p11p01p00s12">#REF!</definedName>
    <definedName name="PRU\11p11p01p00s13" localSheetId="0">#REF!</definedName>
    <definedName name="PRU\11p11p01p00s13" localSheetId="32">'[1]Prices List'!$E$1263</definedName>
    <definedName name="PRU\11p11p01p00s13" localSheetId="7">#REF!</definedName>
    <definedName name="PRU\11p11p01p00s13">#REF!</definedName>
    <definedName name="PRU\11p11p01p00s14" localSheetId="0">#REF!</definedName>
    <definedName name="PRU\11p11p01p00s14" localSheetId="32">'[1]Prices List'!$E$1268</definedName>
    <definedName name="PRU\11p11p01p00s14" localSheetId="7">#REF!</definedName>
    <definedName name="PRU\11p11p01p00s14">#REF!</definedName>
    <definedName name="PRU\11p11p01p00s15" localSheetId="0">#REF!</definedName>
    <definedName name="PRU\11p11p01p00s15" localSheetId="32">'[1]Prices List'!$E$1273</definedName>
    <definedName name="PRU\11p11p01p00s15" localSheetId="7">#REF!</definedName>
    <definedName name="PRU\11p11p01p00s15">#REF!</definedName>
    <definedName name="PRU\11p11p01p00s16" localSheetId="0">#REF!</definedName>
    <definedName name="PRU\11p11p01p00s16" localSheetId="32">'[1]Prices List'!$E$1278</definedName>
    <definedName name="PRU\11p11p01p00s16" localSheetId="7">#REF!</definedName>
    <definedName name="PRU\11p11p01p00s16">#REF!</definedName>
    <definedName name="q" localSheetId="12" hidden="1">{"ANAR",#N/A,FALSE,"Dist total";"MARGEN",#N/A,FALSE,"Dist total";"COMENTARIO",#N/A,FALSE,"Ficha CODICE";"CONSEJO",#N/A,FALSE,"Dist p0";"uno",#N/A,FALSE,"Dist total"}</definedName>
    <definedName name="q" localSheetId="18" hidden="1">{"ANAR",#N/A,FALSE,"Dist total";"MARGEN",#N/A,FALSE,"Dist total";"COMENTARIO",#N/A,FALSE,"Ficha CODICE";"CONSEJO",#N/A,FALSE,"Dist p0";"uno",#N/A,FALSE,"Dist total"}</definedName>
    <definedName name="q" localSheetId="19" hidden="1">{"ANAR",#N/A,FALSE,"Dist total";"MARGEN",#N/A,FALSE,"Dist total";"COMENTARIO",#N/A,FALSE,"Ficha CODICE";"CONSEJO",#N/A,FALSE,"Dist p0";"uno",#N/A,FALSE,"Dist total"}</definedName>
    <definedName name="q" localSheetId="17" hidden="1">{"ANAR",#N/A,FALSE,"Dist total";"MARGEN",#N/A,FALSE,"Dist total";"COMENTARIO",#N/A,FALSE,"Ficha CODICE";"CONSEJO",#N/A,FALSE,"Dist p0";"uno",#N/A,FALSE,"Dist total"}</definedName>
    <definedName name="q" localSheetId="22" hidden="1">{"ANAR",#N/A,FALSE,"Dist total";"MARGEN",#N/A,FALSE,"Dist total";"COMENTARIO",#N/A,FALSE,"Ficha CODICE";"CONSEJO",#N/A,FALSE,"Dist p0";"uno",#N/A,FALSE,"Dist total"}</definedName>
    <definedName name="q" localSheetId="10" hidden="1">{"ANAR",#N/A,FALSE,"Dist total";"MARGEN",#N/A,FALSE,"Dist total";"COMENTARIO",#N/A,FALSE,"Ficha CODICE";"CONSEJO",#N/A,FALSE,"Dist p0";"uno",#N/A,FALSE,"Dist total"}</definedName>
    <definedName name="q" localSheetId="30" hidden="1">{"ANAR",#N/A,FALSE,"Dist total";"MARGEN",#N/A,FALSE,"Dist total";"COMENTARIO",#N/A,FALSE,"Ficha CODICE";"CONSEJO",#N/A,FALSE,"Dist p0";"uno",#N/A,FALSE,"Dist total"}</definedName>
    <definedName name="q" localSheetId="0" hidden="1">{"ANAR",#N/A,FALSE,"Dist total";"MARGEN",#N/A,FALSE,"Dist total";"COMENTARIO",#N/A,FALSE,"Ficha CODICE";"CONSEJO",#N/A,FALSE,"Dist p0";"uno",#N/A,FALSE,"Dist total"}</definedName>
    <definedName name="q" localSheetId="3" hidden="1">{"ANAR",#N/A,FALSE,"Dist total";"MARGEN",#N/A,FALSE,"Dist total";"COMENTARIO",#N/A,FALSE,"Ficha CODICE";"CONSEJO",#N/A,FALSE,"Dist p0";"uno",#N/A,FALSE,"Dist total"}</definedName>
    <definedName name="q" localSheetId="4" hidden="1">{"ANAR",#N/A,FALSE,"Dist total";"MARGEN",#N/A,FALSE,"Dist total";"COMENTARIO",#N/A,FALSE,"Ficha CODICE";"CONSEJO",#N/A,FALSE,"Dist p0";"uno",#N/A,FALSE,"Dist total"}</definedName>
    <definedName name="q" localSheetId="28" hidden="1">{"ANAR",#N/A,FALSE,"Dist total";"MARGEN",#N/A,FALSE,"Dist total";"COMENTARIO",#N/A,FALSE,"Ficha CODICE";"CONSEJO",#N/A,FALSE,"Dist p0";"uno",#N/A,FALSE,"Dist total"}</definedName>
    <definedName name="q" localSheetId="33" hidden="1">{"ANAR",#N/A,FALSE,"Dist total";"MARGEN",#N/A,FALSE,"Dist total";"COMENTARIO",#N/A,FALSE,"Ficha CODICE";"CONSEJO",#N/A,FALSE,"Dist p0";"uno",#N/A,FALSE,"Dist total"}</definedName>
    <definedName name="q" localSheetId="32" hidden="1">{"ANAR",#N/A,FALSE,"Dist total";"MARGEN",#N/A,FALSE,"Dist total";"COMENTARIO",#N/A,FALSE,"Ficha CODICE";"CONSEJO",#N/A,FALSE,"Dist p0";"uno",#N/A,FALSE,"Dist total"}</definedName>
    <definedName name="q" localSheetId="7" hidden="1">{"ANAR",#N/A,FALSE,"Dist total";"MARGEN",#N/A,FALSE,"Dist total";"COMENTARIO",#N/A,FALSE,"Ficha CODICE";"CONSEJO",#N/A,FALSE,"Dist p0";"uno",#N/A,FALSE,"Dist total"}</definedName>
    <definedName name="q" localSheetId="29" hidden="1">{"ANAR",#N/A,FALSE,"Dist total";"MARGEN",#N/A,FALSE,"Dist total";"COMENTARIO",#N/A,FALSE,"Ficha CODICE";"CONSEJO",#N/A,FALSE,"Dist p0";"uno",#N/A,FALSE,"Dist total"}</definedName>
    <definedName name="q" localSheetId="1" hidden="1">{"ANAR",#N/A,FALSE,"Dist total";"MARGEN",#N/A,FALSE,"Dist total";"COMENTARIO",#N/A,FALSE,"Ficha CODICE";"CONSEJO",#N/A,FALSE,"Dist p0";"uno",#N/A,FALSE,"Dist total"}</definedName>
    <definedName name="q" localSheetId="31" hidden="1">{"ANAR",#N/A,FALSE,"Dist total";"MARGEN",#N/A,FALSE,"Dist total";"COMENTARIO",#N/A,FALSE,"Ficha CODICE";"CONSEJO",#N/A,FALSE,"Dist p0";"uno",#N/A,FALSE,"Dist total"}</definedName>
    <definedName name="q" hidden="1">{"ANAR",#N/A,FALSE,"Dist total";"MARGEN",#N/A,FALSE,"Dist total";"COMENTARIO",#N/A,FALSE,"Ficha CODICE";"CONSEJO",#N/A,FALSE,"Dist p0";"uno",#N/A,FALSE,"Dist total"}</definedName>
    <definedName name="qqqqq" localSheetId="12"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 localSheetId="18"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 localSheetId="19"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 localSheetId="17"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 localSheetId="22"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 localSheetId="10"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 localSheetId="30"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 localSheetId="0"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 localSheetId="4"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 localSheetId="28"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 localSheetId="33"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 localSheetId="32"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 localSheetId="7"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 localSheetId="29"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 localSheetId="31"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qqqq" localSheetId="12"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qqqq" localSheetId="18"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qqqq" localSheetId="19"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qqqq" localSheetId="17"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qqqq" localSheetId="22"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qqqq" localSheetId="10"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qqqq" localSheetId="30"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qqqq" localSheetId="0"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qqqq"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qqqq" localSheetId="4"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qqqq" localSheetId="28"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qqqq" localSheetId="33"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qqqq" localSheetId="32"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qqqq" localSheetId="7"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qqqq" localSheetId="29"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qqqq"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qqqq" localSheetId="31"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qqqq" hidden="1">{TRUE,TRUE,-1.25,-15.5,604.5,369,FALSE,FALSE,TRUE,TRUE,0,1,83,1,38,4,5,4,TRUE,TRUE,3,TRUE,1,TRUE,75,"Swvu.inputs._.raw._.data.","ACwvu.inputs._.raw._.data.",#N/A,FALSE,FALSE,0.5,0.5,0.5,0.5,2,"&amp;F","&amp;A&amp;RPage &amp;P",FALSE,FALSE,FALSE,FALSE,1,60,#N/A,#N/A,"=R1C61:R53C89","=C1:C5",#N/A,#N/A,FALSE,FALSE,FALSE,1,600,600,FALSE,FALSE,TRUE,TRUE,TRUE}</definedName>
    <definedName name="qqqqqqqqqqq" localSheetId="1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qqqqqqqqqqq" localSheetId="18"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qqqqqqqqqqq" localSheetId="1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qqqqqqqqqqq" localSheetId="17"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qqqqqqqqqqq" localSheetId="2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qqqqqqqqqqq" localSheetId="1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qqqqqqqqqqq" localSheetId="3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qqqqqqqqqqq" localSheetId="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qqqqqqqqqqq"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qqqqqqqqqqq" localSheetId="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qqqqqqqqqqq" localSheetId="28"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qqqqqqqqqqq" localSheetId="3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qqqqqqqqqqq" localSheetId="3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qqqqqqqqqqq" localSheetId="7"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qqqqqqqqqqq" localSheetId="2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qqqqqqqqqqq"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qqqqqqqqqqq" localSheetId="3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qqqqqqqqqqq"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qqqqqqqqqqqq" localSheetId="1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qqqqqqqqqqq" localSheetId="18"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qqqqqqqqqqq" localSheetId="1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qqqqqqqqqqq" localSheetId="17"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qqqqqqqqqqq" localSheetId="2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qqqqqqqqqqq" localSheetId="1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qqqqqqqqqqq" localSheetId="3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qqqqqqqqqqq" localSheetId="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qqqqqqqqqqq"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qqqqqqqqqqq" localSheetId="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qqqqqqqqqqq" localSheetId="28"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qqqqqqqqqqq" localSheetId="3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qqqqqqqqqqq" localSheetId="3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qqqqqqqqqqq" localSheetId="7"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qqqqqqqqqqq" localSheetId="2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qqqqqqqqqqq"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qqqqqqqqqqq" localSheetId="3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qqqqqqqqqqq"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qqqqqqqqqqqqq" localSheetId="1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qqqqqqqqqqqqqq" localSheetId="18"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qqqqqqqqqqqqqq" localSheetId="1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qqqqqqqqqqqqqq" localSheetId="17"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qqqqqqqqqqqqqq" localSheetId="2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qqqqqqqqqqqqqq" localSheetId="1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qqqqqqqqqqqqqq" localSheetId="3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qqqqqqqqqqqqqq" localSheetId="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qqqqqqqqqqqqqq"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qqqqqqqqqqqqqq" localSheetId="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qqqqqqqqqqqqqq" localSheetId="28"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qqqqqqqqqqqqqq" localSheetId="3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qqqqqqqqqqqqqq" localSheetId="3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qqqqqqqqqqqqqq" localSheetId="7"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qqqqqqqqqqqqqq" localSheetId="2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qqqqqqqqqqqqqq"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qqqqqqqqqqqqqq" localSheetId="3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qqqqqqqqqqqqqq"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QTA1\02p01p01p00s01" localSheetId="0">#REF!</definedName>
    <definedName name="QTA1\02p01p01p00s01" localSheetId="28">#REF!</definedName>
    <definedName name="QTA1\02p01p01p00s01" localSheetId="32">[1]Civil!$I$11</definedName>
    <definedName name="QTA1\02p01p01p00s01" localSheetId="7">#REF!</definedName>
    <definedName name="QTA1\02p01p01p00s01" localSheetId="29">#REF!</definedName>
    <definedName name="QTA1\02p01p01p00s01" localSheetId="31">#REF!</definedName>
    <definedName name="QTA1\02p01p01p00s01">#REF!</definedName>
    <definedName name="QTA1\02p01p01p00s02" localSheetId="0">#REF!</definedName>
    <definedName name="QTA1\02p01p01p00s02" localSheetId="28">#REF!</definedName>
    <definedName name="QTA1\02p01p01p00s02" localSheetId="32">[1]Civil!$I$15</definedName>
    <definedName name="QTA1\02p01p01p00s02" localSheetId="7">#REF!</definedName>
    <definedName name="QTA1\02p01p01p00s02" localSheetId="29">#REF!</definedName>
    <definedName name="QTA1\02p01p01p00s02" localSheetId="31">#REF!</definedName>
    <definedName name="QTA1\02p01p01p00s02">#REF!</definedName>
    <definedName name="QTA1\02p01p01p00s03" localSheetId="0">#REF!</definedName>
    <definedName name="QTA1\02p01p01p00s03" localSheetId="28">#REF!</definedName>
    <definedName name="QTA1\02p01p01p00s03" localSheetId="32">[1]Civil!$I$19</definedName>
    <definedName name="QTA1\02p01p01p00s03" localSheetId="7">#REF!</definedName>
    <definedName name="QTA1\02p01p01p00s03" localSheetId="29">#REF!</definedName>
    <definedName name="QTA1\02p01p01p00s03" localSheetId="31">#REF!</definedName>
    <definedName name="QTA1\02p01p01p00s03">#REF!</definedName>
    <definedName name="QTA1\02p01p02p00s01" localSheetId="0">#REF!</definedName>
    <definedName name="QTA1\02p01p02p00s01" localSheetId="32">[1]Civil!$I$28</definedName>
    <definedName name="QTA1\02p01p02p00s01" localSheetId="7">#REF!</definedName>
    <definedName name="QTA1\02p01p02p00s01">#REF!</definedName>
    <definedName name="QTA1\02p01p03p00s01" localSheetId="0">#REF!</definedName>
    <definedName name="QTA1\02p01p03p00s01" localSheetId="32">[1]Civil!$I$35</definedName>
    <definedName name="QTA1\02p01p03p00s01" localSheetId="7">#REF!</definedName>
    <definedName name="QTA1\02p01p03p00s01">#REF!</definedName>
    <definedName name="QTA1\02p01p06p00s01" localSheetId="7">#REF!</definedName>
    <definedName name="QTA1\02p01p07p00s01" localSheetId="0">#REF!</definedName>
    <definedName name="QTA1\02p01p07p00s01" localSheetId="32">[1]Civil!$I$40</definedName>
    <definedName name="QTA1\02p01p07p00s01" localSheetId="7">#REF!</definedName>
    <definedName name="QTA1\02p01p07p00s01">#REF!</definedName>
    <definedName name="QTA1\02p01p07p00s02" localSheetId="0">#REF!</definedName>
    <definedName name="QTA1\02p01p07p00s02" localSheetId="32">[1]Civil!$I$44</definedName>
    <definedName name="QTA1\02p01p07p00s02" localSheetId="7">#REF!</definedName>
    <definedName name="QTA1\02p01p07p00s02">#REF!</definedName>
    <definedName name="QTA1\02p02p01p00s01" localSheetId="0">#REF!</definedName>
    <definedName name="QTA1\02p02p01p00s01" localSheetId="32">[1]Civil!$I$50</definedName>
    <definedName name="QTA1\02p02p01p00s01" localSheetId="7">#REF!</definedName>
    <definedName name="QTA1\02p02p01p00s01">#REF!</definedName>
    <definedName name="QTA1\02p02p02p00s01" localSheetId="0">#REF!</definedName>
    <definedName name="QTA1\02p02p02p00s01" localSheetId="32">[2]Civil!#REF!</definedName>
    <definedName name="QTA1\02p02p02p00s01" localSheetId="7">#REF!</definedName>
    <definedName name="QTA1\02p02p02p00s01">#REF!</definedName>
    <definedName name="QTA1\02p02p02p00s02" localSheetId="0">#REF!</definedName>
    <definedName name="QTA1\02p02p02p00s02" localSheetId="32">[2]Civil!#REF!</definedName>
    <definedName name="QTA1\02p02p02p00s02" localSheetId="7">#REF!</definedName>
    <definedName name="QTA1\02p02p02p00s02">#REF!</definedName>
    <definedName name="QTA1\02p02p02p00s03" localSheetId="0">#REF!</definedName>
    <definedName name="QTA1\02p02p02p00s03" localSheetId="32">[2]Civil!#REF!</definedName>
    <definedName name="QTA1\02p02p02p00s03" localSheetId="7">#REF!</definedName>
    <definedName name="QTA1\02p02p02p00s03">#REF!</definedName>
    <definedName name="QTA1\02p02p02p00s04" localSheetId="0">#REF!</definedName>
    <definedName name="QTA1\02p02p02p00s04" localSheetId="32">[2]Civil!#REF!</definedName>
    <definedName name="QTA1\02p02p02p00s04" localSheetId="7">#REF!</definedName>
    <definedName name="QTA1\02p02p02p00s04">#REF!</definedName>
    <definedName name="QTA1\02p02p02p03s05" localSheetId="0">#REF!</definedName>
    <definedName name="QTA1\02p02p02p03s05" localSheetId="32">[2]Civil!#REF!</definedName>
    <definedName name="QTA1\02p02p02p03s05" localSheetId="7">#REF!</definedName>
    <definedName name="QTA1\02p02p02p03s05">#REF!</definedName>
    <definedName name="QTA1\02p02p02p03s06" localSheetId="0">#REF!</definedName>
    <definedName name="QTA1\02p02p02p03s06" localSheetId="32">[2]Civil!#REF!</definedName>
    <definedName name="QTA1\02p02p02p03s06" localSheetId="7">#REF!</definedName>
    <definedName name="QTA1\02p02p02p03s06">#REF!</definedName>
    <definedName name="QTA1\02p02p02p03s07" localSheetId="0">#REF!</definedName>
    <definedName name="QTA1\02p02p02p03s07" localSheetId="32">[2]Civil!#REF!</definedName>
    <definedName name="QTA1\02p02p02p03s07" localSheetId="7">#REF!</definedName>
    <definedName name="QTA1\02p02p02p03s07">#REF!</definedName>
    <definedName name="QTA1\02p02p02p03s08" localSheetId="0">#REF!</definedName>
    <definedName name="QTA1\02p02p02p03s08" localSheetId="32">[2]Civil!#REF!</definedName>
    <definedName name="QTA1\02p02p02p03s08" localSheetId="7">#REF!</definedName>
    <definedName name="QTA1\02p02p02p03s08">#REF!</definedName>
    <definedName name="QTA1\02p02p02p04s09" localSheetId="0">#REF!</definedName>
    <definedName name="QTA1\02p02p02p04s09" localSheetId="32">[2]Civil!#REF!</definedName>
    <definedName name="QTA1\02p02p02p04s09" localSheetId="7">#REF!</definedName>
    <definedName name="QTA1\02p02p02p04s09">#REF!</definedName>
    <definedName name="QTA1\02p02p02p04s10" localSheetId="0">#REF!</definedName>
    <definedName name="QTA1\02p02p02p04s10" localSheetId="32">[2]Civil!#REF!</definedName>
    <definedName name="QTA1\02p02p02p04s10" localSheetId="7">#REF!</definedName>
    <definedName name="QTA1\02p02p02p04s10">#REF!</definedName>
    <definedName name="QTA1\02p02p02p04s11" localSheetId="0">#REF!</definedName>
    <definedName name="QTA1\02p02p02p04s11" localSheetId="32">[2]Civil!#REF!</definedName>
    <definedName name="QTA1\02p02p02p04s11" localSheetId="7">#REF!</definedName>
    <definedName name="QTA1\02p02p02p04s11">#REF!</definedName>
    <definedName name="QTA1\02p02p02p04s12" localSheetId="0">#REF!</definedName>
    <definedName name="QTA1\02p02p02p04s12" localSheetId="32">[2]Civil!#REF!</definedName>
    <definedName name="QTA1\02p02p02p04s12" localSheetId="7">#REF!</definedName>
    <definedName name="QTA1\02p02p02p04s12">#REF!</definedName>
    <definedName name="QTA1\02p02p03p00s01" localSheetId="0">#REF!</definedName>
    <definedName name="QTA1\02p02p03p00s01" localSheetId="32">[2]Civil!#REF!</definedName>
    <definedName name="QTA1\02p02p03p00s01" localSheetId="7">#REF!</definedName>
    <definedName name="QTA1\02p02p03p00s01">#REF!</definedName>
    <definedName name="QTA1\02p02p03p00s02" localSheetId="0">#REF!</definedName>
    <definedName name="QTA1\02p02p03p00s02" localSheetId="32">[2]Civil!#REF!</definedName>
    <definedName name="QTA1\02p02p03p00s02" localSheetId="7">#REF!</definedName>
    <definedName name="QTA1\02p02p03p00s02">#REF!</definedName>
    <definedName name="QTA1\02p02p03p00s03" localSheetId="0">#REF!</definedName>
    <definedName name="QTA1\02p02p03p00s03" localSheetId="32">[2]Civil!#REF!</definedName>
    <definedName name="QTA1\02p02p03p00s03" localSheetId="7">#REF!</definedName>
    <definedName name="QTA1\02p02p03p00s03">#REF!</definedName>
    <definedName name="QTA1\02p02p03p00s04" localSheetId="0">#REF!</definedName>
    <definedName name="QTA1\02p02p03p00s04" localSheetId="32">[2]Civil!#REF!</definedName>
    <definedName name="QTA1\02p02p03p00s04" localSheetId="7">#REF!</definedName>
    <definedName name="QTA1\02p02p03p00s04">#REF!</definedName>
    <definedName name="QTA1\02p02p03p00s05" localSheetId="0">#REF!</definedName>
    <definedName name="QTA1\02p02p03p00s05" localSheetId="32">[2]Civil!#REF!</definedName>
    <definedName name="QTA1\02p02p03p00s05" localSheetId="7">#REF!</definedName>
    <definedName name="QTA1\02p02p03p00s05">#REF!</definedName>
    <definedName name="QTA1\02p02p03p00s06" localSheetId="0">#REF!</definedName>
    <definedName name="QTA1\02p02p03p00s06" localSheetId="32">[2]Civil!#REF!</definedName>
    <definedName name="QTA1\02p02p03p00s06" localSheetId="7">#REF!</definedName>
    <definedName name="QTA1\02p02p03p00s06">#REF!</definedName>
    <definedName name="QTA1\02p02p03p00s07" localSheetId="0">#REF!</definedName>
    <definedName name="QTA1\02p02p03p00s07" localSheetId="32">[2]Civil!#REF!</definedName>
    <definedName name="QTA1\02p02p03p00s07" localSheetId="7">#REF!</definedName>
    <definedName name="QTA1\02p02p03p00s07">#REF!</definedName>
    <definedName name="QTA1\02p02p03p00s08" localSheetId="0">#REF!</definedName>
    <definedName name="QTA1\02p02p03p00s08" localSheetId="32">[2]Civil!#REF!</definedName>
    <definedName name="QTA1\02p02p03p00s08" localSheetId="7">#REF!</definedName>
    <definedName name="QTA1\02p02p03p00s08">#REF!</definedName>
    <definedName name="QTA1\02p02p03p00s09" localSheetId="0">#REF!</definedName>
    <definedName name="QTA1\02p02p03p00s09" localSheetId="32">[2]Civil!#REF!</definedName>
    <definedName name="QTA1\02p02p03p00s09" localSheetId="7">#REF!</definedName>
    <definedName name="QTA1\02p02p03p00s09">#REF!</definedName>
    <definedName name="QTA1\02p02p03p00s10" localSheetId="0">#REF!</definedName>
    <definedName name="QTA1\02p02p03p00s10" localSheetId="32">[2]Civil!#REF!</definedName>
    <definedName name="QTA1\02p02p03p00s10" localSheetId="7">#REF!</definedName>
    <definedName name="QTA1\02p02p03p00s10">#REF!</definedName>
    <definedName name="QTA1\02p02p03p00s11" localSheetId="0">#REF!</definedName>
    <definedName name="QTA1\02p02p03p00s11" localSheetId="32">[2]Civil!#REF!</definedName>
    <definedName name="QTA1\02p02p03p00s11" localSheetId="7">#REF!</definedName>
    <definedName name="QTA1\02p02p03p00s11">#REF!</definedName>
    <definedName name="QTA1\02p02p03p00s12" localSheetId="0">#REF!</definedName>
    <definedName name="QTA1\02p02p03p00s12" localSheetId="32">[2]Civil!#REF!</definedName>
    <definedName name="QTA1\02p02p03p00s12" localSheetId="7">#REF!</definedName>
    <definedName name="QTA1\02p02p03p00s12">#REF!</definedName>
    <definedName name="QTA1\02p02p04p00s01" localSheetId="0">#REF!</definedName>
    <definedName name="QTA1\02p02p04p00s01" localSheetId="32">[2]Civil!#REF!</definedName>
    <definedName name="QTA1\02p02p04p00s01" localSheetId="7">#REF!</definedName>
    <definedName name="QTA1\02p02p04p00s01">#REF!</definedName>
    <definedName name="QTA1\02p02p04p00s02" localSheetId="0">#REF!</definedName>
    <definedName name="QTA1\02p02p04p00s02" localSheetId="32">[2]Civil!#REF!</definedName>
    <definedName name="QTA1\02p02p04p00s02" localSheetId="7">#REF!</definedName>
    <definedName name="QTA1\02p02p04p00s02">#REF!</definedName>
    <definedName name="QTA1\02p02p05p00sA1" localSheetId="0">#REF!</definedName>
    <definedName name="QTA1\02p02p05p00sA1" localSheetId="32">[2]Civil!#REF!</definedName>
    <definedName name="QTA1\02p02p05p00sA1" localSheetId="7">#REF!</definedName>
    <definedName name="QTA1\02p02p05p00sA1">#REF!</definedName>
    <definedName name="QTA1\02p02p06p00sA1" localSheetId="0">#REF!</definedName>
    <definedName name="QTA1\02p02p06p00sA1" localSheetId="32">[2]Civil!#REF!</definedName>
    <definedName name="QTA1\02p02p06p00sA1" localSheetId="7">#REF!</definedName>
    <definedName name="QTA1\02p02p06p00sA1">#REF!</definedName>
    <definedName name="QTA1\02p02p06p00sA2" localSheetId="0">#REF!</definedName>
    <definedName name="QTA1\02p02p06p00sA2" localSheetId="32">[2]Civil!#REF!</definedName>
    <definedName name="QTA1\02p02p06p00sA2" localSheetId="7">#REF!</definedName>
    <definedName name="QTA1\02p02p06p00sA2">#REF!</definedName>
    <definedName name="QTA1\02p02p07p00sA1" localSheetId="0">#REF!</definedName>
    <definedName name="QTA1\02p02p07p00sA1" localSheetId="32">[2]Civil!#REF!</definedName>
    <definedName name="QTA1\02p02p07p00sA1" localSheetId="7">#REF!</definedName>
    <definedName name="QTA1\02p02p07p00sA1">#REF!</definedName>
    <definedName name="QTA1\02p02p07p00sA2" localSheetId="0">#REF!</definedName>
    <definedName name="QTA1\02p02p07p00sA2" localSheetId="32">[2]Civil!#REF!</definedName>
    <definedName name="QTA1\02p02p07p00sA2" localSheetId="7">#REF!</definedName>
    <definedName name="QTA1\02p02p07p00sA2">#REF!</definedName>
    <definedName name="QTA1\02p02p08p00sA1" localSheetId="0">#REF!</definedName>
    <definedName name="QTA1\02p02p08p00sA1" localSheetId="32">[2]Civil!#REF!</definedName>
    <definedName name="QTA1\02p02p08p00sA1" localSheetId="7">#REF!</definedName>
    <definedName name="QTA1\02p02p08p00sA1">#REF!</definedName>
    <definedName name="QTA1\02p03p00p00s01" localSheetId="0">#REF!</definedName>
    <definedName name="QTA1\02p03p00p00s01" localSheetId="32">[2]Civil!#REF!</definedName>
    <definedName name="QTA1\02p03p00p00s01" localSheetId="7">#REF!</definedName>
    <definedName name="QTA1\02p03p00p00s01">#REF!</definedName>
    <definedName name="QTA1\02p03p00p00s02" localSheetId="0">#REF!</definedName>
    <definedName name="QTA1\02p03p00p00s02" localSheetId="32">[2]Civil!#REF!</definedName>
    <definedName name="QTA1\02p03p00p00s02" localSheetId="7">#REF!</definedName>
    <definedName name="QTA1\02p03p00p00s02">#REF!</definedName>
    <definedName name="QTA1\02p03p00p00s03" localSheetId="0">#REF!</definedName>
    <definedName name="QTA1\02p03p00p00s03" localSheetId="32">[2]Civil!#REF!</definedName>
    <definedName name="QTA1\02p03p00p00s03" localSheetId="7">#REF!</definedName>
    <definedName name="QTA1\02p03p00p00s03">#REF!</definedName>
    <definedName name="QTA1\02p03p00p00s04" localSheetId="0">#REF!</definedName>
    <definedName name="QTA1\02p03p00p00s04" localSheetId="32">[2]Civil!#REF!</definedName>
    <definedName name="QTA1\02p03p00p00s04" localSheetId="7">#REF!</definedName>
    <definedName name="QTA1\02p03p00p00s04">#REF!</definedName>
    <definedName name="QTA1\02p06p00p00s01" localSheetId="0">#REF!</definedName>
    <definedName name="QTA1\02p06p00p00s01" localSheetId="32">[1]Civil!$I$56</definedName>
    <definedName name="QTA1\02p06p00p00s01" localSheetId="7">#REF!</definedName>
    <definedName name="QTA1\02p06p00p00s01">#REF!</definedName>
    <definedName name="QTA1\02p07p00p00s01" localSheetId="0">#REF!</definedName>
    <definedName name="QTA1\02p07p00p00s01" localSheetId="32">[1]Civil!$I$62</definedName>
    <definedName name="QTA1\02p07p00p00s01" localSheetId="7">#REF!</definedName>
    <definedName name="QTA1\02p07p00p00s01">#REF!</definedName>
    <definedName name="QTA1\02p07p00p00s02" localSheetId="0">#REF!</definedName>
    <definedName name="QTA1\02p07p00p00s02" localSheetId="32">[1]Civil!$I$66</definedName>
    <definedName name="QTA1\02p07p00p00s02" localSheetId="7">#REF!</definedName>
    <definedName name="QTA1\02p07p00p00s02">#REF!</definedName>
    <definedName name="QTA1\02p07p00p00s04" localSheetId="0">#REF!</definedName>
    <definedName name="QTA1\02p07p00p00s04" localSheetId="32">[1]Civil!$I$70</definedName>
    <definedName name="QTA1\02p07p00p00s04" localSheetId="7">#REF!</definedName>
    <definedName name="QTA1\02p07p00p00s04">#REF!</definedName>
    <definedName name="QTA1\03p01p00p00s01" localSheetId="0">#REF!</definedName>
    <definedName name="QTA1\03p01p00p00s01" localSheetId="32">[1]Civil!$I$78</definedName>
    <definedName name="QTA1\03p01p00p00s01" localSheetId="7">#REF!</definedName>
    <definedName name="QTA1\03p01p00p00s01">#REF!</definedName>
    <definedName name="QTA1\03p01p00p00s02" localSheetId="0">#REF!</definedName>
    <definedName name="QTA1\03p01p00p00s02" localSheetId="32">[1]Civil!$I$82</definedName>
    <definedName name="QTA1\03p01p00p00s02" localSheetId="7">#REF!</definedName>
    <definedName name="QTA1\03p01p00p00s02">#REF!</definedName>
    <definedName name="QTA1\03p03p00p00s01" localSheetId="0">#REF!</definedName>
    <definedName name="QTA1\03p03p00p00s01" localSheetId="32">[1]Civil!$I$89</definedName>
    <definedName name="QTA1\03p03p00p00s01" localSheetId="7">#REF!</definedName>
    <definedName name="QTA1\03p03p00p00s01">#REF!</definedName>
    <definedName name="QTA1\03p03p00p00s07" localSheetId="0">#REF!</definedName>
    <definedName name="QTA1\03p03p00p00s07" localSheetId="32">[1]Civil!$I$93</definedName>
    <definedName name="QTA1\03p03p00p00s07" localSheetId="7">#REF!</definedName>
    <definedName name="QTA1\03p03p00p00s07">#REF!</definedName>
    <definedName name="QTA1\03p05p01p00s01" localSheetId="0">#REF!</definedName>
    <definedName name="QTA1\03p05p01p00s01" localSheetId="32">[1]Civil!$I$99</definedName>
    <definedName name="QTA1\03p05p01p00s01" localSheetId="7">#REF!</definedName>
    <definedName name="QTA1\03p05p01p00s01">#REF!</definedName>
    <definedName name="QTA1\03p05p01p00s03" localSheetId="0">#REF!</definedName>
    <definedName name="QTA1\03p05p01p00s03" localSheetId="32">[1]Civil!$I$103</definedName>
    <definedName name="QTA1\03p05p01p00s03" localSheetId="7">#REF!</definedName>
    <definedName name="QTA1\03p05p01p00s03">#REF!</definedName>
    <definedName name="QTA1\03p05p02p00s01" localSheetId="0">#REF!</definedName>
    <definedName name="QTA1\03p05p02p00s01" localSheetId="32">[1]Civil!$I$108</definedName>
    <definedName name="QTA1\03p05p02p00s01" localSheetId="7">#REF!</definedName>
    <definedName name="QTA1\03p05p02p00s01">#REF!</definedName>
    <definedName name="QTA1\03p05p02p00s03" localSheetId="0">#REF!</definedName>
    <definedName name="QTA1\03p05p02p00s03" localSheetId="32">[1]Civil!$I$112</definedName>
    <definedName name="QTA1\03p05p02p00s03" localSheetId="7">#REF!</definedName>
    <definedName name="QTA1\03p05p02p00s03">#REF!</definedName>
    <definedName name="QTA1\03p05p03p01s01" localSheetId="7">#REF!</definedName>
    <definedName name="QTA1\03p05p03p01s02" localSheetId="7">#REF!</definedName>
    <definedName name="QTA1\03p06p00p00s01" localSheetId="0">#REF!</definedName>
    <definedName name="QTA1\03p06p00p00s01" localSheetId="32">[1]Civil!$I$117</definedName>
    <definedName name="QTA1\03p06p00p00s01" localSheetId="7">#REF!</definedName>
    <definedName name="QTA1\03p06p00p00s01">#REF!</definedName>
    <definedName name="QTA1\03p06p00p00s02" localSheetId="0">#REF!</definedName>
    <definedName name="QTA1\03p06p00p00s02" localSheetId="32">[1]Civil!$I$121</definedName>
    <definedName name="QTA1\03p06p00p00s02" localSheetId="7">#REF!</definedName>
    <definedName name="QTA1\03p06p00p00s02">#REF!</definedName>
    <definedName name="QTA1\03p06p00p00s03" localSheetId="0">#REF!</definedName>
    <definedName name="QTA1\03p06p00p00s03" localSheetId="32">[1]Civil!$I$125</definedName>
    <definedName name="QTA1\03p06p00p00s03" localSheetId="7">#REF!</definedName>
    <definedName name="QTA1\03p06p00p00s03">#REF!</definedName>
    <definedName name="QTA1\03p06p00p00s04" localSheetId="0">#REF!</definedName>
    <definedName name="QTA1\03p06p00p00s04" localSheetId="32">[1]Civil!$I$129</definedName>
    <definedName name="QTA1\03p06p00p00s04" localSheetId="7">#REF!</definedName>
    <definedName name="QTA1\03p06p00p00s04">#REF!</definedName>
    <definedName name="QTA1\03p06p00p00s05" localSheetId="0">#REF!</definedName>
    <definedName name="QTA1\03p06p00p00s05" localSheetId="32">[1]Civil!$I$133</definedName>
    <definedName name="QTA1\03p06p00p00s05" localSheetId="7">#REF!</definedName>
    <definedName name="QTA1\03p06p00p00s05">#REF!</definedName>
    <definedName name="QTA1\03p06p00p00s06" localSheetId="0">#REF!</definedName>
    <definedName name="QTA1\03p06p00p00s06" localSheetId="32">[1]Civil!$I$137</definedName>
    <definedName name="QTA1\03p06p00p00s06" localSheetId="7">#REF!</definedName>
    <definedName name="QTA1\03p06p00p00s06">#REF!</definedName>
    <definedName name="QTA1\03p06p00p00s07" localSheetId="0">#REF!</definedName>
    <definedName name="QTA1\03p06p00p00s07" localSheetId="32">[1]Civil!$I$141</definedName>
    <definedName name="QTA1\03p06p00p00s07" localSheetId="7">#REF!</definedName>
    <definedName name="QTA1\03p06p00p00s07">#REF!</definedName>
    <definedName name="QTA1\03p06p00p00s08" localSheetId="0">#REF!</definedName>
    <definedName name="QTA1\03p06p00p00s08" localSheetId="32">[1]Civil!$I$145</definedName>
    <definedName name="QTA1\03p06p00p00s08" localSheetId="7">#REF!</definedName>
    <definedName name="QTA1\03p06p00p00s08">#REF!</definedName>
    <definedName name="QTA1\03p06p00p00s09" localSheetId="0">#REF!</definedName>
    <definedName name="QTA1\03p06p00p00s09" localSheetId="32">[1]Civil!$I$149</definedName>
    <definedName name="QTA1\03p06p00p00s09" localSheetId="7">#REF!</definedName>
    <definedName name="QTA1\03p06p00p00s09">#REF!</definedName>
    <definedName name="QTA1\03p06p00p00s10" localSheetId="0">#REF!</definedName>
    <definedName name="QTA1\03p06p00p00s10" localSheetId="32">[1]Civil!$I$153</definedName>
    <definedName name="QTA1\03p06p00p00s10" localSheetId="7">#REF!</definedName>
    <definedName name="QTA1\03p06p00p00s10">#REF!</definedName>
    <definedName name="QTA1\03p06p00p00s11" localSheetId="0">#REF!</definedName>
    <definedName name="QTA1\03p06p00p00s11" localSheetId="32">[1]Civil!$I$157</definedName>
    <definedName name="QTA1\03p06p00p00s11" localSheetId="7">#REF!</definedName>
    <definedName name="QTA1\03p06p00p00s11">#REF!</definedName>
    <definedName name="QTA1\03p06p00p00s12" localSheetId="0">#REF!</definedName>
    <definedName name="QTA1\03p06p00p00s12" localSheetId="32">[1]Civil!$I$161</definedName>
    <definedName name="QTA1\03p06p00p00s12" localSheetId="7">#REF!</definedName>
    <definedName name="QTA1\03p06p00p00s12">#REF!</definedName>
    <definedName name="QTA1\03p06p00p00s13" localSheetId="0">#REF!</definedName>
    <definedName name="QTA1\03p06p00p00s13" localSheetId="32">[1]Civil!$I$165</definedName>
    <definedName name="QTA1\03p06p00p00s13" localSheetId="7">#REF!</definedName>
    <definedName name="QTA1\03p06p00p00s13">#REF!</definedName>
    <definedName name="QTA1\03p06p00p00s14" localSheetId="0">#REF!</definedName>
    <definedName name="QTA1\03p06p00p00s14" localSheetId="32">[1]Civil!$I$169</definedName>
    <definedName name="QTA1\03p06p00p00s14" localSheetId="7">#REF!</definedName>
    <definedName name="QTA1\03p06p00p00s14">#REF!</definedName>
    <definedName name="QTA1\03p06p00p00s15" localSheetId="0">#REF!</definedName>
    <definedName name="QTA1\03p06p00p00s15" localSheetId="32">[1]Civil!$I$173</definedName>
    <definedName name="QTA1\03p06p00p00s15" localSheetId="7">#REF!</definedName>
    <definedName name="QTA1\03p06p00p00s15">#REF!</definedName>
    <definedName name="QTA1\03p06p00p00s16" localSheetId="0">#REF!</definedName>
    <definedName name="QTA1\03p06p00p00s16" localSheetId="32">[1]Civil!$I$177</definedName>
    <definedName name="QTA1\03p06p00p00s16" localSheetId="7">#REF!</definedName>
    <definedName name="QTA1\03p06p00p00s16">#REF!</definedName>
    <definedName name="QTA1\04p01p00p00s01" localSheetId="0">#REF!</definedName>
    <definedName name="QTA1\04p01p00p00s01" localSheetId="32">[1]Civil!$I$183</definedName>
    <definedName name="QTA1\04p01p00p00s01" localSheetId="7">#REF!</definedName>
    <definedName name="QTA1\04p01p00p00s01">#REF!</definedName>
    <definedName name="QTA1\04p01p00p00s02" localSheetId="0">#REF!</definedName>
    <definedName name="QTA1\04p01p00p00s02" localSheetId="32">[1]Civil!$I$187</definedName>
    <definedName name="QTA1\04p01p00p00s02" localSheetId="7">#REF!</definedName>
    <definedName name="QTA1\04p01p00p00s02">#REF!</definedName>
    <definedName name="QTA1\04p02p00p00s01" localSheetId="7">#REF!</definedName>
    <definedName name="QTA1\04p02p00p00s03" localSheetId="7">#REF!</definedName>
    <definedName name="QTA1\04p02p00p00s04" localSheetId="0">#REF!</definedName>
    <definedName name="QTA1\04p02p00p00s04" localSheetId="32">[1]Civil!$I$192</definedName>
    <definedName name="QTA1\04p02p00p00s04" localSheetId="7">#REF!</definedName>
    <definedName name="QTA1\04p02p00p00s04">#REF!</definedName>
    <definedName name="QTA1\04p02p00p00s06" localSheetId="0">#REF!</definedName>
    <definedName name="QTA1\04p02p00p00s06" localSheetId="32">[1]Civil!$I$201</definedName>
    <definedName name="QTA1\04p02p00p00s06" localSheetId="7">#REF!</definedName>
    <definedName name="QTA1\04p02p00p00s06">#REF!</definedName>
    <definedName name="QTA1\04p02p00s02" localSheetId="7">#REF!</definedName>
    <definedName name="QTA1\04p02p01p00s01" localSheetId="0">#REF!</definedName>
    <definedName name="QTA1\04p02p01p00s01" localSheetId="32">[1]Civil!$I$206</definedName>
    <definedName name="QTA1\04p02p01p00s01" localSheetId="7">#REF!</definedName>
    <definedName name="QTA1\04p02p01p00s01">#REF!</definedName>
    <definedName name="QTA1\04p02p01p00s03" localSheetId="0">#REF!</definedName>
    <definedName name="QTA1\04p02p01p00s03" localSheetId="32">[1]Civil!$I$210</definedName>
    <definedName name="QTA1\04p02p01p00s03" localSheetId="7">#REF!</definedName>
    <definedName name="QTA1\04p02p01p00s03">#REF!</definedName>
    <definedName name="QTA1\04p02p02p00s01" localSheetId="0">#REF!</definedName>
    <definedName name="QTA1\04p02p02p00s01" localSheetId="32">[1]Civil!$I$215</definedName>
    <definedName name="QTA1\04p02p02p00s01" localSheetId="7">#REF!</definedName>
    <definedName name="QTA1\04p02p02p00s01">#REF!</definedName>
    <definedName name="QTA1\04p02p02p00s03" localSheetId="0">#REF!</definedName>
    <definedName name="QTA1\04p02p02p00s03" localSheetId="32">[1]Civil!$I$225</definedName>
    <definedName name="QTA1\04p02p02p00s03" localSheetId="7">#REF!</definedName>
    <definedName name="QTA1\04p02p02p00s03">#REF!</definedName>
    <definedName name="QTA1\04p04p00p00s04" localSheetId="0">#REF!</definedName>
    <definedName name="QTA1\04p04p00p00s04" localSheetId="32">[1]Civil!$I$230</definedName>
    <definedName name="QTA1\04p04p00p00s04" localSheetId="7">#REF!</definedName>
    <definedName name="QTA1\04p04p00p00s04">#REF!</definedName>
    <definedName name="QTA1\04p04p00p00s05" localSheetId="0">#REF!</definedName>
    <definedName name="QTA1\04p04p00p00s05" localSheetId="32">[1]Civil!$I$234</definedName>
    <definedName name="QTA1\04p04p00p00s05" localSheetId="7">#REF!</definedName>
    <definedName name="QTA1\04p04p00p00s05">#REF!</definedName>
    <definedName name="QTA1\04p04p00p00s06" localSheetId="0">#REF!</definedName>
    <definedName name="QTA1\04p04p00p00s06" localSheetId="32">[1]Civil!$I$239</definedName>
    <definedName name="QTA1\04p04p00p00s06" localSheetId="7">#REF!</definedName>
    <definedName name="QTA1\04p04p00p00s06">#REF!</definedName>
    <definedName name="QTA1\04p04p00p00s07" localSheetId="0">#REF!</definedName>
    <definedName name="QTA1\04p04p00p00s07" localSheetId="32">[1]Civil!$I$243</definedName>
    <definedName name="QTA1\04p04p00p00s07" localSheetId="7">#REF!</definedName>
    <definedName name="QTA1\04p04p00p00s07">#REF!</definedName>
    <definedName name="QTA1\04p04p00p00s08" localSheetId="0">#REF!</definedName>
    <definedName name="QTA1\04p04p00p00s08" localSheetId="32">[1]Civil!$I$249</definedName>
    <definedName name="QTA1\04p04p00p00s08" localSheetId="7">#REF!</definedName>
    <definedName name="QTA1\04p04p00p00s08">#REF!</definedName>
    <definedName name="QTA1\04p04p00p00s09" localSheetId="0">#REF!</definedName>
    <definedName name="QTA1\04p04p00p00s09" localSheetId="32">[1]Civil!$I$253</definedName>
    <definedName name="QTA1\04p04p00p00s09" localSheetId="7">#REF!</definedName>
    <definedName name="QTA1\04p04p00p00s09">#REF!</definedName>
    <definedName name="QTA1\04p04p00p00s10" localSheetId="0">#REF!</definedName>
    <definedName name="QTA1\04p04p00p00s10" localSheetId="32">[1]Civil!$I$257</definedName>
    <definedName name="QTA1\04p04p00p00s10" localSheetId="7">#REF!</definedName>
    <definedName name="QTA1\04p04p00p00s10">#REF!</definedName>
    <definedName name="QTA1\04p04p00p00s11" localSheetId="0">#REF!</definedName>
    <definedName name="QTA1\04p04p00p00s11" localSheetId="32">[1]Civil!$I$261</definedName>
    <definedName name="QTA1\04p04p00p00s11" localSheetId="7">#REF!</definedName>
    <definedName name="QTA1\04p04p00p00s11">#REF!</definedName>
    <definedName name="QTA1\04p04p00p00s12" localSheetId="0">#REF!</definedName>
    <definedName name="QTA1\04p04p00p00s12" localSheetId="32">[1]Civil!$I$265</definedName>
    <definedName name="QTA1\04p04p00p00s12" localSheetId="7">#REF!</definedName>
    <definedName name="QTA1\04p04p00p00s12">#REF!</definedName>
    <definedName name="QTA1\04p04p00p00s13" localSheetId="0">#REF!</definedName>
    <definedName name="QTA1\04p04p00p00s13" localSheetId="32">[1]Civil!$I$269</definedName>
    <definedName name="QTA1\04p04p00p00s13" localSheetId="7">#REF!</definedName>
    <definedName name="QTA1\04p04p00p00s13">#REF!</definedName>
    <definedName name="QTA1\05p01p01p00s04" localSheetId="0">#REF!</definedName>
    <definedName name="QTA1\05p01p01p00s04" localSheetId="32">[1]Civil!$I$276</definedName>
    <definedName name="QTA1\05p01p01p00s04" localSheetId="7">#REF!</definedName>
    <definedName name="QTA1\05p01p01p00s04">#REF!</definedName>
    <definedName name="QTA1\05p01p02p00s04" localSheetId="0">#REF!</definedName>
    <definedName name="QTA1\05p01p02p00s04" localSheetId="32">[1]Civil!$I$281</definedName>
    <definedName name="QTA1\05p01p02p00s04" localSheetId="7">#REF!</definedName>
    <definedName name="QTA1\05p01p02p00s04">#REF!</definedName>
    <definedName name="QTA1\05p01p03p00s04" localSheetId="0">#REF!</definedName>
    <definedName name="QTA1\05p01p03p00s04" localSheetId="32">[1]Civil!$I$286</definedName>
    <definedName name="QTA1\05p01p03p00s04" localSheetId="7">#REF!</definedName>
    <definedName name="QTA1\05p01p03p00s04">#REF!</definedName>
    <definedName name="QTA1\05p01p03p00s05" localSheetId="0">#REF!</definedName>
    <definedName name="QTA1\05p01p03p00s05" localSheetId="32">[1]Civil!$I$290</definedName>
    <definedName name="QTA1\05p01p03p00s05" localSheetId="7">#REF!</definedName>
    <definedName name="QTA1\05p01p03p00s05">#REF!</definedName>
    <definedName name="QTA1\05p01p04p00s04" localSheetId="0">#REF!</definedName>
    <definedName name="QTA1\05p01p04p00s04" localSheetId="32">[1]Civil!$I$296</definedName>
    <definedName name="QTA1\05p01p04p00s04" localSheetId="7">#REF!</definedName>
    <definedName name="QTA1\05p01p04p00s04">#REF!</definedName>
    <definedName name="QTA1\05p01p04p00s05" localSheetId="0">#REF!</definedName>
    <definedName name="QTA1\05p01p04p00s05" localSheetId="32">[1]Civil!$I$300</definedName>
    <definedName name="QTA1\05p01p04p00s05" localSheetId="7">#REF!</definedName>
    <definedName name="QTA1\05p01p04p00s05">#REF!</definedName>
    <definedName name="QTA1\05p01p05p00s04" localSheetId="0">#REF!</definedName>
    <definedName name="QTA1\05p01p05p00s04" localSheetId="32">[1]Civil!$I$305</definedName>
    <definedName name="QTA1\05p01p05p00s04" localSheetId="7">#REF!</definedName>
    <definedName name="QTA1\05p01p05p00s04">#REF!</definedName>
    <definedName name="QTA1\05p02p00p00s04" localSheetId="0">#REF!</definedName>
    <definedName name="QTA1\05p02p00p00s04" localSheetId="32">[1]Civil!$I$310</definedName>
    <definedName name="QTA1\05p02p00p00s04" localSheetId="7">#REF!</definedName>
    <definedName name="QTA1\05p02p00p00s04">#REF!</definedName>
    <definedName name="QTA1\05p03p00p00s04" localSheetId="0">#REF!</definedName>
    <definedName name="QTA1\05p03p00p00s04" localSheetId="32">[1]Civil!$I$315</definedName>
    <definedName name="QTA1\05p03p00p00s04" localSheetId="7">#REF!</definedName>
    <definedName name="QTA1\05p03p00p00s04">#REF!</definedName>
    <definedName name="QTA1\05p05p00p00s04" localSheetId="0">#REF!</definedName>
    <definedName name="QTA1\05p05p00p00s04" localSheetId="32">[1]Civil!$I$320</definedName>
    <definedName name="QTA1\05p05p00p00s04" localSheetId="7">#REF!</definedName>
    <definedName name="QTA1\05p05p00p00s04">#REF!</definedName>
    <definedName name="QTA1\07p02p01p00s01" localSheetId="7">#REF!</definedName>
    <definedName name="QTA1\07p03p02p00s01" localSheetId="0">#REF!</definedName>
    <definedName name="QTA1\07p03p02p00s01" localSheetId="32">[1]Civil!$I$328</definedName>
    <definedName name="QTA1\07p03p02p00s01" localSheetId="7">#REF!</definedName>
    <definedName name="QTA1\07p03p02p00s01">#REF!</definedName>
    <definedName name="QTA1\07p03p02p00s02" localSheetId="0">#REF!</definedName>
    <definedName name="QTA1\07p03p02p00s02" localSheetId="32">[1]Civil!$I$332</definedName>
    <definedName name="QTA1\07p03p02p00s02" localSheetId="7">#REF!</definedName>
    <definedName name="QTA1\07p03p02p00s02">#REF!</definedName>
    <definedName name="QTA1\07p04p01p00s01" localSheetId="0">#REF!</definedName>
    <definedName name="QTA1\07p04p01p00s01" localSheetId="32">[1]Civil!$I$338</definedName>
    <definedName name="QTA1\07p04p01p00s01" localSheetId="7">#REF!</definedName>
    <definedName name="QTA1\07p04p01p00s01">#REF!</definedName>
    <definedName name="QTA1\07p04p01p00s02" localSheetId="0">#REF!</definedName>
    <definedName name="QTA1\07p04p01p00s02" localSheetId="32">[1]Civil!$I$342</definedName>
    <definedName name="QTA1\07p04p01p00s02" localSheetId="7">#REF!</definedName>
    <definedName name="QTA1\07p04p01p00s02">#REF!</definedName>
    <definedName name="QTA1\07p04p01p00s04" localSheetId="0">#REF!</definedName>
    <definedName name="QTA1\07p04p01p00s04" localSheetId="32">[1]Civil!$I$346</definedName>
    <definedName name="QTA1\07p04p01p00s04" localSheetId="7">#REF!</definedName>
    <definedName name="QTA1\07p04p01p00s04">#REF!</definedName>
    <definedName name="QTA1\07p04p01p00s05" localSheetId="0">#REF!</definedName>
    <definedName name="QTA1\07p04p01p00s05" localSheetId="32">[1]Civil!$I$350</definedName>
    <definedName name="QTA1\07p04p01p00s05" localSheetId="7">#REF!</definedName>
    <definedName name="QTA1\07p04p01p00s05">#REF!</definedName>
    <definedName name="QTA1\07p04p01p00s06" localSheetId="0">#REF!</definedName>
    <definedName name="QTA1\07p04p01p00s06" localSheetId="32">[1]Civil!$I$354</definedName>
    <definedName name="QTA1\07p04p01p00s06" localSheetId="7">#REF!</definedName>
    <definedName name="QTA1\07p04p01p00s06">#REF!</definedName>
    <definedName name="QTA1\07p04p01p00s06A" localSheetId="0">#REF!</definedName>
    <definedName name="QTA1\07p04p01p00s06A" localSheetId="32">[1]Civil!$I$358</definedName>
    <definedName name="QTA1\07p04p01p00s06A" localSheetId="7">#REF!</definedName>
    <definedName name="QTA1\07p04p01p00s06A">#REF!</definedName>
    <definedName name="QTA1\07p04p01p00s07" localSheetId="0">#REF!</definedName>
    <definedName name="QTA1\07p04p01p00s07" localSheetId="32">[1]Civil!$I$362</definedName>
    <definedName name="QTA1\07p04p01p00s07" localSheetId="7">#REF!</definedName>
    <definedName name="QTA1\07p04p01p00s07">#REF!</definedName>
    <definedName name="QTA1\07p04p01p00s07A" localSheetId="0">#REF!</definedName>
    <definedName name="QTA1\07p04p01p00s07A" localSheetId="32">[1]Civil!$I$366</definedName>
    <definedName name="QTA1\07p04p01p00s07A" localSheetId="7">#REF!</definedName>
    <definedName name="QTA1\07p04p01p00s07A">#REF!</definedName>
    <definedName name="QTA1\07p04p01p00s08" localSheetId="0">#REF!</definedName>
    <definedName name="QTA1\07p04p01p00s08" localSheetId="32">[1]Civil!$I$370</definedName>
    <definedName name="QTA1\07p04p01p00s08" localSheetId="7">#REF!</definedName>
    <definedName name="QTA1\07p04p01p00s08">#REF!</definedName>
    <definedName name="QTA1\07p04p01p00s09" localSheetId="0">#REF!</definedName>
    <definedName name="QTA1\07p04p01p00s09" localSheetId="32">[1]Civil!$I$374</definedName>
    <definedName name="QTA1\07p04p01p00s09" localSheetId="7">#REF!</definedName>
    <definedName name="QTA1\07p04p01p00s09">#REF!</definedName>
    <definedName name="QTA1\07p04p01p00s09A" localSheetId="0">#REF!</definedName>
    <definedName name="QTA1\07p04p01p00s09A" localSheetId="32">[1]Civil!$I$378</definedName>
    <definedName name="QTA1\07p04p01p00s09A" localSheetId="7">#REF!</definedName>
    <definedName name="QTA1\07p04p01p00s09A">#REF!</definedName>
    <definedName name="QTA1\07p04p01p00s09B" localSheetId="0">#REF!</definedName>
    <definedName name="QTA1\07p04p01p00s09B" localSheetId="32">[1]Civil!$I$382</definedName>
    <definedName name="QTA1\07p04p01p00s09B" localSheetId="7">#REF!</definedName>
    <definedName name="QTA1\07p04p01p00s09B">#REF!</definedName>
    <definedName name="QTA1\07p04p01p00s09C" localSheetId="0">#REF!</definedName>
    <definedName name="QTA1\07p04p01p00s09C" localSheetId="32">[1]Civil!$I$386</definedName>
    <definedName name="QTA1\07p04p01p00s09C" localSheetId="7">#REF!</definedName>
    <definedName name="QTA1\07p04p01p00s09C">#REF!</definedName>
    <definedName name="QTA1\07p04p01p00s09D" localSheetId="0">#REF!</definedName>
    <definedName name="QTA1\07p04p01p00s09D" localSheetId="32">[1]Civil!$I$390</definedName>
    <definedName name="QTA1\07p04p01p00s09D" localSheetId="7">#REF!</definedName>
    <definedName name="QTA1\07p04p01p00s09D">#REF!</definedName>
    <definedName name="QTA1\07p04p03p00s01" localSheetId="0">#REF!</definedName>
    <definedName name="QTA1\07p04p03p00s01" localSheetId="32">[1]Civil!$I$395</definedName>
    <definedName name="QTA1\07p04p03p00s01" localSheetId="7">#REF!</definedName>
    <definedName name="QTA1\07p04p03p00s01">#REF!</definedName>
    <definedName name="QTA1\07p04p03p00s02" localSheetId="0">#REF!</definedName>
    <definedName name="QTA1\07p04p03p00s02" localSheetId="32">[1]Civil!$I$399</definedName>
    <definedName name="QTA1\07p04p03p00s02" localSheetId="7">#REF!</definedName>
    <definedName name="QTA1\07p04p03p00s02">#REF!</definedName>
    <definedName name="QTA1\08p01p00p00s01" localSheetId="0">#REF!</definedName>
    <definedName name="QTA1\08p01p00p00s01" localSheetId="32">[1]Civil!#REF!</definedName>
    <definedName name="QTA1\08p01p00p00s01" localSheetId="7">#REF!</definedName>
    <definedName name="QTA1\08p01p00p00s01">#REF!</definedName>
    <definedName name="QTA1\08p02p00p00s02" localSheetId="7">#REF!</definedName>
    <definedName name="QTA1\08p02p00p00s06" localSheetId="7">#REF!</definedName>
    <definedName name="QTA1\08p02p00p00s09" localSheetId="7">#REF!</definedName>
    <definedName name="QTA1\08p04p00p00s01" localSheetId="7">#REF!</definedName>
    <definedName name="QTA1\08p04p00p00s02" localSheetId="7">#REF!</definedName>
    <definedName name="QTA1\08p05p00p00s03" localSheetId="0">#REF!</definedName>
    <definedName name="QTA1\08p05p00p00s03" localSheetId="32">[2]Civil!#REF!</definedName>
    <definedName name="QTA1\08p05p00p00s03" localSheetId="7">#REF!</definedName>
    <definedName name="QTA1\08p05p00p00s03">#REF!</definedName>
    <definedName name="QTA1\08p05p00p00s04" localSheetId="0">#REF!</definedName>
    <definedName name="QTA1\08p05p00p00s04" localSheetId="32">[2]Civil!#REF!</definedName>
    <definedName name="QTA1\08p05p00p00s04" localSheetId="7">#REF!</definedName>
    <definedName name="QTA1\08p05p00p00s04">#REF!</definedName>
    <definedName name="QTA1\08p05p00p00s05" localSheetId="0">#REF!</definedName>
    <definedName name="QTA1\08p05p00p00s05" localSheetId="32">[2]Civil!#REF!</definedName>
    <definedName name="QTA1\08p05p00p00s05" localSheetId="7">#REF!</definedName>
    <definedName name="QTA1\08p05p00p00s05">#REF!</definedName>
    <definedName name="QTA1\08p05p00p00s06" localSheetId="0">#REF!</definedName>
    <definedName name="QTA1\08p05p00p00s06" localSheetId="32">[2]Civil!#REF!</definedName>
    <definedName name="QTA1\08p05p00p00s06" localSheetId="7">#REF!</definedName>
    <definedName name="QTA1\08p05p00p00s06">#REF!</definedName>
    <definedName name="QTA1\08p05p00p00s07" localSheetId="0">#REF!</definedName>
    <definedName name="QTA1\08p05p00p00s07" localSheetId="32">[2]Civil!#REF!</definedName>
    <definedName name="QTA1\08p05p00p00s07" localSheetId="7">#REF!</definedName>
    <definedName name="QTA1\08p05p00p00s07">#REF!</definedName>
    <definedName name="QTA1\08p05p00p00s08" localSheetId="0">#REF!</definedName>
    <definedName name="QTA1\08p05p00p00s08" localSheetId="32">[2]Civil!#REF!</definedName>
    <definedName name="QTA1\08p05p00p00s08" localSheetId="7">#REF!</definedName>
    <definedName name="QTA1\08p05p00p00s08">#REF!</definedName>
    <definedName name="QTA1\08p05p01p02s02" localSheetId="7">#REF!</definedName>
    <definedName name="QTA1\08p05p01p03s01" localSheetId="7">#REF!</definedName>
    <definedName name="QTA1\08p05p01p03s02" localSheetId="7">#REF!</definedName>
    <definedName name="QTA1\08p05p01p03s03" localSheetId="7">#REF!</definedName>
    <definedName name="QTA1\08p05p01p03s04" localSheetId="7">#REF!</definedName>
    <definedName name="QTA1\08p05p03p00s01" localSheetId="7">#REF!</definedName>
    <definedName name="QTA1\08p06p02p00s02" localSheetId="7">#REF!</definedName>
    <definedName name="QTA1\09p01p01p00s02" localSheetId="7">#REF!</definedName>
    <definedName name="QTA1\09p02p01p00s01" localSheetId="0">#REF!</definedName>
    <definedName name="QTA1\09p02p01p00s01" localSheetId="32">[1]Civil!$I$407</definedName>
    <definedName name="QTA1\09p02p01p00s01" localSheetId="7">#REF!</definedName>
    <definedName name="QTA1\09p02p01p00s01">#REF!</definedName>
    <definedName name="QTA1\09p02p01p00s02" localSheetId="0">#REF!</definedName>
    <definedName name="QTA1\09p02p01p00s02" localSheetId="32">[1]Civil!$I$411</definedName>
    <definedName name="QTA1\09p02p01p00s02" localSheetId="7">#REF!</definedName>
    <definedName name="QTA1\09p02p01p00s02">#REF!</definedName>
    <definedName name="QTA1\09p02p01p00s03" localSheetId="0">#REF!</definedName>
    <definedName name="QTA1\09p02p01p00s03" localSheetId="32">[1]Civil!$I$415</definedName>
    <definedName name="QTA1\09p02p01p00s03" localSheetId="7">#REF!</definedName>
    <definedName name="QTA1\09p02p01p00s03">#REF!</definedName>
    <definedName name="QTA1\09p02p01p00s04" localSheetId="0">#REF!</definedName>
    <definedName name="QTA1\09p02p01p00s04" localSheetId="32">[1]Civil!$I$419</definedName>
    <definedName name="QTA1\09p02p01p00s04" localSheetId="7">#REF!</definedName>
    <definedName name="QTA1\09p02p01p00s04">#REF!</definedName>
    <definedName name="QTA1\09p02p01p00s05" localSheetId="0">#REF!</definedName>
    <definedName name="QTA1\09p02p01p00s05" localSheetId="32">[1]Civil!$I$423</definedName>
    <definedName name="QTA1\09p02p01p00s05" localSheetId="7">#REF!</definedName>
    <definedName name="QTA1\09p02p01p00s05">#REF!</definedName>
    <definedName name="QTA1\09p02p01p00sA1" localSheetId="0">#REF!</definedName>
    <definedName name="QTA1\09p02p01p00sA1" localSheetId="32">[1]Civil!$I$427</definedName>
    <definedName name="QTA1\09p02p01p00sA1" localSheetId="7">#REF!</definedName>
    <definedName name="QTA1\09p02p01p00sA1">#REF!</definedName>
    <definedName name="QTA1\09p02p01p00sA2" localSheetId="0">#REF!</definedName>
    <definedName name="QTA1\09p02p01p00sA2" localSheetId="32">[1]Civil!$I$431</definedName>
    <definedName name="QTA1\09p02p01p00sA2" localSheetId="7">#REF!</definedName>
    <definedName name="QTA1\09p02p01p00sA2">#REF!</definedName>
    <definedName name="QTA1\09p02p01p00sA3" localSheetId="0">#REF!</definedName>
    <definedName name="QTA1\09p02p01p00sA3" localSheetId="32">[1]Civil!$I$435</definedName>
    <definedName name="QTA1\09p02p01p00sA3" localSheetId="7">#REF!</definedName>
    <definedName name="QTA1\09p02p01p00sA3">#REF!</definedName>
    <definedName name="QTA1\09p02p01p00sA4" localSheetId="0">#REF!</definedName>
    <definedName name="QTA1\09p02p01p00sA4" localSheetId="32">[1]Civil!$I$439</definedName>
    <definedName name="QTA1\09p02p01p00sA4" localSheetId="7">#REF!</definedName>
    <definedName name="QTA1\09p02p01p00sA4">#REF!</definedName>
    <definedName name="QTA1\09p02p01p00sA5" localSheetId="0">#REF!</definedName>
    <definedName name="QTA1\09p02p01p00sA5" localSheetId="32">[1]Civil!$I$443</definedName>
    <definedName name="QTA1\09p02p01p00sA5" localSheetId="7">#REF!</definedName>
    <definedName name="QTA1\09p02p01p00sA5">#REF!</definedName>
    <definedName name="QTA1\09p02p02p00s01" localSheetId="0">#REF!</definedName>
    <definedName name="QTA1\09p02p02p00s01" localSheetId="32">[1]Civil!$I$448</definedName>
    <definedName name="QTA1\09p02p02p00s01" localSheetId="7">#REF!</definedName>
    <definedName name="QTA1\09p02p02p00s01">#REF!</definedName>
    <definedName name="QTA1\09p02p02p00s02" localSheetId="0">#REF!</definedName>
    <definedName name="QTA1\09p02p02p00s02" localSheetId="32">[1]Civil!$I$452</definedName>
    <definedName name="QTA1\09p02p02p00s02" localSheetId="7">#REF!</definedName>
    <definedName name="QTA1\09p02p02p00s02">#REF!</definedName>
    <definedName name="QTA1\09p02p02p00s03" localSheetId="0">#REF!</definedName>
    <definedName name="QTA1\09p02p02p00s03" localSheetId="32">[1]Civil!$I$456</definedName>
    <definedName name="QTA1\09p02p02p00s03" localSheetId="7">#REF!</definedName>
    <definedName name="QTA1\09p02p02p00s03">#REF!</definedName>
    <definedName name="QTA1\09p02p02p00s04" localSheetId="0">#REF!</definedName>
    <definedName name="QTA1\09p02p02p00s04" localSheetId="32">[1]Civil!$I$460</definedName>
    <definedName name="QTA1\09p02p02p00s04" localSheetId="7">#REF!</definedName>
    <definedName name="QTA1\09p02p02p00s04">#REF!</definedName>
    <definedName name="QTA1\09p02p02p00s05" localSheetId="0">#REF!</definedName>
    <definedName name="QTA1\09p02p02p00s05" localSheetId="32">[1]Civil!$I$464</definedName>
    <definedName name="QTA1\09p02p02p00s05" localSheetId="7">#REF!</definedName>
    <definedName name="QTA1\09p02p02p00s05">#REF!</definedName>
    <definedName name="QTA1\09p02p02p00s06" localSheetId="0">#REF!</definedName>
    <definedName name="QTA1\09p02p02p00s06" localSheetId="32">[1]Civil!$I$468</definedName>
    <definedName name="QTA1\09p02p02p00s06" localSheetId="7">#REF!</definedName>
    <definedName name="QTA1\09p02p02p00s06">#REF!</definedName>
    <definedName name="QTA1\09p02p02p00s07" localSheetId="0">#REF!</definedName>
    <definedName name="QTA1\09p02p02p00s07" localSheetId="32">[1]Civil!$I$472</definedName>
    <definedName name="QTA1\09p02p02p00s07" localSheetId="7">#REF!</definedName>
    <definedName name="QTA1\09p02p02p00s07">#REF!</definedName>
    <definedName name="QTA1\09p02p02p00s08" localSheetId="0">#REF!</definedName>
    <definedName name="QTA1\09p02p02p00s08" localSheetId="32">[1]Civil!$I$476</definedName>
    <definedName name="QTA1\09p02p02p00s08" localSheetId="7">#REF!</definedName>
    <definedName name="QTA1\09p02p02p00s08">#REF!</definedName>
    <definedName name="QTA1\09p02p02p00s09" localSheetId="0">#REF!</definedName>
    <definedName name="QTA1\09p02p02p00s09" localSheetId="32">[1]Civil!$I$480</definedName>
    <definedName name="QTA1\09p02p02p00s09" localSheetId="7">#REF!</definedName>
    <definedName name="QTA1\09p02p02p00s09">#REF!</definedName>
    <definedName name="QTA1\10p01p00p00s01" localSheetId="7">#REF!</definedName>
    <definedName name="QTA1\10p01p02p00s02" localSheetId="7">#REF!</definedName>
    <definedName name="QTA1\10p02p01p00s01" localSheetId="7">#REF!</definedName>
    <definedName name="QTA1\10p02p02p00s01" localSheetId="7">#REF!</definedName>
    <definedName name="QTA1\10p03p01p00s01" localSheetId="7">#REF!</definedName>
    <definedName name="QTA1\10p03p05p00s02" localSheetId="7">#REF!</definedName>
    <definedName name="QTA1\11p01p01p00s01" localSheetId="0">#REF!</definedName>
    <definedName name="QTA1\11p01p01p00s01" localSheetId="32">[1]Civil!$I$487</definedName>
    <definedName name="QTA1\11p01p01p00s01" localSheetId="7">#REF!</definedName>
    <definedName name="QTA1\11p01p01p00s01">#REF!</definedName>
    <definedName name="QTA1\11p01p01p00s02" localSheetId="0">#REF!</definedName>
    <definedName name="QTA1\11p01p01p00s02" localSheetId="32">[1]Civil!$I$491</definedName>
    <definedName name="QTA1\11p01p01p00s02" localSheetId="7">#REF!</definedName>
    <definedName name="QTA1\11p01p01p00s02">#REF!</definedName>
    <definedName name="QTA1\11p01p02p01s01" localSheetId="0">#REF!</definedName>
    <definedName name="QTA1\11p01p02p01s01" localSheetId="32">[1]Civil!$I$496</definedName>
    <definedName name="QTA1\11p01p02p01s01" localSheetId="7">#REF!</definedName>
    <definedName name="QTA1\11p01p02p01s01">#REF!</definedName>
    <definedName name="QTA1\11p01p02p02sA1" localSheetId="0">#REF!</definedName>
    <definedName name="QTA1\11p01p02p02sA1" localSheetId="32">[1]Civil!$I$501</definedName>
    <definedName name="QTA1\11p01p02p02sA1" localSheetId="7">#REF!</definedName>
    <definedName name="QTA1\11p01p02p02sA1">#REF!</definedName>
    <definedName name="QTA1\11p01p03p00s01" localSheetId="0">#REF!</definedName>
    <definedName name="QTA1\11p01p03p00s01" localSheetId="32">[1]Civil!$I$506</definedName>
    <definedName name="QTA1\11p01p03p00s01" localSheetId="7">#REF!</definedName>
    <definedName name="QTA1\11p01p03p00s01">#REF!</definedName>
    <definedName name="QTA1\11p01p03p00s02" localSheetId="0">#REF!</definedName>
    <definedName name="QTA1\11p01p03p00s02" localSheetId="32">[1]Civil!$I$510</definedName>
    <definedName name="QTA1\11p01p03p00s02" localSheetId="7">#REF!</definedName>
    <definedName name="QTA1\11p01p03p00s02">#REF!</definedName>
    <definedName name="QTA1\11p01p03p00s03" localSheetId="0">#REF!</definedName>
    <definedName name="QTA1\11p01p03p00s03" localSheetId="32">[1]Civil!$I$514</definedName>
    <definedName name="QTA1\11p01p03p00s03" localSheetId="7">#REF!</definedName>
    <definedName name="QTA1\11p01p03p00s03">#REF!</definedName>
    <definedName name="QTA1\11p01p04p01s02" localSheetId="0">#REF!</definedName>
    <definedName name="QTA1\11p01p04p01s02" localSheetId="32">[1]Civil!$I$520</definedName>
    <definedName name="QTA1\11p01p04p01s02" localSheetId="7">#REF!</definedName>
    <definedName name="QTA1\11p01p04p01s02">#REF!</definedName>
    <definedName name="QTA1\11p02p01p00s01" localSheetId="0">#REF!</definedName>
    <definedName name="QTA1\11p02p01p00s01" localSheetId="32">[1]Civil!$I$526</definedName>
    <definedName name="QTA1\11p02p01p00s01" localSheetId="7">#REF!</definedName>
    <definedName name="QTA1\11p02p01p00s01">#REF!</definedName>
    <definedName name="QTA1\11p02p01p00s02" localSheetId="0">#REF!</definedName>
    <definedName name="QTA1\11p02p01p00s02" localSheetId="32">[1]Civil!$I$530</definedName>
    <definedName name="QTA1\11p02p01p00s02" localSheetId="7">#REF!</definedName>
    <definedName name="QTA1\11p02p01p00s02">#REF!</definedName>
    <definedName name="QTA1\11p02p02p00s01" localSheetId="0">#REF!</definedName>
    <definedName name="QTA1\11p02p02p00s01" localSheetId="32">[1]Civil!$I$535</definedName>
    <definedName name="QTA1\11p02p02p00s01" localSheetId="7">#REF!</definedName>
    <definedName name="QTA1\11p02p02p00s01">#REF!</definedName>
    <definedName name="QTA1\11p02p02p00s02" localSheetId="0">#REF!</definedName>
    <definedName name="QTA1\11p02p02p00s02" localSheetId="32">[1]Civil!$I$539</definedName>
    <definedName name="QTA1\11p02p02p00s02" localSheetId="7">#REF!</definedName>
    <definedName name="QTA1\11p02p02p00s02">#REF!</definedName>
    <definedName name="QTA1\11p02p03p00s01" localSheetId="0">#REF!</definedName>
    <definedName name="QTA1\11p02p03p00s01" localSheetId="32">[1]Civil!$I$544</definedName>
    <definedName name="QTA1\11p02p03p00s01" localSheetId="7">#REF!</definedName>
    <definedName name="QTA1\11p02p03p00s01">#REF!</definedName>
    <definedName name="QTA1\11p02p03p00s02" localSheetId="0">#REF!</definedName>
    <definedName name="QTA1\11p02p03p00s02" localSheetId="32">[1]Civil!$I$548</definedName>
    <definedName name="QTA1\11p02p03p00s02" localSheetId="7">#REF!</definedName>
    <definedName name="QTA1\11p02p03p00s02">#REF!</definedName>
    <definedName name="QTA1\11p03p02p00s01" localSheetId="7">#REF!</definedName>
    <definedName name="QTA1\11p03p04p00s01" localSheetId="0">#REF!</definedName>
    <definedName name="QTA1\11p03p04p00s01" localSheetId="32">[1]Civil!$I$554</definedName>
    <definedName name="QTA1\11p03p04p00s01" localSheetId="7">#REF!</definedName>
    <definedName name="QTA1\11p03p04p00s01">#REF!</definedName>
    <definedName name="QTA1\11p03p04p00s02" localSheetId="0">#REF!</definedName>
    <definedName name="QTA1\11p03p04p00s02" localSheetId="32">[1]Civil!$I$558</definedName>
    <definedName name="QTA1\11p03p04p00s02" localSheetId="7">#REF!</definedName>
    <definedName name="QTA1\11p03p04p00s02">#REF!</definedName>
    <definedName name="QTA1\11p03p04p00s03" localSheetId="0">#REF!</definedName>
    <definedName name="QTA1\11p03p04p00s03" localSheetId="32">[1]Civil!$I$562</definedName>
    <definedName name="QTA1\11p03p04p00s03" localSheetId="7">#REF!</definedName>
    <definedName name="QTA1\11p03p04p00s03">#REF!</definedName>
    <definedName name="QTA1\11p05p01p00s01" localSheetId="0">#REF!</definedName>
    <definedName name="QTA1\11p05p01p00s01" localSheetId="32">[2]Civil!$I$473</definedName>
    <definedName name="QTA1\11p05p01p00s01" localSheetId="7">#REF!</definedName>
    <definedName name="QTA1\11p05p01p00s01">#REF!</definedName>
    <definedName name="QTA1\11p05p02p00s01" localSheetId="0">#REF!</definedName>
    <definedName name="QTA1\11p05p02p00s01" localSheetId="32">[2]Civil!$I$477</definedName>
    <definedName name="QTA1\11p05p02p00s01" localSheetId="7">#REF!</definedName>
    <definedName name="QTA1\11p05p02p00s01">#REF!</definedName>
    <definedName name="QTA1\11p05p03p00s01" localSheetId="0">#REF!</definedName>
    <definedName name="QTA1\11p05p03p00s01" localSheetId="32">[2]Civil!$I$481</definedName>
    <definedName name="QTA1\11p05p03p00s01" localSheetId="7">#REF!</definedName>
    <definedName name="QTA1\11p05p03p00s01">#REF!</definedName>
    <definedName name="QTA1\11p06p01p00s01" localSheetId="0">#REF!</definedName>
    <definedName name="QTA1\11p06p01p00s01" localSheetId="32">[1]Civil!$I$567</definedName>
    <definedName name="QTA1\11p06p01p00s01" localSheetId="7">#REF!</definedName>
    <definedName name="QTA1\11p06p01p00s01">#REF!</definedName>
    <definedName name="QTA1\11p06p01p00s02" localSheetId="0">#REF!</definedName>
    <definedName name="QTA1\11p06p01p00s02" localSheetId="32">[1]Civil!$I$571</definedName>
    <definedName name="QTA1\11p06p01p00s02" localSheetId="7">#REF!</definedName>
    <definedName name="QTA1\11p06p01p00s02">#REF!</definedName>
    <definedName name="QTA1\11p06p01p00s03" localSheetId="0">#REF!</definedName>
    <definedName name="QTA1\11p06p01p00s03" localSheetId="32">[1]Civil!$I$575</definedName>
    <definedName name="QTA1\11p06p01p00s03" localSheetId="7">#REF!</definedName>
    <definedName name="QTA1\11p06p01p00s03">#REF!</definedName>
    <definedName name="QTA1\11p06p02p00s01" localSheetId="0">#REF!</definedName>
    <definedName name="QTA1\11p06p02p00s01" localSheetId="32">[2]Civil!$I$490</definedName>
    <definedName name="QTA1\11p06p02p00s01" localSheetId="7">#REF!</definedName>
    <definedName name="QTA1\11p06p02p00s01">#REF!</definedName>
    <definedName name="QTA1\11p06p03p00s01" localSheetId="0">#REF!</definedName>
    <definedName name="QTA1\11p06p03p00s01" localSheetId="32">[2]Civil!$I$494</definedName>
    <definedName name="QTA1\11p06p03p00s01" localSheetId="7">#REF!</definedName>
    <definedName name="QTA1\11p06p03p00s01">#REF!</definedName>
    <definedName name="QTA1\11p07p01p00s01" localSheetId="0">#REF!</definedName>
    <definedName name="QTA1\11p07p01p00s01" localSheetId="32">[1]Civil!$I$580</definedName>
    <definedName name="QTA1\11p07p01p00s01" localSheetId="7">#REF!</definedName>
    <definedName name="QTA1\11p07p01p00s01">#REF!</definedName>
    <definedName name="QTA1\11p07p01p00s02" localSheetId="0">#REF!</definedName>
    <definedName name="QTA1\11p07p01p00s02" localSheetId="32">[1]Civil!$I$584</definedName>
    <definedName name="QTA1\11p07p01p00s02" localSheetId="7">#REF!</definedName>
    <definedName name="QTA1\11p07p01p00s02">#REF!</definedName>
    <definedName name="QTA1\11p07p01p00s03" localSheetId="0">#REF!</definedName>
    <definedName name="QTA1\11p07p01p00s03" localSheetId="32">[2]Civil!$I$507</definedName>
    <definedName name="QTA1\11p07p01p00s03" localSheetId="7">#REF!</definedName>
    <definedName name="QTA1\11p07p01p00s03">#REF!</definedName>
    <definedName name="QTA1\11p07p01p00s04" localSheetId="0">#REF!</definedName>
    <definedName name="QTA1\11p07p01p00s04" localSheetId="32">[2]Civil!$I$511</definedName>
    <definedName name="QTA1\11p07p01p00s04" localSheetId="7">#REF!</definedName>
    <definedName name="QTA1\11p07p01p00s04">#REF!</definedName>
    <definedName name="QTA1\11p07p01p00s05" localSheetId="0">#REF!</definedName>
    <definedName name="QTA1\11p07p01p00s05" localSheetId="32">[2]Civil!$I$515</definedName>
    <definedName name="QTA1\11p07p01p00s05" localSheetId="7">#REF!</definedName>
    <definedName name="QTA1\11p07p01p00s05">#REF!</definedName>
    <definedName name="QTA1\11p07p01p00s06" localSheetId="0">#REF!</definedName>
    <definedName name="QTA1\11p07p01p00s06" localSheetId="32">[2]Civil!$I$519</definedName>
    <definedName name="QTA1\11p07p01p00s06" localSheetId="7">#REF!</definedName>
    <definedName name="QTA1\11p07p01p00s06">#REF!</definedName>
    <definedName name="QTA1\11p07p01p00s07" localSheetId="0">#REF!</definedName>
    <definedName name="QTA1\11p07p01p00s07" localSheetId="32">[2]Civil!$I$523</definedName>
    <definedName name="QTA1\11p07p01p00s07" localSheetId="7">#REF!</definedName>
    <definedName name="QTA1\11p07p01p00s07">#REF!</definedName>
    <definedName name="QTA1\11p07p01p00s08" localSheetId="0">#REF!</definedName>
    <definedName name="QTA1\11p07p01p00s08" localSheetId="32">[2]Civil!$I$527</definedName>
    <definedName name="QTA1\11p07p01p00s08" localSheetId="7">#REF!</definedName>
    <definedName name="QTA1\11p07p01p00s08">#REF!</definedName>
    <definedName name="QTA1\11p07p01p00s09" localSheetId="0">#REF!</definedName>
    <definedName name="QTA1\11p07p01p00s09" localSheetId="32">[2]Civil!$I$531</definedName>
    <definedName name="QTA1\11p07p01p00s09" localSheetId="7">#REF!</definedName>
    <definedName name="QTA1\11p07p01p00s09">#REF!</definedName>
    <definedName name="QTA1\11p07p01p00s10" localSheetId="0">#REF!</definedName>
    <definedName name="QTA1\11p07p01p00s10" localSheetId="32">[2]Civil!$I$535</definedName>
    <definedName name="QTA1\11p07p01p00s10" localSheetId="7">#REF!</definedName>
    <definedName name="QTA1\11p07p01p00s10">#REF!</definedName>
    <definedName name="QTA1\11p07p01p00s11" localSheetId="0">#REF!</definedName>
    <definedName name="QTA1\11p07p01p00s11" localSheetId="32">[2]Civil!$I$539</definedName>
    <definedName name="QTA1\11p07p01p00s11" localSheetId="7">#REF!</definedName>
    <definedName name="QTA1\11p07p01p00s11">#REF!</definedName>
    <definedName name="QTA1\11p07p01p00s12" localSheetId="0">#REF!</definedName>
    <definedName name="QTA1\11p07p01p00s12" localSheetId="32">[2]Civil!$I$543</definedName>
    <definedName name="QTA1\11p07p01p00s12" localSheetId="7">#REF!</definedName>
    <definedName name="QTA1\11p07p01p00s12">#REF!</definedName>
    <definedName name="QTA1\11p07p01p00s13" localSheetId="0">#REF!</definedName>
    <definedName name="QTA1\11p07p01p00s13" localSheetId="32">[2]Civil!$I$547</definedName>
    <definedName name="QTA1\11p07p01p00s13" localSheetId="7">#REF!</definedName>
    <definedName name="QTA1\11p07p01p00s13">#REF!</definedName>
    <definedName name="QTA1\11p07p01p00s14" localSheetId="0">#REF!</definedName>
    <definedName name="QTA1\11p07p01p00s14" localSheetId="32">[2]Civil!$I$551</definedName>
    <definedName name="QTA1\11p07p01p00s14" localSheetId="7">#REF!</definedName>
    <definedName name="QTA1\11p07p01p00s14">#REF!</definedName>
    <definedName name="QTA1\11p07p01p00s15" localSheetId="0">#REF!</definedName>
    <definedName name="QTA1\11p07p01p00s15" localSheetId="32">[2]Civil!$I$555</definedName>
    <definedName name="QTA1\11p07p01p00s15" localSheetId="7">#REF!</definedName>
    <definedName name="QTA1\11p07p01p00s15">#REF!</definedName>
    <definedName name="QTA1\11p07p01p00s16" localSheetId="0">#REF!</definedName>
    <definedName name="QTA1\11p07p01p00s16" localSheetId="32">[2]Civil!$I$559</definedName>
    <definedName name="QTA1\11p07p01p00s16" localSheetId="7">#REF!</definedName>
    <definedName name="QTA1\11p07p01p00s16">#REF!</definedName>
    <definedName name="QTA1\11p07p01p00s17" localSheetId="0">#REF!</definedName>
    <definedName name="QTA1\11p07p01p00s17" localSheetId="32">[2]Civil!$I$563</definedName>
    <definedName name="QTA1\11p07p01p00s17" localSheetId="7">#REF!</definedName>
    <definedName name="QTA1\11p07p01p00s17">#REF!</definedName>
    <definedName name="QTA1\11p07p01p00s18" localSheetId="0">#REF!</definedName>
    <definedName name="QTA1\11p07p01p00s18" localSheetId="32">[2]Civil!$I$567</definedName>
    <definedName name="QTA1\11p07p01p00s18" localSheetId="7">#REF!</definedName>
    <definedName name="QTA1\11p07p01p00s18">#REF!</definedName>
    <definedName name="QTA1\11p07p01p00s19" localSheetId="0">#REF!</definedName>
    <definedName name="QTA1\11p07p01p00s19" localSheetId="32">[2]Civil!$I$571</definedName>
    <definedName name="QTA1\11p07p01p00s19" localSheetId="7">#REF!</definedName>
    <definedName name="QTA1\11p07p01p00s19">#REF!</definedName>
    <definedName name="QTA1\11p07p01p00s20" localSheetId="0">#REF!</definedName>
    <definedName name="QTA1\11p07p01p00s20" localSheetId="32">[2]Civil!$I$575</definedName>
    <definedName name="QTA1\11p07p01p00s20" localSheetId="7">#REF!</definedName>
    <definedName name="QTA1\11p07p01p00s20">#REF!</definedName>
    <definedName name="QTA1\11p07p01p00s21" localSheetId="0">#REF!</definedName>
    <definedName name="QTA1\11p07p01p00s21" localSheetId="32">[2]Civil!$I$579</definedName>
    <definedName name="QTA1\11p07p01p00s21" localSheetId="7">#REF!</definedName>
    <definedName name="QTA1\11p07p01p00s21">#REF!</definedName>
    <definedName name="QTA1\11p07p01p00s22" localSheetId="0">#REF!</definedName>
    <definedName name="QTA1\11p07p01p00s22" localSheetId="32">[2]Civil!$I$583</definedName>
    <definedName name="QTA1\11p07p01p00s22" localSheetId="7">#REF!</definedName>
    <definedName name="QTA1\11p07p01p00s22">#REF!</definedName>
    <definedName name="QTA1\11p07p01p00s23" localSheetId="0">#REF!</definedName>
    <definedName name="QTA1\11p07p01p00s23" localSheetId="32">[2]Civil!$I$587</definedName>
    <definedName name="QTA1\11p07p01p00s23" localSheetId="7">#REF!</definedName>
    <definedName name="QTA1\11p07p01p00s23">#REF!</definedName>
    <definedName name="QTA1\11p08p01p00s01" localSheetId="0">#REF!</definedName>
    <definedName name="QTA1\11p08p01p00s01" localSheetId="32">[1]Civil!$I$589</definedName>
    <definedName name="QTA1\11p08p01p00s01" localSheetId="7">#REF!</definedName>
    <definedName name="QTA1\11p08p01p00s01">#REF!</definedName>
    <definedName name="QTA1\11p09p01p00s01" localSheetId="0">#REF!</definedName>
    <definedName name="QTA1\11p09p01p00s01" localSheetId="32">[1]Civil!$I$593</definedName>
    <definedName name="QTA1\11p09p01p00s01" localSheetId="7">#REF!</definedName>
    <definedName name="QTA1\11p09p01p00s01">#REF!</definedName>
    <definedName name="QTA1\11p10p01p00s01" localSheetId="0">#REF!</definedName>
    <definedName name="QTA1\11p10p01p00s01" localSheetId="32">[1]Civil!$I$598</definedName>
    <definedName name="QTA1\11p10p01p00s01" localSheetId="7">#REF!</definedName>
    <definedName name="QTA1\11p10p01p00s01">#REF!</definedName>
    <definedName name="QTA1\11p10p01p00s02" localSheetId="0">#REF!</definedName>
    <definedName name="QTA1\11p10p01p00s02" localSheetId="32">[1]Civil!$I$602</definedName>
    <definedName name="QTA1\11p10p01p00s02" localSheetId="7">#REF!</definedName>
    <definedName name="QTA1\11p10p01p00s02">#REF!</definedName>
    <definedName name="QTA1\11p10p01p00s03" localSheetId="0">#REF!</definedName>
    <definedName name="QTA1\11p10p01p00s03" localSheetId="32">[1]Civil!$I$606</definedName>
    <definedName name="QTA1\11p10p01p00s03" localSheetId="7">#REF!</definedName>
    <definedName name="QTA1\11p10p01p00s03">#REF!</definedName>
    <definedName name="QTA1\11p10p01p00s04" localSheetId="0">#REF!</definedName>
    <definedName name="QTA1\11p10p01p00s04" localSheetId="32">[1]Civil!$I$610</definedName>
    <definedName name="QTA1\11p10p01p00s04" localSheetId="7">#REF!</definedName>
    <definedName name="QTA1\11p10p01p00s04">#REF!</definedName>
    <definedName name="QTA1\11p10p01p00s05" localSheetId="0">#REF!</definedName>
    <definedName name="QTA1\11p10p01p00s05" localSheetId="32">[1]Civil!$I$614</definedName>
    <definedName name="QTA1\11p10p01p00s05" localSheetId="7">#REF!</definedName>
    <definedName name="QTA1\11p10p01p00s05">#REF!</definedName>
    <definedName name="QTA1\11p11p01p00s01" localSheetId="0">#REF!</definedName>
    <definedName name="QTA1\11p11p01p00s01" localSheetId="32">[1]Civil!$I$619</definedName>
    <definedName name="QTA1\11p11p01p00s01" localSheetId="7">#REF!</definedName>
    <definedName name="QTA1\11p11p01p00s01">#REF!</definedName>
    <definedName name="QTA1\11p11p01p00s02" localSheetId="0">#REF!</definedName>
    <definedName name="QTA1\11p11p01p00s02" localSheetId="32">[1]Civil!$I$623</definedName>
    <definedName name="QTA1\11p11p01p00s02" localSheetId="7">#REF!</definedName>
    <definedName name="QTA1\11p11p01p00s02">#REF!</definedName>
    <definedName name="QTA1\11p11p01p00s03" localSheetId="0">#REF!</definedName>
    <definedName name="QTA1\11p11p01p00s03" localSheetId="32">[1]Civil!$I$627</definedName>
    <definedName name="QTA1\11p11p01p00s03" localSheetId="7">#REF!</definedName>
    <definedName name="QTA1\11p11p01p00s03">#REF!</definedName>
    <definedName name="QTA1\11p11p01p00s04" localSheetId="0">#REF!</definedName>
    <definedName name="QTA1\11p11p01p00s04" localSheetId="32">[1]Civil!$I$631</definedName>
    <definedName name="QTA1\11p11p01p00s04" localSheetId="7">#REF!</definedName>
    <definedName name="QTA1\11p11p01p00s04">#REF!</definedName>
    <definedName name="QTA1\11p11p01p00s05" localSheetId="0">#REF!</definedName>
    <definedName name="QTA1\11p11p01p00s05" localSheetId="32">[1]Civil!$I$635</definedName>
    <definedName name="QTA1\11p11p01p00s05" localSheetId="7">#REF!</definedName>
    <definedName name="QTA1\11p11p01p00s05">#REF!</definedName>
    <definedName name="QTA1\11p11p01p00s06" localSheetId="0">#REF!</definedName>
    <definedName name="QTA1\11p11p01p00s06" localSheetId="32">[1]Civil!$I$639</definedName>
    <definedName name="QTA1\11p11p01p00s06" localSheetId="7">#REF!</definedName>
    <definedName name="QTA1\11p11p01p00s06">#REF!</definedName>
    <definedName name="QTA1\11p11p01p00s07" localSheetId="0">#REF!</definedName>
    <definedName name="QTA1\11p11p01p00s07" localSheetId="32">[1]Civil!$I$643</definedName>
    <definedName name="QTA1\11p11p01p00s07" localSheetId="7">#REF!</definedName>
    <definedName name="QTA1\11p11p01p00s07">#REF!</definedName>
    <definedName name="QTA1\11p11p01p00s08" localSheetId="0">#REF!</definedName>
    <definedName name="QTA1\11p11p01p00s08" localSheetId="32">[1]Civil!$I$647</definedName>
    <definedName name="QTA1\11p11p01p00s08" localSheetId="7">#REF!</definedName>
    <definedName name="QTA1\11p11p01p00s08">#REF!</definedName>
    <definedName name="QTA1\11p11p01p00s09" localSheetId="0">#REF!</definedName>
    <definedName name="QTA1\11p11p01p00s09" localSheetId="32">[1]Civil!$I$651</definedName>
    <definedName name="QTA1\11p11p01p00s09" localSheetId="7">#REF!</definedName>
    <definedName name="QTA1\11p11p01p00s09">#REF!</definedName>
    <definedName name="QTA1\11p11p01p00s10" localSheetId="0">#REF!</definedName>
    <definedName name="QTA1\11p11p01p00s10" localSheetId="32">[1]Civil!$I$655</definedName>
    <definedName name="QTA1\11p11p01p00s10" localSheetId="7">#REF!</definedName>
    <definedName name="QTA1\11p11p01p00s10">#REF!</definedName>
    <definedName name="QTA1\11p11p01p00s11" localSheetId="0">#REF!</definedName>
    <definedName name="QTA1\11p11p01p00s11" localSheetId="32">[1]Civil!$I$659</definedName>
    <definedName name="QTA1\11p11p01p00s11" localSheetId="7">#REF!</definedName>
    <definedName name="QTA1\11p11p01p00s11">#REF!</definedName>
    <definedName name="QTA1\11p11p01p00s12" localSheetId="0">#REF!</definedName>
    <definedName name="QTA1\11p11p01p00s12" localSheetId="32">[1]Civil!$I$663</definedName>
    <definedName name="QTA1\11p11p01p00s12" localSheetId="7">#REF!</definedName>
    <definedName name="QTA1\11p11p01p00s12">#REF!</definedName>
    <definedName name="QTA1\11p11p01p00s13" localSheetId="0">#REF!</definedName>
    <definedName name="QTA1\11p11p01p00s13" localSheetId="32">[1]Civil!$I$667</definedName>
    <definedName name="QTA1\11p11p01p00s13" localSheetId="7">#REF!</definedName>
    <definedName name="QTA1\11p11p01p00s13">#REF!</definedName>
    <definedName name="QTA1\11p11p01p00s14" localSheetId="0">#REF!</definedName>
    <definedName name="QTA1\11p11p01p00s14" localSheetId="32">[1]Civil!$I$671</definedName>
    <definedName name="QTA1\11p11p01p00s14" localSheetId="7">#REF!</definedName>
    <definedName name="QTA1\11p11p01p00s14">#REF!</definedName>
    <definedName name="QTA1\11p11p01p00s15" localSheetId="0">#REF!</definedName>
    <definedName name="QTA1\11p11p01p00s15" localSheetId="32">[1]Civil!$I$675</definedName>
    <definedName name="QTA1\11p11p01p00s15" localSheetId="7">#REF!</definedName>
    <definedName name="QTA1\11p11p01p00s15">#REF!</definedName>
    <definedName name="QTA1\11p11p01p00s16" localSheetId="0">#REF!</definedName>
    <definedName name="QTA1\11p11p01p00s16" localSheetId="32">[1]Civil!$I$679</definedName>
    <definedName name="QTA1\11p11p01p00s16" localSheetId="7">#REF!</definedName>
    <definedName name="QTA1\11p11p01p00s16">#REF!</definedName>
    <definedName name="QTA2\02p01p03p00s01" localSheetId="7">#REF!</definedName>
    <definedName name="QTA2\02p01p05p00s01" localSheetId="0">#REF!</definedName>
    <definedName name="QTA2\02p01p05p00s01" localSheetId="32">[1]Foundations!$I$9</definedName>
    <definedName name="QTA2\02p01p05p00s01" localSheetId="7">#REF!</definedName>
    <definedName name="QTA2\02p01p05p00s01">#REF!</definedName>
    <definedName name="QTA2\02p01p06p00s04" localSheetId="0">#REF!</definedName>
    <definedName name="QTA2\02p01p06p00s04" localSheetId="32">[1]Foundations!$I$14</definedName>
    <definedName name="QTA2\02p01p06p00s04" localSheetId="7">#REF!</definedName>
    <definedName name="QTA2\02p01p06p00s04">#REF!</definedName>
    <definedName name="QTA2\02p01p06p00s05" localSheetId="0">#REF!</definedName>
    <definedName name="QTA2\02p01p06p00s05" localSheetId="32">[1]Foundations!$I$18</definedName>
    <definedName name="QTA2\02p01p06p00s05" localSheetId="7">#REF!</definedName>
    <definedName name="QTA2\02p01p06p00s05">#REF!</definedName>
    <definedName name="QTA2\02p01p06p00s06" localSheetId="0">#REF!</definedName>
    <definedName name="QTA2\02p01p06p00s06" localSheetId="32">[1]Foundations!$I$22</definedName>
    <definedName name="QTA2\02p01p06p00s06" localSheetId="7">#REF!</definedName>
    <definedName name="QTA2\02p01p06p00s06">#REF!</definedName>
    <definedName name="QTA2\02p01p06p00s07" localSheetId="0">#REF!</definedName>
    <definedName name="QTA2\02p01p06p00s07" localSheetId="32">[1]Foundations!$I$26</definedName>
    <definedName name="QTA2\02p01p06p00s07" localSheetId="7">#REF!</definedName>
    <definedName name="QTA2\02p01p06p00s07">#REF!</definedName>
    <definedName name="QTA2\02p01p07p00s01" localSheetId="0">#REF!</definedName>
    <definedName name="QTA2\02p01p07p00s01" localSheetId="32">[3]Foundations!$I$31</definedName>
    <definedName name="QTA2\02p01p07p00s01" localSheetId="7">#REF!</definedName>
    <definedName name="QTA2\02p01p07p00s01">#REF!</definedName>
    <definedName name="QTA2\02p01p07p00s02" localSheetId="0">#REF!</definedName>
    <definedName name="QTA2\02p01p07p00s02" localSheetId="32">[3]Foundations!$I$35</definedName>
    <definedName name="QTA2\02p01p07p00s02" localSheetId="7">#REF!</definedName>
    <definedName name="QTA2\02p01p07p00s02">#REF!</definedName>
    <definedName name="QTA2\02p05p01p00s04" localSheetId="0">#REF!</definedName>
    <definedName name="QTA2\02p05p01p00s04" localSheetId="32">[1]Foundations!$I$32</definedName>
    <definedName name="QTA2\02p05p01p00s04" localSheetId="7">#REF!</definedName>
    <definedName name="QTA2\02p05p01p00s04">#REF!</definedName>
    <definedName name="QTA2\02p05p01p00s05" localSheetId="0">#REF!</definedName>
    <definedName name="QTA2\02p05p01p00s05" localSheetId="32">[1]Foundations!$I$36</definedName>
    <definedName name="QTA2\02p05p01p00s05" localSheetId="7">#REF!</definedName>
    <definedName name="QTA2\02p05p01p00s05">#REF!</definedName>
    <definedName name="QTA2\02p05p01p00s06" localSheetId="0">#REF!</definedName>
    <definedName name="QTA2\02p05p01p00s06" localSheetId="32">[1]Foundations!$I$40</definedName>
    <definedName name="QTA2\02p05p01p00s06" localSheetId="7">#REF!</definedName>
    <definedName name="QTA2\02p05p01p00s06">#REF!</definedName>
    <definedName name="QTA2\02p05p01p00s07" localSheetId="0">#REF!</definedName>
    <definedName name="QTA2\02p05p01p00s07" localSheetId="32">[1]Foundations!$I$44</definedName>
    <definedName name="QTA2\02p05p01p00s07" localSheetId="7">#REF!</definedName>
    <definedName name="QTA2\02p05p01p00s07">#REF!</definedName>
    <definedName name="QTA2\02p05p02p00s04" localSheetId="0">#REF!</definedName>
    <definedName name="QTA2\02p05p02p00s04" localSheetId="32">[1]Foundations!$I$49</definedName>
    <definedName name="QTA2\02p05p02p00s04" localSheetId="7">#REF!</definedName>
    <definedName name="QTA2\02p05p02p00s04">#REF!</definedName>
    <definedName name="QTA2\02p05p02p00s06" localSheetId="0">#REF!</definedName>
    <definedName name="QTA2\02p05p02p00s06" localSheetId="32">[1]Foundations!$I$53</definedName>
    <definedName name="QTA2\02p05p02p00s06" localSheetId="7">#REF!</definedName>
    <definedName name="QTA2\02p05p02p00s06">#REF!</definedName>
    <definedName name="QTA2\02p07p00p00s01" localSheetId="7">#REF!</definedName>
    <definedName name="QTA2\02p07p00p00s02" localSheetId="7">#REF!</definedName>
    <definedName name="QTA2\03p03p00p00s01" localSheetId="7">#REF!</definedName>
    <definedName name="QTA2\03p03p00p00s07" localSheetId="7">#REF!</definedName>
    <definedName name="QTA2\03p05p01p00s01" localSheetId="7">#REF!</definedName>
    <definedName name="QTA2\03p05p02p00s01" localSheetId="7">#REF!</definedName>
    <definedName name="QTA2\03p05p03p01s04" localSheetId="0">#REF!</definedName>
    <definedName name="QTA2\03p05p03p01s04" localSheetId="32">[1]Foundations!$I$63</definedName>
    <definedName name="QTA2\03p05p03p01s04" localSheetId="7">#REF!</definedName>
    <definedName name="QTA2\03p05p03p01s04">#REF!</definedName>
    <definedName name="QTA2\03p05p03p01s05" localSheetId="0">#REF!</definedName>
    <definedName name="QTA2\03p05p03p01s05" localSheetId="32">[1]Foundations!$I$67</definedName>
    <definedName name="QTA2\03p05p03p01s05" localSheetId="7">#REF!</definedName>
    <definedName name="QTA2\03p05p03p01s05">#REF!</definedName>
    <definedName name="QTA2\03p05p03p01s06" localSheetId="0">#REF!</definedName>
    <definedName name="QTA2\03p05p03p01s06" localSheetId="32">[1]Foundations!$I$71</definedName>
    <definedName name="QTA2\03p05p03p01s06" localSheetId="7">#REF!</definedName>
    <definedName name="QTA2\03p05p03p01s06">#REF!</definedName>
    <definedName name="QTA2\03p05p03p03s05" localSheetId="0">#REF!</definedName>
    <definedName name="QTA2\03p05p03p03s05" localSheetId="32">[1]Foundations!$I$76</definedName>
    <definedName name="QTA2\03p05p03p03s05" localSheetId="7">#REF!</definedName>
    <definedName name="QTA2\03p05p03p03s05">#REF!</definedName>
    <definedName name="QTA2\04p02p00p00s01" localSheetId="7">#REF!</definedName>
    <definedName name="QTA2\04p02p00p00s03" localSheetId="7">#REF!</definedName>
    <definedName name="QTA2\04p02p00p00s04" localSheetId="7">#REF!</definedName>
    <definedName name="QTA2\04p02p00p00s06" localSheetId="7">#REF!</definedName>
    <definedName name="QTA2\06p03p00p00s01" localSheetId="0">#REF!</definedName>
    <definedName name="QTA2\06p03p00p00s01" localSheetId="32">[1]Foundations!$I$90</definedName>
    <definedName name="QTA2\06p03p00p00s01" localSheetId="7">#REF!</definedName>
    <definedName name="QTA2\06p03p00p00s01">#REF!</definedName>
    <definedName name="QTA2\06p03p01p00s05" localSheetId="0">#REF!</definedName>
    <definedName name="QTA2\06p03p01p00s05" localSheetId="32">[1]Foundations!$I$94</definedName>
    <definedName name="QTA2\06p03p01p00s05" localSheetId="7">#REF!</definedName>
    <definedName name="QTA2\06p03p01p00s05">#REF!</definedName>
    <definedName name="QTA2\06p03p01p00s06" localSheetId="0">#REF!</definedName>
    <definedName name="QTA2\06p03p01p00s06" localSheetId="32">[1]Foundations!$I$98</definedName>
    <definedName name="QTA2\06p03p01p00s06" localSheetId="7">#REF!</definedName>
    <definedName name="QTA2\06p03p01p00s06">#REF!</definedName>
    <definedName name="QTA2\06p03p01p00s07" localSheetId="0">#REF!</definedName>
    <definedName name="QTA2\06p03p01p00s07" localSheetId="32">[1]Foundations!$I$102</definedName>
    <definedName name="QTA2\06p03p01p00s07" localSheetId="7">#REF!</definedName>
    <definedName name="QTA2\06p03p01p00s07">#REF!</definedName>
    <definedName name="QTA2\06p03p01p00s08" localSheetId="0">#REF!</definedName>
    <definedName name="QTA2\06p03p01p00s08" localSheetId="32">[1]Foundations!$I$106</definedName>
    <definedName name="QTA2\06p03p01p00s08" localSheetId="7">#REF!</definedName>
    <definedName name="QTA2\06p03p01p00s08">#REF!</definedName>
    <definedName name="QTA2\06p03p01p00sA2" localSheetId="0">#REF!</definedName>
    <definedName name="QTA2\06p03p01p00sA2" localSheetId="32">[1]Foundations!$I$110</definedName>
    <definedName name="QTA2\06p03p01p00sA2" localSheetId="7">#REF!</definedName>
    <definedName name="QTA2\06p03p01p00sA2">#REF!</definedName>
    <definedName name="QTA2\06p03p03p01s01" localSheetId="0">#REF!</definedName>
    <definedName name="QTA2\06p03p03p01s01" localSheetId="32">[1]Foundations!$I$116</definedName>
    <definedName name="QTA2\06p03p03p01s01" localSheetId="7">#REF!</definedName>
    <definedName name="QTA2\06p03p03p01s01">#REF!</definedName>
    <definedName name="QTA2\07p02p01p00s01" localSheetId="7">#REF!</definedName>
    <definedName name="QTA2\07p03p03p00s01" localSheetId="7">#REF!</definedName>
    <definedName name="QTA2\07p04p01p00s04" localSheetId="7">#REF!</definedName>
    <definedName name="QTA2\08p01p00p00s01" localSheetId="0">#REF!</definedName>
    <definedName name="QTA2\08p01p00p00s01" localSheetId="32">[1]Foundations!$I$122</definedName>
    <definedName name="QTA2\08p01p00p00s01" localSheetId="7">#REF!</definedName>
    <definedName name="QTA2\08p01p00p00s01">#REF!</definedName>
    <definedName name="QTA2\08p02p00p00s01" localSheetId="0">#REF!</definedName>
    <definedName name="QTA2\08p02p00p00s01" localSheetId="32">[1]Foundations!#REF!</definedName>
    <definedName name="QTA2\08p02p00p00s01" localSheetId="7">#REF!</definedName>
    <definedName name="QTA2\08p02p00p00s01">#REF!</definedName>
    <definedName name="QTA2\08p02p00p00s05" localSheetId="0">#REF!</definedName>
    <definedName name="QTA2\08p02p00p00s05" localSheetId="32">[1]Foundations!#REF!</definedName>
    <definedName name="QTA2\08p02p00p00s05" localSheetId="7">#REF!</definedName>
    <definedName name="QTA2\08p02p00p00s05">#REF!</definedName>
    <definedName name="QTA2\08p02p00p00s09" localSheetId="0">#REF!</definedName>
    <definedName name="QTA2\08p02p00p00s09" localSheetId="32">[1]Foundations!$I$127</definedName>
    <definedName name="QTA2\08p02p00p00s09" localSheetId="7">#REF!</definedName>
    <definedName name="QTA2\08p02p00p00s09">#REF!</definedName>
    <definedName name="QTA2\08p02p00p00s10" localSheetId="0">#REF!</definedName>
    <definedName name="QTA2\08p02p00p00s10" localSheetId="32">[1]Foundations!#REF!</definedName>
    <definedName name="QTA2\08p02p00p00s10" localSheetId="7">#REF!</definedName>
    <definedName name="QTA2\08p02p00p00s10">#REF!</definedName>
    <definedName name="QTA2\08p02p00p00s11" localSheetId="0">#REF!</definedName>
    <definedName name="QTA2\08p02p00p00s11" localSheetId="32">[1]Foundations!$I$131</definedName>
    <definedName name="QTA2\08p02p00p00s11" localSheetId="7">#REF!</definedName>
    <definedName name="QTA2\08p02p00p00s11">#REF!</definedName>
    <definedName name="QTA2\08p02p00p01sA1" localSheetId="0">#REF!</definedName>
    <definedName name="QTA2\08p02p00p01sA1" localSheetId="32">[1]Foundations!$I$136</definedName>
    <definedName name="QTA2\08p02p00p01sA1" localSheetId="7">#REF!</definedName>
    <definedName name="QTA2\08p02p00p01sA1">#REF!</definedName>
    <definedName name="QTA2\08p03p01p00s01" localSheetId="0">#REF!</definedName>
    <definedName name="QTA2\08p03p01p00s01" localSheetId="32">[1]Foundations!$I$142</definedName>
    <definedName name="QTA2\08p03p01p00s01" localSheetId="7">#REF!</definedName>
    <definedName name="QTA2\08p03p01p00s01">#REF!</definedName>
    <definedName name="QTA2\08p04p00p00s01" localSheetId="0">#REF!</definedName>
    <definedName name="QTA2\08p04p00p00s01" localSheetId="32">[1]Foundations!$I$147</definedName>
    <definedName name="QTA2\08p04p00p00s01" localSheetId="7">#REF!</definedName>
    <definedName name="QTA2\08p04p00p00s01">#REF!</definedName>
    <definedName name="QTA2\08p04p00p00s03" localSheetId="0">#REF!</definedName>
    <definedName name="QTA2\08p04p00p00s03" localSheetId="32">[1]Foundations!$I$151</definedName>
    <definedName name="QTA2\08p04p00p00s03" localSheetId="7">#REF!</definedName>
    <definedName name="QTA2\08p04p00p00s03">#REF!</definedName>
    <definedName name="QTA2\08p05p00p00s01" localSheetId="0">#REF!</definedName>
    <definedName name="QTA2\08p05p00p00s01" localSheetId="32">[1]Foundations!$I$156</definedName>
    <definedName name="QTA2\08p05p00p00s01" localSheetId="7">#REF!</definedName>
    <definedName name="QTA2\08p05p00p00s01">#REF!</definedName>
    <definedName name="QTA2\08p05p00p00s02" localSheetId="0">#REF!</definedName>
    <definedName name="QTA2\08p05p00p00s02" localSheetId="32">[1]Foundations!$I$160</definedName>
    <definedName name="QTA2\08p05p00p00s02" localSheetId="7">#REF!</definedName>
    <definedName name="QTA2\08p05p00p00s02">#REF!</definedName>
    <definedName name="QTA2\08p05p00p00s09" localSheetId="0">#REF!</definedName>
    <definedName name="QTA2\08p05p00p00s09" localSheetId="32">[1]Foundations!#REF!</definedName>
    <definedName name="QTA2\08p05p00p00s09" localSheetId="7">#REF!</definedName>
    <definedName name="QTA2\08p05p00p00s09">#REF!</definedName>
    <definedName name="QTA2\08p05p01p01s01" localSheetId="0">#REF!</definedName>
    <definedName name="QTA2\08p05p01p01s01" localSheetId="32">[1]Foundations!$I$166</definedName>
    <definedName name="QTA2\08p05p01p01s01" localSheetId="7">#REF!</definedName>
    <definedName name="QTA2\08p05p01p01s01">#REF!</definedName>
    <definedName name="QTA2\08p05p01p01s02" localSheetId="0">#REF!</definedName>
    <definedName name="QTA2\08p05p01p01s02" localSheetId="32">[1]Foundations!$I$170</definedName>
    <definedName name="QTA2\08p05p01p01s02" localSheetId="7">#REF!</definedName>
    <definedName name="QTA2\08p05p01p01s02">#REF!</definedName>
    <definedName name="QTA2\08p05p01p02s01" localSheetId="0">#REF!</definedName>
    <definedName name="QTA2\08p05p01p02s01" localSheetId="32">[1]Foundations!$I$175</definedName>
    <definedName name="QTA2\08p05p01p02s01" localSheetId="7">#REF!</definedName>
    <definedName name="QTA2\08p05p01p02s01">#REF!</definedName>
    <definedName name="QTA2\08p05p01p02s02" localSheetId="0">#REF!</definedName>
    <definedName name="QTA2\08p05p01p02s02" localSheetId="32">[1]Foundations!$I$179</definedName>
    <definedName name="QTA2\08p05p01p02s02" localSheetId="7">#REF!</definedName>
    <definedName name="QTA2\08p05p01p02s02">#REF!</definedName>
    <definedName name="QTA2\08p05p01p03s01" localSheetId="0">#REF!</definedName>
    <definedName name="QTA2\08p05p01p03s01" localSheetId="32">[1]Foundations!$I$184</definedName>
    <definedName name="QTA2\08p05p01p03s01" localSheetId="7">#REF!</definedName>
    <definedName name="QTA2\08p05p01p03s01">#REF!</definedName>
    <definedName name="QTA2\08p05p01p03s02" localSheetId="0">#REF!</definedName>
    <definedName name="QTA2\08p05p01p03s02" localSheetId="32">[1]Foundations!$I$188</definedName>
    <definedName name="QTA2\08p05p01p03s02" localSheetId="7">#REF!</definedName>
    <definedName name="QTA2\08p05p01p03s02">#REF!</definedName>
    <definedName name="QTA2\08p05p01p03s03" localSheetId="0">#REF!</definedName>
    <definedName name="QTA2\08p05p01p03s03" localSheetId="32">[1]Foundations!$I$192</definedName>
    <definedName name="QTA2\08p05p01p03s03" localSheetId="7">#REF!</definedName>
    <definedName name="QTA2\08p05p01p03s03">#REF!</definedName>
    <definedName name="QTA2\08p05p01p03s04" localSheetId="0">#REF!</definedName>
    <definedName name="QTA2\08p05p01p03s04" localSheetId="32">[1]Foundations!$I$196</definedName>
    <definedName name="QTA2\08p05p01p03s04" localSheetId="7">#REF!</definedName>
    <definedName name="QTA2\08p05p01p03s04">#REF!</definedName>
    <definedName name="QTA2\08p05p02p00s01" localSheetId="0">#REF!</definedName>
    <definedName name="QTA2\08p05p02p00s01" localSheetId="32">[1]Foundations!$I$201</definedName>
    <definedName name="QTA2\08p05p02p00s01" localSheetId="7">#REF!</definedName>
    <definedName name="QTA2\08p05p02p00s01">#REF!</definedName>
    <definedName name="QTA2\08p05p03p00s01" localSheetId="0">#REF!</definedName>
    <definedName name="QTA2\08p05p03p00s01" localSheetId="32">[1]Foundations!$I$206</definedName>
    <definedName name="QTA2\08p05p03p00s01" localSheetId="7">#REF!</definedName>
    <definedName name="QTA2\08p05p03p00s01">#REF!</definedName>
    <definedName name="QTA2\08p06p01p00s01" localSheetId="0">#REF!</definedName>
    <definedName name="QTA2\08p06p01p00s01" localSheetId="32">[1]Foundations!$I$212</definedName>
    <definedName name="QTA2\08p06p01p00s01" localSheetId="7">#REF!</definedName>
    <definedName name="QTA2\08p06p01p00s01">#REF!</definedName>
    <definedName name="QTA2\08p06p01p00s02" localSheetId="0">#REF!</definedName>
    <definedName name="QTA2\08p06p01p00s02" localSheetId="32">[1]Foundations!$I$216</definedName>
    <definedName name="QTA2\08p06p01p00s02" localSheetId="7">#REF!</definedName>
    <definedName name="QTA2\08p06p01p00s02">#REF!</definedName>
    <definedName name="QTA2\08p06p02p00s01" localSheetId="0">#REF!</definedName>
    <definedName name="QTA2\08p06p02p00s01" localSheetId="32">[1]Foundations!$I$221</definedName>
    <definedName name="QTA2\08p06p02p00s01" localSheetId="7">#REF!</definedName>
    <definedName name="QTA2\08p06p02p00s01">#REF!</definedName>
    <definedName name="QTA2\08p06p02p00s02" localSheetId="0">#REF!</definedName>
    <definedName name="QTA2\08p06p02p00s02" localSheetId="32">[1]Foundations!$I$225</definedName>
    <definedName name="QTA2\08p06p02p00s02" localSheetId="7">#REF!</definedName>
    <definedName name="QTA2\08p06p02p00s02">#REF!</definedName>
    <definedName name="QTA2\09p01p01p00s02" localSheetId="7">#REF!</definedName>
    <definedName name="QTA2\11p03p02p00s01" localSheetId="7">#REF!</definedName>
    <definedName name="QTA2\11p03p04p00s01" localSheetId="7">#REF!</definedName>
    <definedName name="QTA3\02p01p07p00s01" localSheetId="0">#REF!</definedName>
    <definedName name="QTA3\02p01p07p00s01" localSheetId="32">[1]Civil_Collector!$I$9</definedName>
    <definedName name="QTA3\02p01p07p00s01" localSheetId="7">#REF!</definedName>
    <definedName name="QTA3\02p01p07p00s01">#REF!</definedName>
    <definedName name="QTA3\02p01p07p00s02" localSheetId="0">#REF!</definedName>
    <definedName name="QTA3\02p01p07p00s02" localSheetId="32">[1]Civil_Collector!$I$13</definedName>
    <definedName name="QTA3\02p01p07p00s02" localSheetId="7">#REF!</definedName>
    <definedName name="QTA3\02p01p07p00s02">#REF!</definedName>
    <definedName name="QTA3\02p02p01p00s01" localSheetId="0">#REF!</definedName>
    <definedName name="QTA3\02p02p01p00s01" localSheetId="32">[1]Civil_Collector!$I$19</definedName>
    <definedName name="QTA3\02p02p01p00s01" localSheetId="7">#REF!</definedName>
    <definedName name="QTA3\02p02p01p00s01">#REF!</definedName>
    <definedName name="QTA3\02p02p02p00s01" localSheetId="0">#REF!</definedName>
    <definedName name="QTA3\02p02p02p00s01" localSheetId="32">[1]Civil_Collector!$I$24</definedName>
    <definedName name="QTA3\02p02p02p00s01" localSheetId="7">#REF!</definedName>
    <definedName name="QTA3\02p02p02p00s01">#REF!</definedName>
    <definedName name="QTA3\02p02p02p00s02" localSheetId="0">#REF!</definedName>
    <definedName name="QTA3\02p02p02p00s02" localSheetId="32">[1]Civil_Collector!$I$28</definedName>
    <definedName name="QTA3\02p02p02p00s02" localSheetId="7">#REF!</definedName>
    <definedName name="QTA3\02p02p02p00s02">#REF!</definedName>
    <definedName name="QTA3\02p02p02p00s03" localSheetId="0">#REF!</definedName>
    <definedName name="QTA3\02p02p02p00s03" localSheetId="32">[1]Civil_Collector!$I$32</definedName>
    <definedName name="QTA3\02p02p02p00s03" localSheetId="7">#REF!</definedName>
    <definedName name="QTA3\02p02p02p00s03">#REF!</definedName>
    <definedName name="QTA3\02p02p02p00s04" localSheetId="0">#REF!</definedName>
    <definedName name="QTA3\02p02p02p00s04" localSheetId="32">[1]Civil_Collector!$I$36</definedName>
    <definedName name="QTA3\02p02p02p00s04" localSheetId="7">#REF!</definedName>
    <definedName name="QTA3\02p02p02p00s04">#REF!</definedName>
    <definedName name="QTA3\02p02p02p03s05" localSheetId="0">#REF!</definedName>
    <definedName name="QTA3\02p02p02p03s05" localSheetId="32">[1]Civil_Collector!$I$40</definedName>
    <definedName name="QTA3\02p02p02p03s05" localSheetId="7">#REF!</definedName>
    <definedName name="QTA3\02p02p02p03s05">#REF!</definedName>
    <definedName name="QTA3\02p02p02p03s06" localSheetId="0">#REF!</definedName>
    <definedName name="QTA3\02p02p02p03s06" localSheetId="32">[1]Civil_Collector!$I$44</definedName>
    <definedName name="QTA3\02p02p02p03s06" localSheetId="7">#REF!</definedName>
    <definedName name="QTA3\02p02p02p03s06">#REF!</definedName>
    <definedName name="QTA3\02p02p02p03s07" localSheetId="0">#REF!</definedName>
    <definedName name="QTA3\02p02p02p03s07" localSheetId="32">[1]Civil_Collector!$I$48</definedName>
    <definedName name="QTA3\02p02p02p03s07" localSheetId="7">#REF!</definedName>
    <definedName name="QTA3\02p02p02p03s07">#REF!</definedName>
    <definedName name="QTA3\02p02p02p03s08" localSheetId="0">#REF!</definedName>
    <definedName name="QTA3\02p02p02p03s08" localSheetId="32">[1]Civil_Collector!$I$52</definedName>
    <definedName name="QTA3\02p02p02p03s08" localSheetId="7">#REF!</definedName>
    <definedName name="QTA3\02p02p02p03s08">#REF!</definedName>
    <definedName name="QTA3\02p02p02p04s09" localSheetId="0">#REF!</definedName>
    <definedName name="QTA3\02p02p02p04s09" localSheetId="32">[1]Civil_Collector!$I$56</definedName>
    <definedName name="QTA3\02p02p02p04s09" localSheetId="7">#REF!</definedName>
    <definedName name="QTA3\02p02p02p04s09">#REF!</definedName>
    <definedName name="QTA3\02p02p02p04s10" localSheetId="0">#REF!</definedName>
    <definedName name="QTA3\02p02p02p04s10" localSheetId="32">[1]Civil_Collector!$I$60</definedName>
    <definedName name="QTA3\02p02p02p04s10" localSheetId="7">#REF!</definedName>
    <definedName name="QTA3\02p02p02p04s10">#REF!</definedName>
    <definedName name="QTA3\02p02p02p04s11" localSheetId="0">#REF!</definedName>
    <definedName name="QTA3\02p02p02p04s11" localSheetId="32">[1]Civil_Collector!$I$64</definedName>
    <definedName name="QTA3\02p02p02p04s11" localSheetId="7">#REF!</definedName>
    <definedName name="QTA3\02p02p02p04s11">#REF!</definedName>
    <definedName name="QTA3\02p02p02p04s12" localSheetId="0">#REF!</definedName>
    <definedName name="QTA3\02p02p02p04s12" localSheetId="32">[1]Civil_Collector!$I$68</definedName>
    <definedName name="QTA3\02p02p02p04s12" localSheetId="7">#REF!</definedName>
    <definedName name="QTA3\02p02p02p04s12">#REF!</definedName>
    <definedName name="QTA3\02p02p03p00s01" localSheetId="0">#REF!</definedName>
    <definedName name="QTA3\02p02p03p00s01" localSheetId="32">[1]Civil_Collector!$I$73</definedName>
    <definedName name="QTA3\02p02p03p00s01" localSheetId="7">#REF!</definedName>
    <definedName name="QTA3\02p02p03p00s01">#REF!</definedName>
    <definedName name="QTA3\02p02p03p00s02" localSheetId="0">#REF!</definedName>
    <definedName name="QTA3\02p02p03p00s02" localSheetId="32">[1]Civil_Collector!$I$77</definedName>
    <definedName name="QTA3\02p02p03p00s02" localSheetId="7">#REF!</definedName>
    <definedName name="QTA3\02p02p03p00s02">#REF!</definedName>
    <definedName name="QTA3\02p02p03p00s03" localSheetId="0">#REF!</definedName>
    <definedName name="QTA3\02p02p03p00s03" localSheetId="32">[1]Civil_Collector!$I$81</definedName>
    <definedName name="QTA3\02p02p03p00s03" localSheetId="7">#REF!</definedName>
    <definedName name="QTA3\02p02p03p00s03">#REF!</definedName>
    <definedName name="QTA3\02p02p03p00s04" localSheetId="0">#REF!</definedName>
    <definedName name="QTA3\02p02p03p00s04" localSheetId="32">[1]Civil_Collector!$I$85</definedName>
    <definedName name="QTA3\02p02p03p00s04" localSheetId="7">#REF!</definedName>
    <definedName name="QTA3\02p02p03p00s04">#REF!</definedName>
    <definedName name="QTA3\02p02p03p00s05" localSheetId="0">#REF!</definedName>
    <definedName name="QTA3\02p02p03p00s05" localSheetId="32">[1]Civil_Collector!$I$89</definedName>
    <definedName name="QTA3\02p02p03p00s05" localSheetId="7">#REF!</definedName>
    <definedName name="QTA3\02p02p03p00s05">#REF!</definedName>
    <definedName name="QTA3\02p02p03p00s06" localSheetId="0">#REF!</definedName>
    <definedName name="QTA3\02p02p03p00s06" localSheetId="32">[1]Civil_Collector!$I$93</definedName>
    <definedName name="QTA3\02p02p03p00s06" localSheetId="7">#REF!</definedName>
    <definedName name="QTA3\02p02p03p00s06">#REF!</definedName>
    <definedName name="QTA3\02p02p03p00s07" localSheetId="0">#REF!</definedName>
    <definedName name="QTA3\02p02p03p00s07" localSheetId="32">[1]Civil_Collector!$I$97</definedName>
    <definedName name="QTA3\02p02p03p00s07" localSheetId="7">#REF!</definedName>
    <definedName name="QTA3\02p02p03p00s07">#REF!</definedName>
    <definedName name="QTA3\02p02p03p00s08" localSheetId="0">#REF!</definedName>
    <definedName name="QTA3\02p02p03p00s08" localSheetId="32">[1]Civil_Collector!$I$101</definedName>
    <definedName name="QTA3\02p02p03p00s08" localSheetId="7">#REF!</definedName>
    <definedName name="QTA3\02p02p03p00s08">#REF!</definedName>
    <definedName name="QTA3\02p02p03p00s09" localSheetId="0">#REF!</definedName>
    <definedName name="QTA3\02p02p03p00s09" localSheetId="32">[1]Civil_Collector!$I$105</definedName>
    <definedName name="QTA3\02p02p03p00s09" localSheetId="7">#REF!</definedName>
    <definedName name="QTA3\02p02p03p00s09">#REF!</definedName>
    <definedName name="QTA3\02p02p03p00s10" localSheetId="0">#REF!</definedName>
    <definedName name="QTA3\02p02p03p00s10" localSheetId="32">[1]Civil_Collector!$I$109</definedName>
    <definedName name="QTA3\02p02p03p00s10" localSheetId="7">#REF!</definedName>
    <definedName name="QTA3\02p02p03p00s10">#REF!</definedName>
    <definedName name="QTA3\02p02p03p00s11" localSheetId="0">#REF!</definedName>
    <definedName name="QTA3\02p02p03p00s11" localSheetId="32">[1]Civil_Collector!$I$113</definedName>
    <definedName name="QTA3\02p02p03p00s11" localSheetId="7">#REF!</definedName>
    <definedName name="QTA3\02p02p03p00s11">#REF!</definedName>
    <definedName name="QTA3\02p02p03p00s12" localSheetId="0">#REF!</definedName>
    <definedName name="QTA3\02p02p03p00s12" localSheetId="32">[1]Civil_Collector!$I$117</definedName>
    <definedName name="QTA3\02p02p03p00s12" localSheetId="7">#REF!</definedName>
    <definedName name="QTA3\02p02p03p00s12">#REF!</definedName>
    <definedName name="QTA3\02p02p04p00s01" localSheetId="0">#REF!</definedName>
    <definedName name="QTA3\02p02p04p00s01" localSheetId="32">[1]Civil_Collector!$I$122</definedName>
    <definedName name="QTA3\02p02p04p00s01" localSheetId="7">#REF!</definedName>
    <definedName name="QTA3\02p02p04p00s01">#REF!</definedName>
    <definedName name="QTA3\02p02p04p00s02" localSheetId="0">#REF!</definedName>
    <definedName name="QTA3\02p02p04p00s02" localSheetId="32">[1]Civil_Collector!$I$126</definedName>
    <definedName name="QTA3\02p02p04p00s02" localSheetId="7">#REF!</definedName>
    <definedName name="QTA3\02p02p04p00s02">#REF!</definedName>
    <definedName name="QTA3\02p02p05p00sA1" localSheetId="0">#REF!</definedName>
    <definedName name="QTA3\02p02p05p00sA1" localSheetId="32">[1]Civil_Collector!$I$131</definedName>
    <definedName name="QTA3\02p02p05p00sA1" localSheetId="7">#REF!</definedName>
    <definedName name="QTA3\02p02p05p00sA1">#REF!</definedName>
    <definedName name="QTA3\02p02p06p00sA1" localSheetId="0">#REF!</definedName>
    <definedName name="QTA3\02p02p06p00sA1" localSheetId="32">[1]Civil_Collector!$I$136</definedName>
    <definedName name="QTA3\02p02p06p00sA1" localSheetId="7">#REF!</definedName>
    <definedName name="QTA3\02p02p06p00sA1">#REF!</definedName>
    <definedName name="QTA3\02p02p06p00sA2" localSheetId="0">#REF!</definedName>
    <definedName name="QTA3\02p02p06p00sA2" localSheetId="32">[1]Civil_Collector!$I$140</definedName>
    <definedName name="QTA3\02p02p06p00sA2" localSheetId="7">#REF!</definedName>
    <definedName name="QTA3\02p02p06p00sA2">#REF!</definedName>
    <definedName name="QTA3\02p02p07p00sA1" localSheetId="0">#REF!</definedName>
    <definedName name="QTA3\02p02p07p00sA1" localSheetId="32">[1]Civil_Collector!$I$145</definedName>
    <definedName name="QTA3\02p02p07p00sA1" localSheetId="7">#REF!</definedName>
    <definedName name="QTA3\02p02p07p00sA1">#REF!</definedName>
    <definedName name="QTA3\02p02p07p00sA2" localSheetId="0">#REF!</definedName>
    <definedName name="QTA3\02p02p07p00sA2" localSheetId="32">[1]Civil_Collector!$I$149</definedName>
    <definedName name="QTA3\02p02p07p00sA2" localSheetId="7">#REF!</definedName>
    <definedName name="QTA3\02p02p07p00sA2">#REF!</definedName>
    <definedName name="QTA3\02p02p08p00sA1" localSheetId="0">#REF!</definedName>
    <definedName name="QTA3\02p02p08p00sA1" localSheetId="32">[1]Civil_Collector!$I$154</definedName>
    <definedName name="QTA3\02p02p08p00sA1" localSheetId="7">#REF!</definedName>
    <definedName name="QTA3\02p02p08p00sA1">#REF!</definedName>
    <definedName name="QTA3\02p03p00p00s01" localSheetId="0">#REF!</definedName>
    <definedName name="QTA3\02p03p00p00s01" localSheetId="32">[1]Civil_Collector!$I$159</definedName>
    <definedName name="QTA3\02p03p00p00s01" localSheetId="7">#REF!</definedName>
    <definedName name="QTA3\02p03p00p00s01">#REF!</definedName>
    <definedName name="QTA3\02p03p00p00s02" localSheetId="0">#REF!</definedName>
    <definedName name="QTA3\02p03p00p00s02" localSheetId="32">[1]Civil_Collector!$I$163</definedName>
    <definedName name="QTA3\02p03p00p00s02" localSheetId="7">#REF!</definedName>
    <definedName name="QTA3\02p03p00p00s02">#REF!</definedName>
    <definedName name="QTA3\02p03p00p00s03" localSheetId="0">#REF!</definedName>
    <definedName name="QTA3\02p03p00p00s03" localSheetId="32">[1]Civil_Collector!$I$167</definedName>
    <definedName name="QTA3\02p03p00p00s03" localSheetId="7">#REF!</definedName>
    <definedName name="QTA3\02p03p00p00s03">#REF!</definedName>
    <definedName name="QTA3\02p03p00p00s04" localSheetId="0">#REF!</definedName>
    <definedName name="QTA3\02p03p00p00s04" localSheetId="32">[1]Civil_Collector!$I$171</definedName>
    <definedName name="QTA3\02p03p00p00s04" localSheetId="7">#REF!</definedName>
    <definedName name="QTA3\02p03p00p00s04">#REF!</definedName>
    <definedName name="QTA3\08p05p00p00s03" localSheetId="0">#REF!</definedName>
    <definedName name="QTA3\08p05p00p00s03" localSheetId="32">[1]Civil_Collector!$I$182</definedName>
    <definedName name="QTA3\08p05p00p00s03" localSheetId="7">#REF!</definedName>
    <definedName name="QTA3\08p05p00p00s03">#REF!</definedName>
    <definedName name="QTA3\08p05p00p00s04" localSheetId="0">#REF!</definedName>
    <definedName name="QTA3\08p05p00p00s04" localSheetId="32">[1]Civil_Collector!$I$186</definedName>
    <definedName name="QTA3\08p05p00p00s04" localSheetId="7">#REF!</definedName>
    <definedName name="QTA3\08p05p00p00s04">#REF!</definedName>
    <definedName name="QTA3\08p05p00p00s05" localSheetId="0">#REF!</definedName>
    <definedName name="QTA3\08p05p00p00s05" localSheetId="32">[1]Civil_Collector!$I$190</definedName>
    <definedName name="QTA3\08p05p00p00s05" localSheetId="7">#REF!</definedName>
    <definedName name="QTA3\08p05p00p00s05">#REF!</definedName>
    <definedName name="QTA3\08p05p00p00s06" localSheetId="0">#REF!</definedName>
    <definedName name="QTA3\08p05p00p00s06" localSheetId="32">[1]Civil_Collector!$I$194</definedName>
    <definedName name="QTA3\08p05p00p00s06" localSheetId="7">#REF!</definedName>
    <definedName name="QTA3\08p05p00p00s06">#REF!</definedName>
    <definedName name="QTA3\08p05p00p00s07" localSheetId="0">#REF!</definedName>
    <definedName name="QTA3\08p05p00p00s07" localSheetId="32">[1]Civil_Collector!$I$198</definedName>
    <definedName name="QTA3\08p05p00p00s07" localSheetId="7">#REF!</definedName>
    <definedName name="QTA3\08p05p00p00s07">#REF!</definedName>
    <definedName name="QTA3\08p05p00p00s08" localSheetId="0">#REF!</definedName>
    <definedName name="QTA3\08p05p00p00s08" localSheetId="32">[1]Civil_Collector!$I$202</definedName>
    <definedName name="QTA3\08p05p00p00s08" localSheetId="7">#REF!</definedName>
    <definedName name="QTA3\08p05p00p00s08">#REF!</definedName>
    <definedName name="question" localSheetId="12" hidden="1">{#N/A,#N/A,TRUE,"Assumptions";#N/A,#N/A,TRUE,"Op Projection";#N/A,#N/A,TRUE,"Capital";#N/A,#N/A,TRUE,"Income";#N/A,#N/A,TRUE,"Balance";#N/A,#N/A,TRUE,"Sources&amp;Uses"}</definedName>
    <definedName name="question" localSheetId="18" hidden="1">{#N/A,#N/A,TRUE,"Assumptions";#N/A,#N/A,TRUE,"Op Projection";#N/A,#N/A,TRUE,"Capital";#N/A,#N/A,TRUE,"Income";#N/A,#N/A,TRUE,"Balance";#N/A,#N/A,TRUE,"Sources&amp;Uses"}</definedName>
    <definedName name="question" localSheetId="19" hidden="1">{#N/A,#N/A,TRUE,"Assumptions";#N/A,#N/A,TRUE,"Op Projection";#N/A,#N/A,TRUE,"Capital";#N/A,#N/A,TRUE,"Income";#N/A,#N/A,TRUE,"Balance";#N/A,#N/A,TRUE,"Sources&amp;Uses"}</definedName>
    <definedName name="question" localSheetId="17" hidden="1">{#N/A,#N/A,TRUE,"Assumptions";#N/A,#N/A,TRUE,"Op Projection";#N/A,#N/A,TRUE,"Capital";#N/A,#N/A,TRUE,"Income";#N/A,#N/A,TRUE,"Balance";#N/A,#N/A,TRUE,"Sources&amp;Uses"}</definedName>
    <definedName name="question" localSheetId="22" hidden="1">{#N/A,#N/A,TRUE,"Assumptions";#N/A,#N/A,TRUE,"Op Projection";#N/A,#N/A,TRUE,"Capital";#N/A,#N/A,TRUE,"Income";#N/A,#N/A,TRUE,"Balance";#N/A,#N/A,TRUE,"Sources&amp;Uses"}</definedName>
    <definedName name="question" localSheetId="10" hidden="1">{#N/A,#N/A,TRUE,"Assumptions";#N/A,#N/A,TRUE,"Op Projection";#N/A,#N/A,TRUE,"Capital";#N/A,#N/A,TRUE,"Income";#N/A,#N/A,TRUE,"Balance";#N/A,#N/A,TRUE,"Sources&amp;Uses"}</definedName>
    <definedName name="question" localSheetId="30" hidden="1">{#N/A,#N/A,TRUE,"Assumptions";#N/A,#N/A,TRUE,"Op Projection";#N/A,#N/A,TRUE,"Capital";#N/A,#N/A,TRUE,"Income";#N/A,#N/A,TRUE,"Balance";#N/A,#N/A,TRUE,"Sources&amp;Uses"}</definedName>
    <definedName name="question" localSheetId="0" hidden="1">{#N/A,#N/A,TRUE,"Assumptions";#N/A,#N/A,TRUE,"Op Projection";#N/A,#N/A,TRUE,"Capital";#N/A,#N/A,TRUE,"Income";#N/A,#N/A,TRUE,"Balance";#N/A,#N/A,TRUE,"Sources&amp;Uses"}</definedName>
    <definedName name="question" localSheetId="3" hidden="1">{#N/A,#N/A,TRUE,"Assumptions";#N/A,#N/A,TRUE,"Op Projection";#N/A,#N/A,TRUE,"Capital";#N/A,#N/A,TRUE,"Income";#N/A,#N/A,TRUE,"Balance";#N/A,#N/A,TRUE,"Sources&amp;Uses"}</definedName>
    <definedName name="question" localSheetId="4" hidden="1">{#N/A,#N/A,TRUE,"Assumptions";#N/A,#N/A,TRUE,"Op Projection";#N/A,#N/A,TRUE,"Capital";#N/A,#N/A,TRUE,"Income";#N/A,#N/A,TRUE,"Balance";#N/A,#N/A,TRUE,"Sources&amp;Uses"}</definedName>
    <definedName name="question" localSheetId="28" hidden="1">{#N/A,#N/A,TRUE,"Assumptions";#N/A,#N/A,TRUE,"Op Projection";#N/A,#N/A,TRUE,"Capital";#N/A,#N/A,TRUE,"Income";#N/A,#N/A,TRUE,"Balance";#N/A,#N/A,TRUE,"Sources&amp;Uses"}</definedName>
    <definedName name="question" localSheetId="33" hidden="1">{#N/A,#N/A,TRUE,"Assumptions";#N/A,#N/A,TRUE,"Op Projection";#N/A,#N/A,TRUE,"Capital";#N/A,#N/A,TRUE,"Income";#N/A,#N/A,TRUE,"Balance";#N/A,#N/A,TRUE,"Sources&amp;Uses"}</definedName>
    <definedName name="question" localSheetId="32" hidden="1">{#N/A,#N/A,TRUE,"Assumptions";#N/A,#N/A,TRUE,"Op Projection";#N/A,#N/A,TRUE,"Capital";#N/A,#N/A,TRUE,"Income";#N/A,#N/A,TRUE,"Balance";#N/A,#N/A,TRUE,"Sources&amp;Uses"}</definedName>
    <definedName name="question" localSheetId="7" hidden="1">{#N/A,#N/A,TRUE,"Assumptions";#N/A,#N/A,TRUE,"Op Projection";#N/A,#N/A,TRUE,"Capital";#N/A,#N/A,TRUE,"Income";#N/A,#N/A,TRUE,"Balance";#N/A,#N/A,TRUE,"Sources&amp;Uses"}</definedName>
    <definedName name="question" localSheetId="29" hidden="1">{#N/A,#N/A,TRUE,"Assumptions";#N/A,#N/A,TRUE,"Op Projection";#N/A,#N/A,TRUE,"Capital";#N/A,#N/A,TRUE,"Income";#N/A,#N/A,TRUE,"Balance";#N/A,#N/A,TRUE,"Sources&amp;Uses"}</definedName>
    <definedName name="question" localSheetId="1" hidden="1">{#N/A,#N/A,TRUE,"Assumptions";#N/A,#N/A,TRUE,"Op Projection";#N/A,#N/A,TRUE,"Capital";#N/A,#N/A,TRUE,"Income";#N/A,#N/A,TRUE,"Balance";#N/A,#N/A,TRUE,"Sources&amp;Uses"}</definedName>
    <definedName name="question" localSheetId="31" hidden="1">{#N/A,#N/A,TRUE,"Assumptions";#N/A,#N/A,TRUE,"Op Projection";#N/A,#N/A,TRUE,"Capital";#N/A,#N/A,TRUE,"Income";#N/A,#N/A,TRUE,"Balance";#N/A,#N/A,TRUE,"Sources&amp;Uses"}</definedName>
    <definedName name="question" hidden="1">{#N/A,#N/A,TRUE,"Assumptions";#N/A,#N/A,TRUE,"Op Projection";#N/A,#N/A,TRUE,"Capital";#N/A,#N/A,TRUE,"Income";#N/A,#N/A,TRUE,"Balance";#N/A,#N/A,TRUE,"Sources&amp;Uses"}</definedName>
    <definedName name="qwdcxa" localSheetId="12" hidden="1">{#N/A,#N/A,FALSE,"Report Print"}</definedName>
    <definedName name="qwdcxa" localSheetId="18" hidden="1">{#N/A,#N/A,FALSE,"Report Print"}</definedName>
    <definedName name="qwdcxa" localSheetId="19" hidden="1">{#N/A,#N/A,FALSE,"Report Print"}</definedName>
    <definedName name="qwdcxa" localSheetId="17" hidden="1">{#N/A,#N/A,FALSE,"Report Print"}</definedName>
    <definedName name="qwdcxa" localSheetId="22" hidden="1">{#N/A,#N/A,FALSE,"Report Print"}</definedName>
    <definedName name="qwdcxa" localSheetId="10" hidden="1">{#N/A,#N/A,FALSE,"Report Print"}</definedName>
    <definedName name="qwdcxa" localSheetId="30" hidden="1">{#N/A,#N/A,FALSE,"Report Print"}</definedName>
    <definedName name="qwdcxa" localSheetId="0" hidden="1">{#N/A,#N/A,FALSE,"Report Print"}</definedName>
    <definedName name="qwdcxa" localSheetId="3" hidden="1">{#N/A,#N/A,FALSE,"Report Print"}</definedName>
    <definedName name="qwdcxa" localSheetId="4" hidden="1">{#N/A,#N/A,FALSE,"Report Print"}</definedName>
    <definedName name="qwdcxa" localSheetId="28" hidden="1">{#N/A,#N/A,FALSE,"Report Print"}</definedName>
    <definedName name="qwdcxa" localSheetId="33" hidden="1">{#N/A,#N/A,FALSE,"Report Print"}</definedName>
    <definedName name="qwdcxa" localSheetId="32" hidden="1">{#N/A,#N/A,FALSE,"Report Print"}</definedName>
    <definedName name="qwdcxa" localSheetId="7" hidden="1">{#N/A,#N/A,FALSE,"Report Print"}</definedName>
    <definedName name="qwdcxa" localSheetId="29" hidden="1">{#N/A,#N/A,FALSE,"Report Print"}</definedName>
    <definedName name="qwdcxa" localSheetId="1" hidden="1">{#N/A,#N/A,FALSE,"Report Print"}</definedName>
    <definedName name="qwdcxa" localSheetId="31" hidden="1">{#N/A,#N/A,FALSE,"Report Print"}</definedName>
    <definedName name="qwdcxa" hidden="1">{#N/A,#N/A,FALSE,"Report Print"}</definedName>
    <definedName name="qwer" localSheetId="12" hidden="1">{#N/A,#N/A,TRUE,"Assumptions";#N/A,#N/A,TRUE,"Op Projection";#N/A,#N/A,TRUE,"Capital";#N/A,#N/A,TRUE,"Income";#N/A,#N/A,TRUE,"Balance";#N/A,#N/A,TRUE,"Sources&amp;Uses"}</definedName>
    <definedName name="qwer" localSheetId="18" hidden="1">{#N/A,#N/A,TRUE,"Assumptions";#N/A,#N/A,TRUE,"Op Projection";#N/A,#N/A,TRUE,"Capital";#N/A,#N/A,TRUE,"Income";#N/A,#N/A,TRUE,"Balance";#N/A,#N/A,TRUE,"Sources&amp;Uses"}</definedName>
    <definedName name="qwer" localSheetId="19" hidden="1">{#N/A,#N/A,TRUE,"Assumptions";#N/A,#N/A,TRUE,"Op Projection";#N/A,#N/A,TRUE,"Capital";#N/A,#N/A,TRUE,"Income";#N/A,#N/A,TRUE,"Balance";#N/A,#N/A,TRUE,"Sources&amp;Uses"}</definedName>
    <definedName name="qwer" localSheetId="17" hidden="1">{#N/A,#N/A,TRUE,"Assumptions";#N/A,#N/A,TRUE,"Op Projection";#N/A,#N/A,TRUE,"Capital";#N/A,#N/A,TRUE,"Income";#N/A,#N/A,TRUE,"Balance";#N/A,#N/A,TRUE,"Sources&amp;Uses"}</definedName>
    <definedName name="qwer" localSheetId="22" hidden="1">{#N/A,#N/A,TRUE,"Assumptions";#N/A,#N/A,TRUE,"Op Projection";#N/A,#N/A,TRUE,"Capital";#N/A,#N/A,TRUE,"Income";#N/A,#N/A,TRUE,"Balance";#N/A,#N/A,TRUE,"Sources&amp;Uses"}</definedName>
    <definedName name="qwer" localSheetId="10" hidden="1">{#N/A,#N/A,TRUE,"Assumptions";#N/A,#N/A,TRUE,"Op Projection";#N/A,#N/A,TRUE,"Capital";#N/A,#N/A,TRUE,"Income";#N/A,#N/A,TRUE,"Balance";#N/A,#N/A,TRUE,"Sources&amp;Uses"}</definedName>
    <definedName name="qwer" localSheetId="30" hidden="1">{#N/A,#N/A,TRUE,"Assumptions";#N/A,#N/A,TRUE,"Op Projection";#N/A,#N/A,TRUE,"Capital";#N/A,#N/A,TRUE,"Income";#N/A,#N/A,TRUE,"Balance";#N/A,#N/A,TRUE,"Sources&amp;Uses"}</definedName>
    <definedName name="qwer" localSheetId="0" hidden="1">{#N/A,#N/A,TRUE,"Assumptions";#N/A,#N/A,TRUE,"Op Projection";#N/A,#N/A,TRUE,"Capital";#N/A,#N/A,TRUE,"Income";#N/A,#N/A,TRUE,"Balance";#N/A,#N/A,TRUE,"Sources&amp;Uses"}</definedName>
    <definedName name="qwer" localSheetId="3" hidden="1">{#N/A,#N/A,TRUE,"Assumptions";#N/A,#N/A,TRUE,"Op Projection";#N/A,#N/A,TRUE,"Capital";#N/A,#N/A,TRUE,"Income";#N/A,#N/A,TRUE,"Balance";#N/A,#N/A,TRUE,"Sources&amp;Uses"}</definedName>
    <definedName name="qwer" localSheetId="4" hidden="1">{#N/A,#N/A,TRUE,"Assumptions";#N/A,#N/A,TRUE,"Op Projection";#N/A,#N/A,TRUE,"Capital";#N/A,#N/A,TRUE,"Income";#N/A,#N/A,TRUE,"Balance";#N/A,#N/A,TRUE,"Sources&amp;Uses"}</definedName>
    <definedName name="qwer" localSheetId="28" hidden="1">{#N/A,#N/A,TRUE,"Assumptions";#N/A,#N/A,TRUE,"Op Projection";#N/A,#N/A,TRUE,"Capital";#N/A,#N/A,TRUE,"Income";#N/A,#N/A,TRUE,"Balance";#N/A,#N/A,TRUE,"Sources&amp;Uses"}</definedName>
    <definedName name="qwer" localSheetId="33" hidden="1">{#N/A,#N/A,TRUE,"Assumptions";#N/A,#N/A,TRUE,"Op Projection";#N/A,#N/A,TRUE,"Capital";#N/A,#N/A,TRUE,"Income";#N/A,#N/A,TRUE,"Balance";#N/A,#N/A,TRUE,"Sources&amp;Uses"}</definedName>
    <definedName name="qwer" localSheetId="32" hidden="1">{#N/A,#N/A,TRUE,"Assumptions";#N/A,#N/A,TRUE,"Op Projection";#N/A,#N/A,TRUE,"Capital";#N/A,#N/A,TRUE,"Income";#N/A,#N/A,TRUE,"Balance";#N/A,#N/A,TRUE,"Sources&amp;Uses"}</definedName>
    <definedName name="qwer" localSheetId="7" hidden="1">{#N/A,#N/A,TRUE,"Assumptions";#N/A,#N/A,TRUE,"Op Projection";#N/A,#N/A,TRUE,"Capital";#N/A,#N/A,TRUE,"Income";#N/A,#N/A,TRUE,"Balance";#N/A,#N/A,TRUE,"Sources&amp;Uses"}</definedName>
    <definedName name="qwer" localSheetId="29" hidden="1">{#N/A,#N/A,TRUE,"Assumptions";#N/A,#N/A,TRUE,"Op Projection";#N/A,#N/A,TRUE,"Capital";#N/A,#N/A,TRUE,"Income";#N/A,#N/A,TRUE,"Balance";#N/A,#N/A,TRUE,"Sources&amp;Uses"}</definedName>
    <definedName name="qwer" localSheetId="1" hidden="1">{#N/A,#N/A,TRUE,"Assumptions";#N/A,#N/A,TRUE,"Op Projection";#N/A,#N/A,TRUE,"Capital";#N/A,#N/A,TRUE,"Income";#N/A,#N/A,TRUE,"Balance";#N/A,#N/A,TRUE,"Sources&amp;Uses"}</definedName>
    <definedName name="qwer" localSheetId="31" hidden="1">{#N/A,#N/A,TRUE,"Assumptions";#N/A,#N/A,TRUE,"Op Projection";#N/A,#N/A,TRUE,"Capital";#N/A,#N/A,TRUE,"Income";#N/A,#N/A,TRUE,"Balance";#N/A,#N/A,TRUE,"Sources&amp;Uses"}</definedName>
    <definedName name="qwer" hidden="1">{#N/A,#N/A,TRUE,"Assumptions";#N/A,#N/A,TRUE,"Op Projection";#N/A,#N/A,TRUE,"Capital";#N/A,#N/A,TRUE,"Income";#N/A,#N/A,TRUE,"Balance";#N/A,#N/A,TRUE,"Sources&amp;Uses"}</definedName>
    <definedName name="qwqqqq" localSheetId="12" hidden="1">{"IS",#N/A,FALSE,"IS";"RPTIS",#N/A,FALSE,"RPTIS";"STATS",#N/A,FALSE,"STATS";"BS",#N/A,FALSE,"BS"}</definedName>
    <definedName name="qwqqqq" localSheetId="18" hidden="1">{"IS",#N/A,FALSE,"IS";"RPTIS",#N/A,FALSE,"RPTIS";"STATS",#N/A,FALSE,"STATS";"BS",#N/A,FALSE,"BS"}</definedName>
    <definedName name="qwqqqq" localSheetId="19" hidden="1">{"IS",#N/A,FALSE,"IS";"RPTIS",#N/A,FALSE,"RPTIS";"STATS",#N/A,FALSE,"STATS";"BS",#N/A,FALSE,"BS"}</definedName>
    <definedName name="qwqqqq" localSheetId="17" hidden="1">{"IS",#N/A,FALSE,"IS";"RPTIS",#N/A,FALSE,"RPTIS";"STATS",#N/A,FALSE,"STATS";"BS",#N/A,FALSE,"BS"}</definedName>
    <definedName name="qwqqqq" localSheetId="22" hidden="1">{"IS",#N/A,FALSE,"IS";"RPTIS",#N/A,FALSE,"RPTIS";"STATS",#N/A,FALSE,"STATS";"BS",#N/A,FALSE,"BS"}</definedName>
    <definedName name="qwqqqq" localSheetId="10" hidden="1">{"IS",#N/A,FALSE,"IS";"RPTIS",#N/A,FALSE,"RPTIS";"STATS",#N/A,FALSE,"STATS";"BS",#N/A,FALSE,"BS"}</definedName>
    <definedName name="qwqqqq" localSheetId="30" hidden="1">{"IS",#N/A,FALSE,"IS";"RPTIS",#N/A,FALSE,"RPTIS";"STATS",#N/A,FALSE,"STATS";"BS",#N/A,FALSE,"BS"}</definedName>
    <definedName name="qwqqqq" localSheetId="0" hidden="1">{"IS",#N/A,FALSE,"IS";"RPTIS",#N/A,FALSE,"RPTIS";"STATS",#N/A,FALSE,"STATS";"BS",#N/A,FALSE,"BS"}</definedName>
    <definedName name="qwqqqq" localSheetId="3" hidden="1">{"IS",#N/A,FALSE,"IS";"RPTIS",#N/A,FALSE,"RPTIS";"STATS",#N/A,FALSE,"STATS";"BS",#N/A,FALSE,"BS"}</definedName>
    <definedName name="qwqqqq" localSheetId="4" hidden="1">{"IS",#N/A,FALSE,"IS";"RPTIS",#N/A,FALSE,"RPTIS";"STATS",#N/A,FALSE,"STATS";"BS",#N/A,FALSE,"BS"}</definedName>
    <definedName name="qwqqqq" localSheetId="28" hidden="1">{"IS",#N/A,FALSE,"IS";"RPTIS",#N/A,FALSE,"RPTIS";"STATS",#N/A,FALSE,"STATS";"BS",#N/A,FALSE,"BS"}</definedName>
    <definedName name="qwqqqq" localSheetId="33" hidden="1">{"IS",#N/A,FALSE,"IS";"RPTIS",#N/A,FALSE,"RPTIS";"STATS",#N/A,FALSE,"STATS";"BS",#N/A,FALSE,"BS"}</definedName>
    <definedName name="qwqqqq" localSheetId="32" hidden="1">{"IS",#N/A,FALSE,"IS";"RPTIS",#N/A,FALSE,"RPTIS";"STATS",#N/A,FALSE,"STATS";"BS",#N/A,FALSE,"BS"}</definedName>
    <definedName name="qwqqqq" localSheetId="7" hidden="1">{"IS",#N/A,FALSE,"IS";"RPTIS",#N/A,FALSE,"RPTIS";"STATS",#N/A,FALSE,"STATS";"BS",#N/A,FALSE,"BS"}</definedName>
    <definedName name="qwqqqq" localSheetId="29" hidden="1">{"IS",#N/A,FALSE,"IS";"RPTIS",#N/A,FALSE,"RPTIS";"STATS",#N/A,FALSE,"STATS";"BS",#N/A,FALSE,"BS"}</definedName>
    <definedName name="qwqqqq" localSheetId="1" hidden="1">{"IS",#N/A,FALSE,"IS";"RPTIS",#N/A,FALSE,"RPTIS";"STATS",#N/A,FALSE,"STATS";"BS",#N/A,FALSE,"BS"}</definedName>
    <definedName name="qwqqqq" localSheetId="31" hidden="1">{"IS",#N/A,FALSE,"IS";"RPTIS",#N/A,FALSE,"RPTIS";"STATS",#N/A,FALSE,"STATS";"BS",#N/A,FALSE,"BS"}</definedName>
    <definedName name="qwqqqq" hidden="1">{"IS",#N/A,FALSE,"IS";"RPTIS",#N/A,FALSE,"RPTIS";"STATS",#N/A,FALSE,"STATS";"BS",#N/A,FALSE,"BS"}</definedName>
    <definedName name="Relacion_________________________________________Señal_de_entrada_0_110V._____________________________________________________Señal_de_salida__0_5_mA___________________________________________________Rango_de_tensión_0_123V" localSheetId="10">#REF!</definedName>
    <definedName name="Relacion_________________________________________Señal_de_entrada_0_110V._____________________________________________________Señal_de_salida__0_5_mA___________________________________________________Rango_de_tensión_0_123V" localSheetId="30">#REF!</definedName>
    <definedName name="Relacion_________________________________________Señal_de_entrada_0_110V._____________________________________________________Señal_de_salida__0_5_mA___________________________________________________Rango_de_tensión_0_123V" localSheetId="4">#REF!</definedName>
    <definedName name="Relacion_________________________________________Señal_de_entrada_0_110V._____________________________________________________Señal_de_salida__0_5_mA___________________________________________________Rango_de_tensión_0_123V" localSheetId="28">#REF!</definedName>
    <definedName name="Relacion_________________________________________Señal_de_entrada_0_110V._____________________________________________________Señal_de_salida__0_5_mA___________________________________________________Rango_de_tensión_0_123V" localSheetId="7">#REF!</definedName>
    <definedName name="Relacion_________________________________________Señal_de_entrada_0_110V._____________________________________________________Señal_de_salida__0_5_mA___________________________________________________Rango_de_tensión_0_123V" localSheetId="29">#REF!</definedName>
    <definedName name="Relacion_________________________________________Señal_de_entrada_0_110V._____________________________________________________Señal_de_salida__0_5_mA___________________________________________________Rango_de_tensión_0_123V" localSheetId="31">#REF!</definedName>
    <definedName name="Relacion_________________________________________Señal_de_entrada_0_110V._____________________________________________________Señal_de_salida__0_5_mA___________________________________________________Rango_de_tensión_0_123V">#REF!</definedName>
    <definedName name="reqwr" localSheetId="12" hidden="1">{"IS",#N/A,FALSE,"IS";"RPTIS",#N/A,FALSE,"RPTIS";"STATS",#N/A,FALSE,"STATS";"CELL",#N/A,FALSE,"CELL";"BS",#N/A,FALSE,"BS"}</definedName>
    <definedName name="reqwr" localSheetId="18" hidden="1">{"IS",#N/A,FALSE,"IS";"RPTIS",#N/A,FALSE,"RPTIS";"STATS",#N/A,FALSE,"STATS";"CELL",#N/A,FALSE,"CELL";"BS",#N/A,FALSE,"BS"}</definedName>
    <definedName name="reqwr" localSheetId="19" hidden="1">{"IS",#N/A,FALSE,"IS";"RPTIS",#N/A,FALSE,"RPTIS";"STATS",#N/A,FALSE,"STATS";"CELL",#N/A,FALSE,"CELL";"BS",#N/A,FALSE,"BS"}</definedName>
    <definedName name="reqwr" localSheetId="17" hidden="1">{"IS",#N/A,FALSE,"IS";"RPTIS",#N/A,FALSE,"RPTIS";"STATS",#N/A,FALSE,"STATS";"CELL",#N/A,FALSE,"CELL";"BS",#N/A,FALSE,"BS"}</definedName>
    <definedName name="reqwr" localSheetId="22" hidden="1">{"IS",#N/A,FALSE,"IS";"RPTIS",#N/A,FALSE,"RPTIS";"STATS",#N/A,FALSE,"STATS";"CELL",#N/A,FALSE,"CELL";"BS",#N/A,FALSE,"BS"}</definedName>
    <definedName name="reqwr" localSheetId="10" hidden="1">{"IS",#N/A,FALSE,"IS";"RPTIS",#N/A,FALSE,"RPTIS";"STATS",#N/A,FALSE,"STATS";"CELL",#N/A,FALSE,"CELL";"BS",#N/A,FALSE,"BS"}</definedName>
    <definedName name="reqwr" localSheetId="30" hidden="1">{"IS",#N/A,FALSE,"IS";"RPTIS",#N/A,FALSE,"RPTIS";"STATS",#N/A,FALSE,"STATS";"CELL",#N/A,FALSE,"CELL";"BS",#N/A,FALSE,"BS"}</definedName>
    <definedName name="reqwr" localSheetId="0" hidden="1">{"IS",#N/A,FALSE,"IS";"RPTIS",#N/A,FALSE,"RPTIS";"STATS",#N/A,FALSE,"STATS";"CELL",#N/A,FALSE,"CELL";"BS",#N/A,FALSE,"BS"}</definedName>
    <definedName name="reqwr" localSheetId="3" hidden="1">{"IS",#N/A,FALSE,"IS";"RPTIS",#N/A,FALSE,"RPTIS";"STATS",#N/A,FALSE,"STATS";"CELL",#N/A,FALSE,"CELL";"BS",#N/A,FALSE,"BS"}</definedName>
    <definedName name="reqwr" localSheetId="4" hidden="1">{"IS",#N/A,FALSE,"IS";"RPTIS",#N/A,FALSE,"RPTIS";"STATS",#N/A,FALSE,"STATS";"CELL",#N/A,FALSE,"CELL";"BS",#N/A,FALSE,"BS"}</definedName>
    <definedName name="reqwr" localSheetId="28" hidden="1">{"IS",#N/A,FALSE,"IS";"RPTIS",#N/A,FALSE,"RPTIS";"STATS",#N/A,FALSE,"STATS";"CELL",#N/A,FALSE,"CELL";"BS",#N/A,FALSE,"BS"}</definedName>
    <definedName name="reqwr" localSheetId="33" hidden="1">{"IS",#N/A,FALSE,"IS";"RPTIS",#N/A,FALSE,"RPTIS";"STATS",#N/A,FALSE,"STATS";"CELL",#N/A,FALSE,"CELL";"BS",#N/A,FALSE,"BS"}</definedName>
    <definedName name="reqwr" localSheetId="32" hidden="1">{"IS",#N/A,FALSE,"IS";"RPTIS",#N/A,FALSE,"RPTIS";"STATS",#N/A,FALSE,"STATS";"CELL",#N/A,FALSE,"CELL";"BS",#N/A,FALSE,"BS"}</definedName>
    <definedName name="reqwr" localSheetId="7" hidden="1">{"IS",#N/A,FALSE,"IS";"RPTIS",#N/A,FALSE,"RPTIS";"STATS",#N/A,FALSE,"STATS";"CELL",#N/A,FALSE,"CELL";"BS",#N/A,FALSE,"BS"}</definedName>
    <definedName name="reqwr" localSheetId="29" hidden="1">{"IS",#N/A,FALSE,"IS";"RPTIS",#N/A,FALSE,"RPTIS";"STATS",#N/A,FALSE,"STATS";"CELL",#N/A,FALSE,"CELL";"BS",#N/A,FALSE,"BS"}</definedName>
    <definedName name="reqwr" localSheetId="1" hidden="1">{"IS",#N/A,FALSE,"IS";"RPTIS",#N/A,FALSE,"RPTIS";"STATS",#N/A,FALSE,"STATS";"CELL",#N/A,FALSE,"CELL";"BS",#N/A,FALSE,"BS"}</definedName>
    <definedName name="reqwr" localSheetId="31" hidden="1">{"IS",#N/A,FALSE,"IS";"RPTIS",#N/A,FALSE,"RPTIS";"STATS",#N/A,FALSE,"STATS";"CELL",#N/A,FALSE,"CELL";"BS",#N/A,FALSE,"BS"}</definedName>
    <definedName name="reqwr" hidden="1">{"IS",#N/A,FALSE,"IS";"RPTIS",#N/A,FALSE,"RPTIS";"STATS",#N/A,FALSE,"STATS";"CELL",#N/A,FALSE,"CELL";"BS",#N/A,FALSE,"BS"}</definedName>
    <definedName name="rqrq" localSheetId="12" hidden="1">{"test2",#N/A,TRUE,"Prices"}</definedName>
    <definedName name="rqrq" localSheetId="18" hidden="1">{"test2",#N/A,TRUE,"Prices"}</definedName>
    <definedName name="rqrq" localSheetId="19" hidden="1">{"test2",#N/A,TRUE,"Prices"}</definedName>
    <definedName name="rqrq" localSheetId="17" hidden="1">{"test2",#N/A,TRUE,"Prices"}</definedName>
    <definedName name="rqrq" localSheetId="22" hidden="1">{"test2",#N/A,TRUE,"Prices"}</definedName>
    <definedName name="rqrq" localSheetId="10" hidden="1">{"test2",#N/A,TRUE,"Prices"}</definedName>
    <definedName name="rqrq" localSheetId="30" hidden="1">{"test2",#N/A,TRUE,"Prices"}</definedName>
    <definedName name="rqrq" localSheetId="0" hidden="1">{"test2",#N/A,TRUE,"Prices"}</definedName>
    <definedName name="rqrq" localSheetId="3" hidden="1">{"test2",#N/A,TRUE,"Prices"}</definedName>
    <definedName name="rqrq" localSheetId="4" hidden="1">{"test2",#N/A,TRUE,"Prices"}</definedName>
    <definedName name="rqrq" localSheetId="28" hidden="1">{"test2",#N/A,TRUE,"Prices"}</definedName>
    <definedName name="rqrq" localSheetId="33" hidden="1">{"test2",#N/A,TRUE,"Prices"}</definedName>
    <definedName name="rqrq" localSheetId="32" hidden="1">{"test2",#N/A,TRUE,"Prices"}</definedName>
    <definedName name="rqrq" localSheetId="7" hidden="1">{"test2",#N/A,TRUE,"Prices"}</definedName>
    <definedName name="rqrq" localSheetId="29" hidden="1">{"test2",#N/A,TRUE,"Prices"}</definedName>
    <definedName name="rqrq" localSheetId="1" hidden="1">{"test2",#N/A,TRUE,"Prices"}</definedName>
    <definedName name="rqrq" localSheetId="31" hidden="1">{"test2",#N/A,TRUE,"Prices"}</definedName>
    <definedName name="rqrq" hidden="1">{"test2",#N/A,TRUE,"Prices"}</definedName>
    <definedName name="rrrrr" localSheetId="12"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rrrrr" localSheetId="18"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rrrrr" localSheetId="19"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rrrrr" localSheetId="17"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rrrrr" localSheetId="22"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rrrrr" localSheetId="10"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rrrrr" localSheetId="30"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rrrrr" localSheetId="0"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rrrrr" localSheetId="3"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rrrrr" localSheetId="4"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rrrrr" localSheetId="28"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rrrrr" localSheetId="33"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rrrrr" localSheetId="32"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rrrrr" localSheetId="7"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rrrrr" localSheetId="29"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rrrrr" localSheetId="1"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rrrrr" localSheetId="31"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rrrrr"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rtyf" localSheetId="12" hidden="1">{"ANAR",#N/A,FALSE,"Dist total";"MARGEN",#N/A,FALSE,"Dist total";"COMENTARIO",#N/A,FALSE,"Ficha CODICE";"CONSEJO",#N/A,FALSE,"Dist p0";"uno",#N/A,FALSE,"Dist total"}</definedName>
    <definedName name="rtyf" localSheetId="18" hidden="1">{"ANAR",#N/A,FALSE,"Dist total";"MARGEN",#N/A,FALSE,"Dist total";"COMENTARIO",#N/A,FALSE,"Ficha CODICE";"CONSEJO",#N/A,FALSE,"Dist p0";"uno",#N/A,FALSE,"Dist total"}</definedName>
    <definedName name="rtyf" localSheetId="19" hidden="1">{"ANAR",#N/A,FALSE,"Dist total";"MARGEN",#N/A,FALSE,"Dist total";"COMENTARIO",#N/A,FALSE,"Ficha CODICE";"CONSEJO",#N/A,FALSE,"Dist p0";"uno",#N/A,FALSE,"Dist total"}</definedName>
    <definedName name="rtyf" localSheetId="17" hidden="1">{"ANAR",#N/A,FALSE,"Dist total";"MARGEN",#N/A,FALSE,"Dist total";"COMENTARIO",#N/A,FALSE,"Ficha CODICE";"CONSEJO",#N/A,FALSE,"Dist p0";"uno",#N/A,FALSE,"Dist total"}</definedName>
    <definedName name="rtyf" localSheetId="22" hidden="1">{"ANAR",#N/A,FALSE,"Dist total";"MARGEN",#N/A,FALSE,"Dist total";"COMENTARIO",#N/A,FALSE,"Ficha CODICE";"CONSEJO",#N/A,FALSE,"Dist p0";"uno",#N/A,FALSE,"Dist total"}</definedName>
    <definedName name="rtyf" localSheetId="10" hidden="1">{"ANAR",#N/A,FALSE,"Dist total";"MARGEN",#N/A,FALSE,"Dist total";"COMENTARIO",#N/A,FALSE,"Ficha CODICE";"CONSEJO",#N/A,FALSE,"Dist p0";"uno",#N/A,FALSE,"Dist total"}</definedName>
    <definedName name="rtyf" localSheetId="30" hidden="1">{"ANAR",#N/A,FALSE,"Dist total";"MARGEN",#N/A,FALSE,"Dist total";"COMENTARIO",#N/A,FALSE,"Ficha CODICE";"CONSEJO",#N/A,FALSE,"Dist p0";"uno",#N/A,FALSE,"Dist total"}</definedName>
    <definedName name="rtyf" localSheetId="0" hidden="1">{"ANAR",#N/A,FALSE,"Dist total";"MARGEN",#N/A,FALSE,"Dist total";"COMENTARIO",#N/A,FALSE,"Ficha CODICE";"CONSEJO",#N/A,FALSE,"Dist p0";"uno",#N/A,FALSE,"Dist total"}</definedName>
    <definedName name="rtyf" localSheetId="3" hidden="1">{"ANAR",#N/A,FALSE,"Dist total";"MARGEN",#N/A,FALSE,"Dist total";"COMENTARIO",#N/A,FALSE,"Ficha CODICE";"CONSEJO",#N/A,FALSE,"Dist p0";"uno",#N/A,FALSE,"Dist total"}</definedName>
    <definedName name="rtyf" localSheetId="4" hidden="1">{"ANAR",#N/A,FALSE,"Dist total";"MARGEN",#N/A,FALSE,"Dist total";"COMENTARIO",#N/A,FALSE,"Ficha CODICE";"CONSEJO",#N/A,FALSE,"Dist p0";"uno",#N/A,FALSE,"Dist total"}</definedName>
    <definedName name="rtyf" localSheetId="28" hidden="1">{"ANAR",#N/A,FALSE,"Dist total";"MARGEN",#N/A,FALSE,"Dist total";"COMENTARIO",#N/A,FALSE,"Ficha CODICE";"CONSEJO",#N/A,FALSE,"Dist p0";"uno",#N/A,FALSE,"Dist total"}</definedName>
    <definedName name="rtyf" localSheetId="33" hidden="1">{"ANAR",#N/A,FALSE,"Dist total";"MARGEN",#N/A,FALSE,"Dist total";"COMENTARIO",#N/A,FALSE,"Ficha CODICE";"CONSEJO",#N/A,FALSE,"Dist p0";"uno",#N/A,FALSE,"Dist total"}</definedName>
    <definedName name="rtyf" localSheetId="32" hidden="1">{"ANAR",#N/A,FALSE,"Dist total";"MARGEN",#N/A,FALSE,"Dist total";"COMENTARIO",#N/A,FALSE,"Ficha CODICE";"CONSEJO",#N/A,FALSE,"Dist p0";"uno",#N/A,FALSE,"Dist total"}</definedName>
    <definedName name="rtyf" localSheetId="7" hidden="1">{"ANAR",#N/A,FALSE,"Dist total";"MARGEN",#N/A,FALSE,"Dist total";"COMENTARIO",#N/A,FALSE,"Ficha CODICE";"CONSEJO",#N/A,FALSE,"Dist p0";"uno",#N/A,FALSE,"Dist total"}</definedName>
    <definedName name="rtyf" localSheetId="29" hidden="1">{"ANAR",#N/A,FALSE,"Dist total";"MARGEN",#N/A,FALSE,"Dist total";"COMENTARIO",#N/A,FALSE,"Ficha CODICE";"CONSEJO",#N/A,FALSE,"Dist p0";"uno",#N/A,FALSE,"Dist total"}</definedName>
    <definedName name="rtyf" localSheetId="1" hidden="1">{"ANAR",#N/A,FALSE,"Dist total";"MARGEN",#N/A,FALSE,"Dist total";"COMENTARIO",#N/A,FALSE,"Ficha CODICE";"CONSEJO",#N/A,FALSE,"Dist p0";"uno",#N/A,FALSE,"Dist total"}</definedName>
    <definedName name="rtyf" localSheetId="31" hidden="1">{"ANAR",#N/A,FALSE,"Dist total";"MARGEN",#N/A,FALSE,"Dist total";"COMENTARIO",#N/A,FALSE,"Ficha CODICE";"CONSEJO",#N/A,FALSE,"Dist p0";"uno",#N/A,FALSE,"Dist total"}</definedName>
    <definedName name="rtyf" hidden="1">{"ANAR",#N/A,FALSE,"Dist total";"MARGEN",#N/A,FALSE,"Dist total";"COMENTARIO",#N/A,FALSE,"Ficha CODICE";"CONSEJO",#N/A,FALSE,"Dist p0";"uno",#N/A,FALSE,"Dist total"}</definedName>
    <definedName name="SAPBEXhrIndnt" hidden="1">1</definedName>
    <definedName name="SAPBEXrevision" hidden="1">10</definedName>
    <definedName name="SAPBEXsysID" hidden="1">"BWP"</definedName>
    <definedName name="SAPBEXwbID" hidden="1">"8BS5KXOP1VE0J55EZ2AEWULQ0"</definedName>
    <definedName name="sas" localSheetId="12" hidden="1">{"Tariff Comparison",#N/A,FALSE,"Benchmarking";"Tariff Comparison 2",#N/A,FALSE,"Benchmarking";"Tariff Comparison 3",#N/A,FALSE,"Benchmarking"}</definedName>
    <definedName name="sas" localSheetId="18" hidden="1">{"Tariff Comparison",#N/A,FALSE,"Benchmarking";"Tariff Comparison 2",#N/A,FALSE,"Benchmarking";"Tariff Comparison 3",#N/A,FALSE,"Benchmarking"}</definedName>
    <definedName name="sas" localSheetId="19" hidden="1">{"Tariff Comparison",#N/A,FALSE,"Benchmarking";"Tariff Comparison 2",#N/A,FALSE,"Benchmarking";"Tariff Comparison 3",#N/A,FALSE,"Benchmarking"}</definedName>
    <definedName name="sas" localSheetId="17" hidden="1">{"Tariff Comparison",#N/A,FALSE,"Benchmarking";"Tariff Comparison 2",#N/A,FALSE,"Benchmarking";"Tariff Comparison 3",#N/A,FALSE,"Benchmarking"}</definedName>
    <definedName name="sas" localSheetId="22" hidden="1">{"Tariff Comparison",#N/A,FALSE,"Benchmarking";"Tariff Comparison 2",#N/A,FALSE,"Benchmarking";"Tariff Comparison 3",#N/A,FALSE,"Benchmarking"}</definedName>
    <definedName name="sas" localSheetId="10" hidden="1">{"Tariff Comparison",#N/A,FALSE,"Benchmarking";"Tariff Comparison 2",#N/A,FALSE,"Benchmarking";"Tariff Comparison 3",#N/A,FALSE,"Benchmarking"}</definedName>
    <definedName name="sas" localSheetId="30" hidden="1">{"Tariff Comparison",#N/A,FALSE,"Benchmarking";"Tariff Comparison 2",#N/A,FALSE,"Benchmarking";"Tariff Comparison 3",#N/A,FALSE,"Benchmarking"}</definedName>
    <definedName name="sas" localSheetId="0" hidden="1">{"Tariff Comparison",#N/A,FALSE,"Benchmarking";"Tariff Comparison 2",#N/A,FALSE,"Benchmarking";"Tariff Comparison 3",#N/A,FALSE,"Benchmarking"}</definedName>
    <definedName name="sas" localSheetId="3" hidden="1">{"Tariff Comparison",#N/A,FALSE,"Benchmarking";"Tariff Comparison 2",#N/A,FALSE,"Benchmarking";"Tariff Comparison 3",#N/A,FALSE,"Benchmarking"}</definedName>
    <definedName name="sas" localSheetId="4" hidden="1">{"Tariff Comparison",#N/A,FALSE,"Benchmarking";"Tariff Comparison 2",#N/A,FALSE,"Benchmarking";"Tariff Comparison 3",#N/A,FALSE,"Benchmarking"}</definedName>
    <definedName name="sas" localSheetId="28" hidden="1">{"Tariff Comparison",#N/A,FALSE,"Benchmarking";"Tariff Comparison 2",#N/A,FALSE,"Benchmarking";"Tariff Comparison 3",#N/A,FALSE,"Benchmarking"}</definedName>
    <definedName name="sas" localSheetId="33" hidden="1">{"Tariff Comparison",#N/A,FALSE,"Benchmarking";"Tariff Comparison 2",#N/A,FALSE,"Benchmarking";"Tariff Comparison 3",#N/A,FALSE,"Benchmarking"}</definedName>
    <definedName name="sas" localSheetId="32" hidden="1">{"Tariff Comparison",#N/A,FALSE,"Benchmarking";"Tariff Comparison 2",#N/A,FALSE,"Benchmarking";"Tariff Comparison 3",#N/A,FALSE,"Benchmarking"}</definedName>
    <definedName name="sas" localSheetId="7" hidden="1">{"Tariff Comparison",#N/A,FALSE,"Benchmarking";"Tariff Comparison 2",#N/A,FALSE,"Benchmarking";"Tariff Comparison 3",#N/A,FALSE,"Benchmarking"}</definedName>
    <definedName name="sas" localSheetId="29" hidden="1">{"Tariff Comparison",#N/A,FALSE,"Benchmarking";"Tariff Comparison 2",#N/A,FALSE,"Benchmarking";"Tariff Comparison 3",#N/A,FALSE,"Benchmarking"}</definedName>
    <definedName name="sas" localSheetId="1" hidden="1">{"Tariff Comparison",#N/A,FALSE,"Benchmarking";"Tariff Comparison 2",#N/A,FALSE,"Benchmarking";"Tariff Comparison 3",#N/A,FALSE,"Benchmarking"}</definedName>
    <definedName name="sas" localSheetId="31" hidden="1">{"Tariff Comparison",#N/A,FALSE,"Benchmarking";"Tariff Comparison 2",#N/A,FALSE,"Benchmarking";"Tariff Comparison 3",#N/A,FALSE,"Benchmarking"}</definedName>
    <definedName name="sas" hidden="1">{"Tariff Comparison",#N/A,FALSE,"Benchmarking";"Tariff Comparison 2",#N/A,FALSE,"Benchmarking";"Tariff Comparison 3",#N/A,FALSE,"Benchmarking"}</definedName>
    <definedName name="sd" localSheetId="12" hidden="1">{#N/A,#N/A,FALSE,"CA";#N/A,#N/A,FALSE,"CN";#N/A,#N/A,FALSE,"Inv";#N/A,#N/A,FALSE,"Inv Acc";"Miguel_balance",#N/A,FALSE,"Bal";#N/A,#N/A,FALSE,"Plantilla";#N/A,#N/A,FALSE,"CA (2)";#N/A,#N/A,FALSE,"CN (2)"}</definedName>
    <definedName name="sd" localSheetId="18" hidden="1">{#N/A,#N/A,FALSE,"CA";#N/A,#N/A,FALSE,"CN";#N/A,#N/A,FALSE,"Inv";#N/A,#N/A,FALSE,"Inv Acc";"Miguel_balance",#N/A,FALSE,"Bal";#N/A,#N/A,FALSE,"Plantilla";#N/A,#N/A,FALSE,"CA (2)";#N/A,#N/A,FALSE,"CN (2)"}</definedName>
    <definedName name="sd" localSheetId="19" hidden="1">{#N/A,#N/A,FALSE,"CA";#N/A,#N/A,FALSE,"CN";#N/A,#N/A,FALSE,"Inv";#N/A,#N/A,FALSE,"Inv Acc";"Miguel_balance",#N/A,FALSE,"Bal";#N/A,#N/A,FALSE,"Plantilla";#N/A,#N/A,FALSE,"CA (2)";#N/A,#N/A,FALSE,"CN (2)"}</definedName>
    <definedName name="sd" localSheetId="17" hidden="1">{#N/A,#N/A,FALSE,"CA";#N/A,#N/A,FALSE,"CN";#N/A,#N/A,FALSE,"Inv";#N/A,#N/A,FALSE,"Inv Acc";"Miguel_balance",#N/A,FALSE,"Bal";#N/A,#N/A,FALSE,"Plantilla";#N/A,#N/A,FALSE,"CA (2)";#N/A,#N/A,FALSE,"CN (2)"}</definedName>
    <definedName name="sd" localSheetId="22" hidden="1">{#N/A,#N/A,FALSE,"CA";#N/A,#N/A,FALSE,"CN";#N/A,#N/A,FALSE,"Inv";#N/A,#N/A,FALSE,"Inv Acc";"Miguel_balance",#N/A,FALSE,"Bal";#N/A,#N/A,FALSE,"Plantilla";#N/A,#N/A,FALSE,"CA (2)";#N/A,#N/A,FALSE,"CN (2)"}</definedName>
    <definedName name="sd" localSheetId="10" hidden="1">{#N/A,#N/A,FALSE,"CA";#N/A,#N/A,FALSE,"CN";#N/A,#N/A,FALSE,"Inv";#N/A,#N/A,FALSE,"Inv Acc";"Miguel_balance",#N/A,FALSE,"Bal";#N/A,#N/A,FALSE,"Plantilla";#N/A,#N/A,FALSE,"CA (2)";#N/A,#N/A,FALSE,"CN (2)"}</definedName>
    <definedName name="sd" localSheetId="30" hidden="1">{#N/A,#N/A,FALSE,"CA";#N/A,#N/A,FALSE,"CN";#N/A,#N/A,FALSE,"Inv";#N/A,#N/A,FALSE,"Inv Acc";"Miguel_balance",#N/A,FALSE,"Bal";#N/A,#N/A,FALSE,"Plantilla";#N/A,#N/A,FALSE,"CA (2)";#N/A,#N/A,FALSE,"CN (2)"}</definedName>
    <definedName name="sd" localSheetId="0" hidden="1">{#N/A,#N/A,FALSE,"CA";#N/A,#N/A,FALSE,"CN";#N/A,#N/A,FALSE,"Inv";#N/A,#N/A,FALSE,"Inv Acc";"Miguel_balance",#N/A,FALSE,"Bal";#N/A,#N/A,FALSE,"Plantilla";#N/A,#N/A,FALSE,"CA (2)";#N/A,#N/A,FALSE,"CN (2)"}</definedName>
    <definedName name="sd" localSheetId="3" hidden="1">{#N/A,#N/A,FALSE,"CA";#N/A,#N/A,FALSE,"CN";#N/A,#N/A,FALSE,"Inv";#N/A,#N/A,FALSE,"Inv Acc";"Miguel_balance",#N/A,FALSE,"Bal";#N/A,#N/A,FALSE,"Plantilla";#N/A,#N/A,FALSE,"CA (2)";#N/A,#N/A,FALSE,"CN (2)"}</definedName>
    <definedName name="sd" localSheetId="4" hidden="1">{#N/A,#N/A,FALSE,"CA";#N/A,#N/A,FALSE,"CN";#N/A,#N/A,FALSE,"Inv";#N/A,#N/A,FALSE,"Inv Acc";"Miguel_balance",#N/A,FALSE,"Bal";#N/A,#N/A,FALSE,"Plantilla";#N/A,#N/A,FALSE,"CA (2)";#N/A,#N/A,FALSE,"CN (2)"}</definedName>
    <definedName name="sd" localSheetId="28" hidden="1">{#N/A,#N/A,FALSE,"CA";#N/A,#N/A,FALSE,"CN";#N/A,#N/A,FALSE,"Inv";#N/A,#N/A,FALSE,"Inv Acc";"Miguel_balance",#N/A,FALSE,"Bal";#N/A,#N/A,FALSE,"Plantilla";#N/A,#N/A,FALSE,"CA (2)";#N/A,#N/A,FALSE,"CN (2)"}</definedName>
    <definedName name="sd" localSheetId="33" hidden="1">{#N/A,#N/A,FALSE,"CA";#N/A,#N/A,FALSE,"CN";#N/A,#N/A,FALSE,"Inv";#N/A,#N/A,FALSE,"Inv Acc";"Miguel_balance",#N/A,FALSE,"Bal";#N/A,#N/A,FALSE,"Plantilla";#N/A,#N/A,FALSE,"CA (2)";#N/A,#N/A,FALSE,"CN (2)"}</definedName>
    <definedName name="sd" localSheetId="32" hidden="1">{#N/A,#N/A,FALSE,"CA";#N/A,#N/A,FALSE,"CN";#N/A,#N/A,FALSE,"Inv";#N/A,#N/A,FALSE,"Inv Acc";"Miguel_balance",#N/A,FALSE,"Bal";#N/A,#N/A,FALSE,"Plantilla";#N/A,#N/A,FALSE,"CA (2)";#N/A,#N/A,FALSE,"CN (2)"}</definedName>
    <definedName name="sd" localSheetId="7" hidden="1">{#N/A,#N/A,FALSE,"CA";#N/A,#N/A,FALSE,"CN";#N/A,#N/A,FALSE,"Inv";#N/A,#N/A,FALSE,"Inv Acc";"Miguel_balance",#N/A,FALSE,"Bal";#N/A,#N/A,FALSE,"Plantilla";#N/A,#N/A,FALSE,"CA (2)";#N/A,#N/A,FALSE,"CN (2)"}</definedName>
    <definedName name="sd" localSheetId="29" hidden="1">{#N/A,#N/A,FALSE,"CA";#N/A,#N/A,FALSE,"CN";#N/A,#N/A,FALSE,"Inv";#N/A,#N/A,FALSE,"Inv Acc";"Miguel_balance",#N/A,FALSE,"Bal";#N/A,#N/A,FALSE,"Plantilla";#N/A,#N/A,FALSE,"CA (2)";#N/A,#N/A,FALSE,"CN (2)"}</definedName>
    <definedName name="sd" localSheetId="1" hidden="1">{#N/A,#N/A,FALSE,"CA";#N/A,#N/A,FALSE,"CN";#N/A,#N/A,FALSE,"Inv";#N/A,#N/A,FALSE,"Inv Acc";"Miguel_balance",#N/A,FALSE,"Bal";#N/A,#N/A,FALSE,"Plantilla";#N/A,#N/A,FALSE,"CA (2)";#N/A,#N/A,FALSE,"CN (2)"}</definedName>
    <definedName name="sd" localSheetId="31" hidden="1">{#N/A,#N/A,FALSE,"CA";#N/A,#N/A,FALSE,"CN";#N/A,#N/A,FALSE,"Inv";#N/A,#N/A,FALSE,"Inv Acc";"Miguel_balance",#N/A,FALSE,"Bal";#N/A,#N/A,FALSE,"Plantilla";#N/A,#N/A,FALSE,"CA (2)";#N/A,#N/A,FALSE,"CN (2)"}</definedName>
    <definedName name="sd" hidden="1">{#N/A,#N/A,FALSE,"CA";#N/A,#N/A,FALSE,"CN";#N/A,#N/A,FALSE,"Inv";#N/A,#N/A,FALSE,"Inv Acc";"Miguel_balance",#N/A,FALSE,"Bal";#N/A,#N/A,FALSE,"Plantilla";#N/A,#N/A,FALSE,"CA (2)";#N/A,#N/A,FALSE,"CN (2)"}</definedName>
    <definedName name="sdfaslk" localSheetId="12" hidden="1">{TRUE,TRUE,-1.25,-15.5,604.5,369,FALSE,FALSE,TRUE,TRUE,0,1,83,1,38,4,5,4,TRUE,TRUE,3,TRUE,1,TRUE,75,"Swvu.inputs._.raw._.data.","ACwvu.inputs._.raw._.data.",#N/A,FALSE,FALSE,0.5,0.5,0.5,0.5,2,"&amp;F","&amp;A&amp;RPage &amp;P",FALSE,FALSE,FALSE,FALSE,1,60,#N/A,#N/A,"=R1C61:R53C89","=C1:C5",#N/A,#N/A,FALSE,FALSE,FALSE,1,600,600,FALSE,FALSE,TRUE,TRUE,TRUE}</definedName>
    <definedName name="sdfaslk" localSheetId="18" hidden="1">{TRUE,TRUE,-1.25,-15.5,604.5,369,FALSE,FALSE,TRUE,TRUE,0,1,83,1,38,4,5,4,TRUE,TRUE,3,TRUE,1,TRUE,75,"Swvu.inputs._.raw._.data.","ACwvu.inputs._.raw._.data.",#N/A,FALSE,FALSE,0.5,0.5,0.5,0.5,2,"&amp;F","&amp;A&amp;RPage &amp;P",FALSE,FALSE,FALSE,FALSE,1,60,#N/A,#N/A,"=R1C61:R53C89","=C1:C5",#N/A,#N/A,FALSE,FALSE,FALSE,1,600,600,FALSE,FALSE,TRUE,TRUE,TRUE}</definedName>
    <definedName name="sdfaslk" localSheetId="19" hidden="1">{TRUE,TRUE,-1.25,-15.5,604.5,369,FALSE,FALSE,TRUE,TRUE,0,1,83,1,38,4,5,4,TRUE,TRUE,3,TRUE,1,TRUE,75,"Swvu.inputs._.raw._.data.","ACwvu.inputs._.raw._.data.",#N/A,FALSE,FALSE,0.5,0.5,0.5,0.5,2,"&amp;F","&amp;A&amp;RPage &amp;P",FALSE,FALSE,FALSE,FALSE,1,60,#N/A,#N/A,"=R1C61:R53C89","=C1:C5",#N/A,#N/A,FALSE,FALSE,FALSE,1,600,600,FALSE,FALSE,TRUE,TRUE,TRUE}</definedName>
    <definedName name="sdfaslk" localSheetId="17" hidden="1">{TRUE,TRUE,-1.25,-15.5,604.5,369,FALSE,FALSE,TRUE,TRUE,0,1,83,1,38,4,5,4,TRUE,TRUE,3,TRUE,1,TRUE,75,"Swvu.inputs._.raw._.data.","ACwvu.inputs._.raw._.data.",#N/A,FALSE,FALSE,0.5,0.5,0.5,0.5,2,"&amp;F","&amp;A&amp;RPage &amp;P",FALSE,FALSE,FALSE,FALSE,1,60,#N/A,#N/A,"=R1C61:R53C89","=C1:C5",#N/A,#N/A,FALSE,FALSE,FALSE,1,600,600,FALSE,FALSE,TRUE,TRUE,TRUE}</definedName>
    <definedName name="sdfaslk" localSheetId="22" hidden="1">{TRUE,TRUE,-1.25,-15.5,604.5,369,FALSE,FALSE,TRUE,TRUE,0,1,83,1,38,4,5,4,TRUE,TRUE,3,TRUE,1,TRUE,75,"Swvu.inputs._.raw._.data.","ACwvu.inputs._.raw._.data.",#N/A,FALSE,FALSE,0.5,0.5,0.5,0.5,2,"&amp;F","&amp;A&amp;RPage &amp;P",FALSE,FALSE,FALSE,FALSE,1,60,#N/A,#N/A,"=R1C61:R53C89","=C1:C5",#N/A,#N/A,FALSE,FALSE,FALSE,1,600,600,FALSE,FALSE,TRUE,TRUE,TRUE}</definedName>
    <definedName name="sdfaslk" localSheetId="10" hidden="1">{TRUE,TRUE,-1.25,-15.5,604.5,369,FALSE,FALSE,TRUE,TRUE,0,1,83,1,38,4,5,4,TRUE,TRUE,3,TRUE,1,TRUE,75,"Swvu.inputs._.raw._.data.","ACwvu.inputs._.raw._.data.",#N/A,FALSE,FALSE,0.5,0.5,0.5,0.5,2,"&amp;F","&amp;A&amp;RPage &amp;P",FALSE,FALSE,FALSE,FALSE,1,60,#N/A,#N/A,"=R1C61:R53C89","=C1:C5",#N/A,#N/A,FALSE,FALSE,FALSE,1,600,600,FALSE,FALSE,TRUE,TRUE,TRUE}</definedName>
    <definedName name="sdfaslk" localSheetId="30" hidden="1">{TRUE,TRUE,-1.25,-15.5,604.5,369,FALSE,FALSE,TRUE,TRUE,0,1,83,1,38,4,5,4,TRUE,TRUE,3,TRUE,1,TRUE,75,"Swvu.inputs._.raw._.data.","ACwvu.inputs._.raw._.data.",#N/A,FALSE,FALSE,0.5,0.5,0.5,0.5,2,"&amp;F","&amp;A&amp;RPage &amp;P",FALSE,FALSE,FALSE,FALSE,1,60,#N/A,#N/A,"=R1C61:R53C89","=C1:C5",#N/A,#N/A,FALSE,FALSE,FALSE,1,600,600,FALSE,FALSE,TRUE,TRUE,TRUE}</definedName>
    <definedName name="sdfaslk" localSheetId="0" hidden="1">{TRUE,TRUE,-1.25,-15.5,604.5,369,FALSE,FALSE,TRUE,TRUE,0,1,83,1,38,4,5,4,TRUE,TRUE,3,TRUE,1,TRUE,75,"Swvu.inputs._.raw._.data.","ACwvu.inputs._.raw._.data.",#N/A,FALSE,FALSE,0.5,0.5,0.5,0.5,2,"&amp;F","&amp;A&amp;RPage &amp;P",FALSE,FALSE,FALSE,FALSE,1,60,#N/A,#N/A,"=R1C61:R53C89","=C1:C5",#N/A,#N/A,FALSE,FALSE,FALSE,1,600,600,FALSE,FALSE,TRUE,TRUE,TRUE}</definedName>
    <definedName name="sdfaslk"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sdfaslk" localSheetId="4" hidden="1">{TRUE,TRUE,-1.25,-15.5,604.5,369,FALSE,FALSE,TRUE,TRUE,0,1,83,1,38,4,5,4,TRUE,TRUE,3,TRUE,1,TRUE,75,"Swvu.inputs._.raw._.data.","ACwvu.inputs._.raw._.data.",#N/A,FALSE,FALSE,0.5,0.5,0.5,0.5,2,"&amp;F","&amp;A&amp;RPage &amp;P",FALSE,FALSE,FALSE,FALSE,1,60,#N/A,#N/A,"=R1C61:R53C89","=C1:C5",#N/A,#N/A,FALSE,FALSE,FALSE,1,600,600,FALSE,FALSE,TRUE,TRUE,TRUE}</definedName>
    <definedName name="sdfaslk" localSheetId="28" hidden="1">{TRUE,TRUE,-1.25,-15.5,604.5,369,FALSE,FALSE,TRUE,TRUE,0,1,83,1,38,4,5,4,TRUE,TRUE,3,TRUE,1,TRUE,75,"Swvu.inputs._.raw._.data.","ACwvu.inputs._.raw._.data.",#N/A,FALSE,FALSE,0.5,0.5,0.5,0.5,2,"&amp;F","&amp;A&amp;RPage &amp;P",FALSE,FALSE,FALSE,FALSE,1,60,#N/A,#N/A,"=R1C61:R53C89","=C1:C5",#N/A,#N/A,FALSE,FALSE,FALSE,1,600,600,FALSE,FALSE,TRUE,TRUE,TRUE}</definedName>
    <definedName name="sdfaslk" localSheetId="33" hidden="1">{TRUE,TRUE,-1.25,-15.5,604.5,369,FALSE,FALSE,TRUE,TRUE,0,1,83,1,38,4,5,4,TRUE,TRUE,3,TRUE,1,TRUE,75,"Swvu.inputs._.raw._.data.","ACwvu.inputs._.raw._.data.",#N/A,FALSE,FALSE,0.5,0.5,0.5,0.5,2,"&amp;F","&amp;A&amp;RPage &amp;P",FALSE,FALSE,FALSE,FALSE,1,60,#N/A,#N/A,"=R1C61:R53C89","=C1:C5",#N/A,#N/A,FALSE,FALSE,FALSE,1,600,600,FALSE,FALSE,TRUE,TRUE,TRUE}</definedName>
    <definedName name="sdfaslk" localSheetId="32" hidden="1">{TRUE,TRUE,-1.25,-15.5,604.5,369,FALSE,FALSE,TRUE,TRUE,0,1,83,1,38,4,5,4,TRUE,TRUE,3,TRUE,1,TRUE,75,"Swvu.inputs._.raw._.data.","ACwvu.inputs._.raw._.data.",#N/A,FALSE,FALSE,0.5,0.5,0.5,0.5,2,"&amp;F","&amp;A&amp;RPage &amp;P",FALSE,FALSE,FALSE,FALSE,1,60,#N/A,#N/A,"=R1C61:R53C89","=C1:C5",#N/A,#N/A,FALSE,FALSE,FALSE,1,600,600,FALSE,FALSE,TRUE,TRUE,TRUE}</definedName>
    <definedName name="sdfaslk" localSheetId="7" hidden="1">{TRUE,TRUE,-1.25,-15.5,604.5,369,FALSE,FALSE,TRUE,TRUE,0,1,83,1,38,4,5,4,TRUE,TRUE,3,TRUE,1,TRUE,75,"Swvu.inputs._.raw._.data.","ACwvu.inputs._.raw._.data.",#N/A,FALSE,FALSE,0.5,0.5,0.5,0.5,2,"&amp;F","&amp;A&amp;RPage &amp;P",FALSE,FALSE,FALSE,FALSE,1,60,#N/A,#N/A,"=R1C61:R53C89","=C1:C5",#N/A,#N/A,FALSE,FALSE,FALSE,1,600,600,FALSE,FALSE,TRUE,TRUE,TRUE}</definedName>
    <definedName name="sdfaslk" localSheetId="29" hidden="1">{TRUE,TRUE,-1.25,-15.5,604.5,369,FALSE,FALSE,TRUE,TRUE,0,1,83,1,38,4,5,4,TRUE,TRUE,3,TRUE,1,TRUE,75,"Swvu.inputs._.raw._.data.","ACwvu.inputs._.raw._.data.",#N/A,FALSE,FALSE,0.5,0.5,0.5,0.5,2,"&amp;F","&amp;A&amp;RPage &amp;P",FALSE,FALSE,FALSE,FALSE,1,60,#N/A,#N/A,"=R1C61:R53C89","=C1:C5",#N/A,#N/A,FALSE,FALSE,FALSE,1,600,600,FALSE,FALSE,TRUE,TRUE,TRUE}</definedName>
    <definedName name="sdfaslk"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sdfaslk" localSheetId="31" hidden="1">{TRUE,TRUE,-1.25,-15.5,604.5,369,FALSE,FALSE,TRUE,TRUE,0,1,83,1,38,4,5,4,TRUE,TRUE,3,TRUE,1,TRUE,75,"Swvu.inputs._.raw._.data.","ACwvu.inputs._.raw._.data.",#N/A,FALSE,FALSE,0.5,0.5,0.5,0.5,2,"&amp;F","&amp;A&amp;RPage &amp;P",FALSE,FALSE,FALSE,FALSE,1,60,#N/A,#N/A,"=R1C61:R53C89","=C1:C5",#N/A,#N/A,FALSE,FALSE,FALSE,1,600,600,FALSE,FALSE,TRUE,TRUE,TRUE}</definedName>
    <definedName name="sdfaslk" hidden="1">{TRUE,TRUE,-1.25,-15.5,604.5,369,FALSE,FALSE,TRUE,TRUE,0,1,83,1,38,4,5,4,TRUE,TRUE,3,TRUE,1,TRUE,75,"Swvu.inputs._.raw._.data.","ACwvu.inputs._.raw._.data.",#N/A,FALSE,FALSE,0.5,0.5,0.5,0.5,2,"&amp;F","&amp;A&amp;RPage &amp;P",FALSE,FALSE,FALSE,FALSE,1,60,#N/A,#N/A,"=R1C61:R53C89","=C1:C5",#N/A,#N/A,FALSE,FALSE,FALSE,1,600,600,FALSE,FALSE,TRUE,TRUE,TRUE}</definedName>
    <definedName name="se" localSheetId="12" hidden="1">{#N/A,#N/A,FALSE,"A&amp;E";#N/A,#N/A,FALSE,"HighTop";#N/A,#N/A,FALSE,"JG";#N/A,#N/A,FALSE,"RI";#N/A,#N/A,FALSE,"woHT";#N/A,#N/A,FALSE,"woHT&amp;JG"}</definedName>
    <definedName name="se" localSheetId="18" hidden="1">{#N/A,#N/A,FALSE,"A&amp;E";#N/A,#N/A,FALSE,"HighTop";#N/A,#N/A,FALSE,"JG";#N/A,#N/A,FALSE,"RI";#N/A,#N/A,FALSE,"woHT";#N/A,#N/A,FALSE,"woHT&amp;JG"}</definedName>
    <definedName name="se" localSheetId="19" hidden="1">{#N/A,#N/A,FALSE,"A&amp;E";#N/A,#N/A,FALSE,"HighTop";#N/A,#N/A,FALSE,"JG";#N/A,#N/A,FALSE,"RI";#N/A,#N/A,FALSE,"woHT";#N/A,#N/A,FALSE,"woHT&amp;JG"}</definedName>
    <definedName name="se" localSheetId="17" hidden="1">{#N/A,#N/A,FALSE,"A&amp;E";#N/A,#N/A,FALSE,"HighTop";#N/A,#N/A,FALSE,"JG";#N/A,#N/A,FALSE,"RI";#N/A,#N/A,FALSE,"woHT";#N/A,#N/A,FALSE,"woHT&amp;JG"}</definedName>
    <definedName name="se" localSheetId="22" hidden="1">{#N/A,#N/A,FALSE,"A&amp;E";#N/A,#N/A,FALSE,"HighTop";#N/A,#N/A,FALSE,"JG";#N/A,#N/A,FALSE,"RI";#N/A,#N/A,FALSE,"woHT";#N/A,#N/A,FALSE,"woHT&amp;JG"}</definedName>
    <definedName name="se" localSheetId="10" hidden="1">{#N/A,#N/A,FALSE,"A&amp;E";#N/A,#N/A,FALSE,"HighTop";#N/A,#N/A,FALSE,"JG";#N/A,#N/A,FALSE,"RI";#N/A,#N/A,FALSE,"woHT";#N/A,#N/A,FALSE,"woHT&amp;JG"}</definedName>
    <definedName name="se" localSheetId="30" hidden="1">{#N/A,#N/A,FALSE,"A&amp;E";#N/A,#N/A,FALSE,"HighTop";#N/A,#N/A,FALSE,"JG";#N/A,#N/A,FALSE,"RI";#N/A,#N/A,FALSE,"woHT";#N/A,#N/A,FALSE,"woHT&amp;JG"}</definedName>
    <definedName name="se" localSheetId="0" hidden="1">{#N/A,#N/A,FALSE,"A&amp;E";#N/A,#N/A,FALSE,"HighTop";#N/A,#N/A,FALSE,"JG";#N/A,#N/A,FALSE,"RI";#N/A,#N/A,FALSE,"woHT";#N/A,#N/A,FALSE,"woHT&amp;JG"}</definedName>
    <definedName name="se" localSheetId="3" hidden="1">{#N/A,#N/A,FALSE,"A&amp;E";#N/A,#N/A,FALSE,"HighTop";#N/A,#N/A,FALSE,"JG";#N/A,#N/A,FALSE,"RI";#N/A,#N/A,FALSE,"woHT";#N/A,#N/A,FALSE,"woHT&amp;JG"}</definedName>
    <definedName name="se" localSheetId="4" hidden="1">{#N/A,#N/A,FALSE,"A&amp;E";#N/A,#N/A,FALSE,"HighTop";#N/A,#N/A,FALSE,"JG";#N/A,#N/A,FALSE,"RI";#N/A,#N/A,FALSE,"woHT";#N/A,#N/A,FALSE,"woHT&amp;JG"}</definedName>
    <definedName name="se" localSheetId="28" hidden="1">{#N/A,#N/A,FALSE,"A&amp;E";#N/A,#N/A,FALSE,"HighTop";#N/A,#N/A,FALSE,"JG";#N/A,#N/A,FALSE,"RI";#N/A,#N/A,FALSE,"woHT";#N/A,#N/A,FALSE,"woHT&amp;JG"}</definedName>
    <definedName name="se" localSheetId="33" hidden="1">{#N/A,#N/A,FALSE,"A&amp;E";#N/A,#N/A,FALSE,"HighTop";#N/A,#N/A,FALSE,"JG";#N/A,#N/A,FALSE,"RI";#N/A,#N/A,FALSE,"woHT";#N/A,#N/A,FALSE,"woHT&amp;JG"}</definedName>
    <definedName name="se" localSheetId="32" hidden="1">{#N/A,#N/A,FALSE,"A&amp;E";#N/A,#N/A,FALSE,"HighTop";#N/A,#N/A,FALSE,"JG";#N/A,#N/A,FALSE,"RI";#N/A,#N/A,FALSE,"woHT";#N/A,#N/A,FALSE,"woHT&amp;JG"}</definedName>
    <definedName name="se" localSheetId="7" hidden="1">{#N/A,#N/A,FALSE,"A&amp;E";#N/A,#N/A,FALSE,"HighTop";#N/A,#N/A,FALSE,"JG";#N/A,#N/A,FALSE,"RI";#N/A,#N/A,FALSE,"woHT";#N/A,#N/A,FALSE,"woHT&amp;JG"}</definedName>
    <definedName name="se" localSheetId="29" hidden="1">{#N/A,#N/A,FALSE,"A&amp;E";#N/A,#N/A,FALSE,"HighTop";#N/A,#N/A,FALSE,"JG";#N/A,#N/A,FALSE,"RI";#N/A,#N/A,FALSE,"woHT";#N/A,#N/A,FALSE,"woHT&amp;JG"}</definedName>
    <definedName name="se" localSheetId="1" hidden="1">{#N/A,#N/A,FALSE,"A&amp;E";#N/A,#N/A,FALSE,"HighTop";#N/A,#N/A,FALSE,"JG";#N/A,#N/A,FALSE,"RI";#N/A,#N/A,FALSE,"woHT";#N/A,#N/A,FALSE,"woHT&amp;JG"}</definedName>
    <definedName name="se" localSheetId="31" hidden="1">{#N/A,#N/A,FALSE,"A&amp;E";#N/A,#N/A,FALSE,"HighTop";#N/A,#N/A,FALSE,"JG";#N/A,#N/A,FALSE,"RI";#N/A,#N/A,FALSE,"woHT";#N/A,#N/A,FALSE,"woHT&amp;JG"}</definedName>
    <definedName name="se" hidden="1">{#N/A,#N/A,FALSE,"A&amp;E";#N/A,#N/A,FALSE,"HighTop";#N/A,#N/A,FALSE,"JG";#N/A,#N/A,FALSE,"RI";#N/A,#N/A,FALSE,"woHT";#N/A,#N/A,FALSE,"woHT&amp;JG"}</definedName>
    <definedName name="sencount" hidden="1">1</definedName>
    <definedName name="si" localSheetId="1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si" localSheetId="18"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si" localSheetId="1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si" localSheetId="17"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si" localSheetId="2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si" localSheetId="1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si" localSheetId="3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si" localSheetId="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si"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si" localSheetId="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si" localSheetId="28"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si" localSheetId="3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si" localSheetId="3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si" localSheetId="7"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si" localSheetId="2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si"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si" localSheetId="3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si"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solver_lin" hidden="1">0</definedName>
    <definedName name="spo" localSheetId="1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spo" localSheetId="18"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spo" localSheetId="1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spo" localSheetId="17"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spo" localSheetId="2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spo" localSheetId="1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spo" localSheetId="3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spo" localSheetId="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spo"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spo" localSheetId="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spo" localSheetId="28"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spo" localSheetId="3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spo" localSheetId="3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spo" localSheetId="7"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spo" localSheetId="2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spo"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spo" localSheetId="3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spo"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st" localSheetId="12" hidden="1">{"IS",#N/A,FALSE,"IS";"RPTIS",#N/A,FALSE,"RPTIS";"STATS",#N/A,FALSE,"STATS";"BS",#N/A,FALSE,"BS"}</definedName>
    <definedName name="st" localSheetId="18" hidden="1">{"IS",#N/A,FALSE,"IS";"RPTIS",#N/A,FALSE,"RPTIS";"STATS",#N/A,FALSE,"STATS";"BS",#N/A,FALSE,"BS"}</definedName>
    <definedName name="st" localSheetId="19" hidden="1">{"IS",#N/A,FALSE,"IS";"RPTIS",#N/A,FALSE,"RPTIS";"STATS",#N/A,FALSE,"STATS";"BS",#N/A,FALSE,"BS"}</definedName>
    <definedName name="st" localSheetId="17" hidden="1">{"IS",#N/A,FALSE,"IS";"RPTIS",#N/A,FALSE,"RPTIS";"STATS",#N/A,FALSE,"STATS";"BS",#N/A,FALSE,"BS"}</definedName>
    <definedName name="st" localSheetId="22" hidden="1">{"IS",#N/A,FALSE,"IS";"RPTIS",#N/A,FALSE,"RPTIS";"STATS",#N/A,FALSE,"STATS";"BS",#N/A,FALSE,"BS"}</definedName>
    <definedName name="st" localSheetId="10" hidden="1">{"IS",#N/A,FALSE,"IS";"RPTIS",#N/A,FALSE,"RPTIS";"STATS",#N/A,FALSE,"STATS";"BS",#N/A,FALSE,"BS"}</definedName>
    <definedName name="st" localSheetId="30" hidden="1">{"IS",#N/A,FALSE,"IS";"RPTIS",#N/A,FALSE,"RPTIS";"STATS",#N/A,FALSE,"STATS";"BS",#N/A,FALSE,"BS"}</definedName>
    <definedName name="st" localSheetId="0" hidden="1">{"IS",#N/A,FALSE,"IS";"RPTIS",#N/A,FALSE,"RPTIS";"STATS",#N/A,FALSE,"STATS";"BS",#N/A,FALSE,"BS"}</definedName>
    <definedName name="st" localSheetId="3" hidden="1">{"IS",#N/A,FALSE,"IS";"RPTIS",#N/A,FALSE,"RPTIS";"STATS",#N/A,FALSE,"STATS";"BS",#N/A,FALSE,"BS"}</definedName>
    <definedName name="st" localSheetId="4" hidden="1">{"IS",#N/A,FALSE,"IS";"RPTIS",#N/A,FALSE,"RPTIS";"STATS",#N/A,FALSE,"STATS";"BS",#N/A,FALSE,"BS"}</definedName>
    <definedName name="st" localSheetId="28" hidden="1">{"IS",#N/A,FALSE,"IS";"RPTIS",#N/A,FALSE,"RPTIS";"STATS",#N/A,FALSE,"STATS";"BS",#N/A,FALSE,"BS"}</definedName>
    <definedName name="st" localSheetId="33" hidden="1">{"IS",#N/A,FALSE,"IS";"RPTIS",#N/A,FALSE,"RPTIS";"STATS",#N/A,FALSE,"STATS";"BS",#N/A,FALSE,"BS"}</definedName>
    <definedName name="st" localSheetId="32" hidden="1">{"IS",#N/A,FALSE,"IS";"RPTIS",#N/A,FALSE,"RPTIS";"STATS",#N/A,FALSE,"STATS";"BS",#N/A,FALSE,"BS"}</definedName>
    <definedName name="st" localSheetId="7" hidden="1">{"IS",#N/A,FALSE,"IS";"RPTIS",#N/A,FALSE,"RPTIS";"STATS",#N/A,FALSE,"STATS";"BS",#N/A,FALSE,"BS"}</definedName>
    <definedName name="st" localSheetId="29" hidden="1">{"IS",#N/A,FALSE,"IS";"RPTIS",#N/A,FALSE,"RPTIS";"STATS",#N/A,FALSE,"STATS";"BS",#N/A,FALSE,"BS"}</definedName>
    <definedName name="st" localSheetId="1" hidden="1">{"IS",#N/A,FALSE,"IS";"RPTIS",#N/A,FALSE,"RPTIS";"STATS",#N/A,FALSE,"STATS";"BS",#N/A,FALSE,"BS"}</definedName>
    <definedName name="st" localSheetId="31" hidden="1">{"IS",#N/A,FALSE,"IS";"RPTIS",#N/A,FALSE,"RPTIS";"STATS",#N/A,FALSE,"STATS";"BS",#N/A,FALSE,"BS"}</definedName>
    <definedName name="st" hidden="1">{"IS",#N/A,FALSE,"IS";"RPTIS",#N/A,FALSE,"RPTIS";"STATS",#N/A,FALSE,"STATS";"BS",#N/A,FALSE,"BS"}</definedName>
    <definedName name="str" localSheetId="12" hidden="1">{"summary1",#N/A,TRUE,"Comps";"summary2",#N/A,TRUE,"Comps";"summary3",#N/A,TRUE,"Comps"}</definedName>
    <definedName name="str" localSheetId="18" hidden="1">{"summary1",#N/A,TRUE,"Comps";"summary2",#N/A,TRUE,"Comps";"summary3",#N/A,TRUE,"Comps"}</definedName>
    <definedName name="str" localSheetId="19" hidden="1">{"summary1",#N/A,TRUE,"Comps";"summary2",#N/A,TRUE,"Comps";"summary3",#N/A,TRUE,"Comps"}</definedName>
    <definedName name="str" localSheetId="17" hidden="1">{"summary1",#N/A,TRUE,"Comps";"summary2",#N/A,TRUE,"Comps";"summary3",#N/A,TRUE,"Comps"}</definedName>
    <definedName name="str" localSheetId="22" hidden="1">{"summary1",#N/A,TRUE,"Comps";"summary2",#N/A,TRUE,"Comps";"summary3",#N/A,TRUE,"Comps"}</definedName>
    <definedName name="str" localSheetId="10" hidden="1">{"summary1",#N/A,TRUE,"Comps";"summary2",#N/A,TRUE,"Comps";"summary3",#N/A,TRUE,"Comps"}</definedName>
    <definedName name="str" localSheetId="30" hidden="1">{"summary1",#N/A,TRUE,"Comps";"summary2",#N/A,TRUE,"Comps";"summary3",#N/A,TRUE,"Comps"}</definedName>
    <definedName name="str" localSheetId="0" hidden="1">{"summary1",#N/A,TRUE,"Comps";"summary2",#N/A,TRUE,"Comps";"summary3",#N/A,TRUE,"Comps"}</definedName>
    <definedName name="str" localSheetId="3" hidden="1">{"summary1",#N/A,TRUE,"Comps";"summary2",#N/A,TRUE,"Comps";"summary3",#N/A,TRUE,"Comps"}</definedName>
    <definedName name="str" localSheetId="4" hidden="1">{"summary1",#N/A,TRUE,"Comps";"summary2",#N/A,TRUE,"Comps";"summary3",#N/A,TRUE,"Comps"}</definedName>
    <definedName name="str" localSheetId="28" hidden="1">{"summary1",#N/A,TRUE,"Comps";"summary2",#N/A,TRUE,"Comps";"summary3",#N/A,TRUE,"Comps"}</definedName>
    <definedName name="str" localSheetId="33" hidden="1">{"summary1",#N/A,TRUE,"Comps";"summary2",#N/A,TRUE,"Comps";"summary3",#N/A,TRUE,"Comps"}</definedName>
    <definedName name="str" localSheetId="32" hidden="1">{"summary1",#N/A,TRUE,"Comps";"summary2",#N/A,TRUE,"Comps";"summary3",#N/A,TRUE,"Comps"}</definedName>
    <definedName name="str" localSheetId="7" hidden="1">{"summary1",#N/A,TRUE,"Comps";"summary2",#N/A,TRUE,"Comps";"summary3",#N/A,TRUE,"Comps"}</definedName>
    <definedName name="str" localSheetId="29" hidden="1">{"summary1",#N/A,TRUE,"Comps";"summary2",#N/A,TRUE,"Comps";"summary3",#N/A,TRUE,"Comps"}</definedName>
    <definedName name="str" localSheetId="1" hidden="1">{"summary1",#N/A,TRUE,"Comps";"summary2",#N/A,TRUE,"Comps";"summary3",#N/A,TRUE,"Comps"}</definedName>
    <definedName name="str" localSheetId="31" hidden="1">{"summary1",#N/A,TRUE,"Comps";"summary2",#N/A,TRUE,"Comps";"summary3",#N/A,TRUE,"Comps"}</definedName>
    <definedName name="str" hidden="1">{"summary1",#N/A,TRUE,"Comps";"summary2",#N/A,TRUE,"Comps";"summary3",#N/A,TRUE,"Comps"}</definedName>
    <definedName name="Stub" hidden="1">#REF!</definedName>
    <definedName name="su" localSheetId="1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su" localSheetId="18"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su" localSheetId="1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su" localSheetId="17"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su" localSheetId="2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su" localSheetId="1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su" localSheetId="3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su" localSheetId="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su"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su" localSheetId="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su" localSheetId="28"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su" localSheetId="3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su" localSheetId="3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su" localSheetId="7"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su" localSheetId="2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su"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su" localSheetId="3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su"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sw" localSheetId="12" hidden="1">{"test2",#N/A,TRUE,"Prices"}</definedName>
    <definedName name="sw" localSheetId="18" hidden="1">{"test2",#N/A,TRUE,"Prices"}</definedName>
    <definedName name="sw" localSheetId="19" hidden="1">{"test2",#N/A,TRUE,"Prices"}</definedName>
    <definedName name="sw" localSheetId="17" hidden="1">{"test2",#N/A,TRUE,"Prices"}</definedName>
    <definedName name="sw" localSheetId="22" hidden="1">{"test2",#N/A,TRUE,"Prices"}</definedName>
    <definedName name="sw" localSheetId="10" hidden="1">{"test2",#N/A,TRUE,"Prices"}</definedName>
    <definedName name="sw" localSheetId="30" hidden="1">{"test2",#N/A,TRUE,"Prices"}</definedName>
    <definedName name="sw" localSheetId="0" hidden="1">{"test2",#N/A,TRUE,"Prices"}</definedName>
    <definedName name="sw" localSheetId="3" hidden="1">{"test2",#N/A,TRUE,"Prices"}</definedName>
    <definedName name="sw" localSheetId="4" hidden="1">{"test2",#N/A,TRUE,"Prices"}</definedName>
    <definedName name="sw" localSheetId="28" hidden="1">{"test2",#N/A,TRUE,"Prices"}</definedName>
    <definedName name="sw" localSheetId="33" hidden="1">{"test2",#N/A,TRUE,"Prices"}</definedName>
    <definedName name="sw" localSheetId="32" hidden="1">{"test2",#N/A,TRUE,"Prices"}</definedName>
    <definedName name="sw" localSheetId="7" hidden="1">{"test2",#N/A,TRUE,"Prices"}</definedName>
    <definedName name="sw" localSheetId="29" hidden="1">{"test2",#N/A,TRUE,"Prices"}</definedName>
    <definedName name="sw" localSheetId="1" hidden="1">{"test2",#N/A,TRUE,"Prices"}</definedName>
    <definedName name="sw" localSheetId="31" hidden="1">{"test2",#N/A,TRUE,"Prices"}</definedName>
    <definedName name="sw" hidden="1">{"test2",#N/A,TRUE,"Prices"}</definedName>
    <definedName name="sy" localSheetId="12" hidden="1">{TRUE,TRUE,-1.25,-15.5,604.5,369,FALSE,FALSE,TRUE,TRUE,0,1,83,1,38,4,5,4,TRUE,TRUE,3,TRUE,1,TRUE,75,"Swvu.inputs._.raw._.data.","ACwvu.inputs._.raw._.data.",#N/A,FALSE,FALSE,0.5,0.5,0.5,0.5,2,"&amp;F","&amp;A&amp;RPage &amp;P",FALSE,FALSE,FALSE,FALSE,1,60,#N/A,#N/A,"=R1C61:R53C89","=C1:C5",#N/A,#N/A,FALSE,FALSE,FALSE,1,600,600,FALSE,FALSE,TRUE,TRUE,TRUE}</definedName>
    <definedName name="sy" localSheetId="18" hidden="1">{TRUE,TRUE,-1.25,-15.5,604.5,369,FALSE,FALSE,TRUE,TRUE,0,1,83,1,38,4,5,4,TRUE,TRUE,3,TRUE,1,TRUE,75,"Swvu.inputs._.raw._.data.","ACwvu.inputs._.raw._.data.",#N/A,FALSE,FALSE,0.5,0.5,0.5,0.5,2,"&amp;F","&amp;A&amp;RPage &amp;P",FALSE,FALSE,FALSE,FALSE,1,60,#N/A,#N/A,"=R1C61:R53C89","=C1:C5",#N/A,#N/A,FALSE,FALSE,FALSE,1,600,600,FALSE,FALSE,TRUE,TRUE,TRUE}</definedName>
    <definedName name="sy" localSheetId="19" hidden="1">{TRUE,TRUE,-1.25,-15.5,604.5,369,FALSE,FALSE,TRUE,TRUE,0,1,83,1,38,4,5,4,TRUE,TRUE,3,TRUE,1,TRUE,75,"Swvu.inputs._.raw._.data.","ACwvu.inputs._.raw._.data.",#N/A,FALSE,FALSE,0.5,0.5,0.5,0.5,2,"&amp;F","&amp;A&amp;RPage &amp;P",FALSE,FALSE,FALSE,FALSE,1,60,#N/A,#N/A,"=R1C61:R53C89","=C1:C5",#N/A,#N/A,FALSE,FALSE,FALSE,1,600,600,FALSE,FALSE,TRUE,TRUE,TRUE}</definedName>
    <definedName name="sy" localSheetId="17" hidden="1">{TRUE,TRUE,-1.25,-15.5,604.5,369,FALSE,FALSE,TRUE,TRUE,0,1,83,1,38,4,5,4,TRUE,TRUE,3,TRUE,1,TRUE,75,"Swvu.inputs._.raw._.data.","ACwvu.inputs._.raw._.data.",#N/A,FALSE,FALSE,0.5,0.5,0.5,0.5,2,"&amp;F","&amp;A&amp;RPage &amp;P",FALSE,FALSE,FALSE,FALSE,1,60,#N/A,#N/A,"=R1C61:R53C89","=C1:C5",#N/A,#N/A,FALSE,FALSE,FALSE,1,600,600,FALSE,FALSE,TRUE,TRUE,TRUE}</definedName>
    <definedName name="sy" localSheetId="22" hidden="1">{TRUE,TRUE,-1.25,-15.5,604.5,369,FALSE,FALSE,TRUE,TRUE,0,1,83,1,38,4,5,4,TRUE,TRUE,3,TRUE,1,TRUE,75,"Swvu.inputs._.raw._.data.","ACwvu.inputs._.raw._.data.",#N/A,FALSE,FALSE,0.5,0.5,0.5,0.5,2,"&amp;F","&amp;A&amp;RPage &amp;P",FALSE,FALSE,FALSE,FALSE,1,60,#N/A,#N/A,"=R1C61:R53C89","=C1:C5",#N/A,#N/A,FALSE,FALSE,FALSE,1,600,600,FALSE,FALSE,TRUE,TRUE,TRUE}</definedName>
    <definedName name="sy" localSheetId="10" hidden="1">{TRUE,TRUE,-1.25,-15.5,604.5,369,FALSE,FALSE,TRUE,TRUE,0,1,83,1,38,4,5,4,TRUE,TRUE,3,TRUE,1,TRUE,75,"Swvu.inputs._.raw._.data.","ACwvu.inputs._.raw._.data.",#N/A,FALSE,FALSE,0.5,0.5,0.5,0.5,2,"&amp;F","&amp;A&amp;RPage &amp;P",FALSE,FALSE,FALSE,FALSE,1,60,#N/A,#N/A,"=R1C61:R53C89","=C1:C5",#N/A,#N/A,FALSE,FALSE,FALSE,1,600,600,FALSE,FALSE,TRUE,TRUE,TRUE}</definedName>
    <definedName name="sy" localSheetId="30" hidden="1">{TRUE,TRUE,-1.25,-15.5,604.5,369,FALSE,FALSE,TRUE,TRUE,0,1,83,1,38,4,5,4,TRUE,TRUE,3,TRUE,1,TRUE,75,"Swvu.inputs._.raw._.data.","ACwvu.inputs._.raw._.data.",#N/A,FALSE,FALSE,0.5,0.5,0.5,0.5,2,"&amp;F","&amp;A&amp;RPage &amp;P",FALSE,FALSE,FALSE,FALSE,1,60,#N/A,#N/A,"=R1C61:R53C89","=C1:C5",#N/A,#N/A,FALSE,FALSE,FALSE,1,600,600,FALSE,FALSE,TRUE,TRUE,TRUE}</definedName>
    <definedName name="sy" localSheetId="0" hidden="1">{TRUE,TRUE,-1.25,-15.5,604.5,369,FALSE,FALSE,TRUE,TRUE,0,1,83,1,38,4,5,4,TRUE,TRUE,3,TRUE,1,TRUE,75,"Swvu.inputs._.raw._.data.","ACwvu.inputs._.raw._.data.",#N/A,FALSE,FALSE,0.5,0.5,0.5,0.5,2,"&amp;F","&amp;A&amp;RPage &amp;P",FALSE,FALSE,FALSE,FALSE,1,60,#N/A,#N/A,"=R1C61:R53C89","=C1:C5",#N/A,#N/A,FALSE,FALSE,FALSE,1,600,600,FALSE,FALSE,TRUE,TRUE,TRUE}</definedName>
    <definedName name="sy"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sy" localSheetId="4" hidden="1">{TRUE,TRUE,-1.25,-15.5,604.5,369,FALSE,FALSE,TRUE,TRUE,0,1,83,1,38,4,5,4,TRUE,TRUE,3,TRUE,1,TRUE,75,"Swvu.inputs._.raw._.data.","ACwvu.inputs._.raw._.data.",#N/A,FALSE,FALSE,0.5,0.5,0.5,0.5,2,"&amp;F","&amp;A&amp;RPage &amp;P",FALSE,FALSE,FALSE,FALSE,1,60,#N/A,#N/A,"=R1C61:R53C89","=C1:C5",#N/A,#N/A,FALSE,FALSE,FALSE,1,600,600,FALSE,FALSE,TRUE,TRUE,TRUE}</definedName>
    <definedName name="sy" localSheetId="28" hidden="1">{TRUE,TRUE,-1.25,-15.5,604.5,369,FALSE,FALSE,TRUE,TRUE,0,1,83,1,38,4,5,4,TRUE,TRUE,3,TRUE,1,TRUE,75,"Swvu.inputs._.raw._.data.","ACwvu.inputs._.raw._.data.",#N/A,FALSE,FALSE,0.5,0.5,0.5,0.5,2,"&amp;F","&amp;A&amp;RPage &amp;P",FALSE,FALSE,FALSE,FALSE,1,60,#N/A,#N/A,"=R1C61:R53C89","=C1:C5",#N/A,#N/A,FALSE,FALSE,FALSE,1,600,600,FALSE,FALSE,TRUE,TRUE,TRUE}</definedName>
    <definedName name="sy" localSheetId="33" hidden="1">{TRUE,TRUE,-1.25,-15.5,604.5,369,FALSE,FALSE,TRUE,TRUE,0,1,83,1,38,4,5,4,TRUE,TRUE,3,TRUE,1,TRUE,75,"Swvu.inputs._.raw._.data.","ACwvu.inputs._.raw._.data.",#N/A,FALSE,FALSE,0.5,0.5,0.5,0.5,2,"&amp;F","&amp;A&amp;RPage &amp;P",FALSE,FALSE,FALSE,FALSE,1,60,#N/A,#N/A,"=R1C61:R53C89","=C1:C5",#N/A,#N/A,FALSE,FALSE,FALSE,1,600,600,FALSE,FALSE,TRUE,TRUE,TRUE}</definedName>
    <definedName name="sy" localSheetId="32" hidden="1">{TRUE,TRUE,-1.25,-15.5,604.5,369,FALSE,FALSE,TRUE,TRUE,0,1,83,1,38,4,5,4,TRUE,TRUE,3,TRUE,1,TRUE,75,"Swvu.inputs._.raw._.data.","ACwvu.inputs._.raw._.data.",#N/A,FALSE,FALSE,0.5,0.5,0.5,0.5,2,"&amp;F","&amp;A&amp;RPage &amp;P",FALSE,FALSE,FALSE,FALSE,1,60,#N/A,#N/A,"=R1C61:R53C89","=C1:C5",#N/A,#N/A,FALSE,FALSE,FALSE,1,600,600,FALSE,FALSE,TRUE,TRUE,TRUE}</definedName>
    <definedName name="sy" localSheetId="7" hidden="1">{TRUE,TRUE,-1.25,-15.5,604.5,369,FALSE,FALSE,TRUE,TRUE,0,1,83,1,38,4,5,4,TRUE,TRUE,3,TRUE,1,TRUE,75,"Swvu.inputs._.raw._.data.","ACwvu.inputs._.raw._.data.",#N/A,FALSE,FALSE,0.5,0.5,0.5,0.5,2,"&amp;F","&amp;A&amp;RPage &amp;P",FALSE,FALSE,FALSE,FALSE,1,60,#N/A,#N/A,"=R1C61:R53C89","=C1:C5",#N/A,#N/A,FALSE,FALSE,FALSE,1,600,600,FALSE,FALSE,TRUE,TRUE,TRUE}</definedName>
    <definedName name="sy" localSheetId="29" hidden="1">{TRUE,TRUE,-1.25,-15.5,604.5,369,FALSE,FALSE,TRUE,TRUE,0,1,83,1,38,4,5,4,TRUE,TRUE,3,TRUE,1,TRUE,75,"Swvu.inputs._.raw._.data.","ACwvu.inputs._.raw._.data.",#N/A,FALSE,FALSE,0.5,0.5,0.5,0.5,2,"&amp;F","&amp;A&amp;RPage &amp;P",FALSE,FALSE,FALSE,FALSE,1,60,#N/A,#N/A,"=R1C61:R53C89","=C1:C5",#N/A,#N/A,FALSE,FALSE,FALSE,1,600,600,FALSE,FALSE,TRUE,TRUE,TRUE}</definedName>
    <definedName name="sy"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sy" localSheetId="31" hidden="1">{TRUE,TRUE,-1.25,-15.5,604.5,369,FALSE,FALSE,TRUE,TRUE,0,1,83,1,38,4,5,4,TRUE,TRUE,3,TRUE,1,TRUE,75,"Swvu.inputs._.raw._.data.","ACwvu.inputs._.raw._.data.",#N/A,FALSE,FALSE,0.5,0.5,0.5,0.5,2,"&amp;F","&amp;A&amp;RPage &amp;P",FALSE,FALSE,FALSE,FALSE,1,60,#N/A,#N/A,"=R1C61:R53C89","=C1:C5",#N/A,#N/A,FALSE,FALSE,FALSE,1,600,600,FALSE,FALSE,TRUE,TRUE,TRUE}</definedName>
    <definedName name="sy" hidden="1">{TRUE,TRUE,-1.25,-15.5,604.5,369,FALSE,FALSE,TRUE,TRUE,0,1,83,1,38,4,5,4,TRUE,TRUE,3,TRUE,1,TRUE,75,"Swvu.inputs._.raw._.data.","ACwvu.inputs._.raw._.data.",#N/A,FALSE,FALSE,0.5,0.5,0.5,0.5,2,"&amp;F","&amp;A&amp;RPage &amp;P",FALSE,FALSE,FALSE,FALSE,1,60,#N/A,#N/A,"=R1C61:R53C89","=C1:C5",#N/A,#N/A,FALSE,FALSE,FALSE,1,600,600,FALSE,FALSE,TRUE,TRUE,TRUE}</definedName>
    <definedName name="TOTAL_IN" localSheetId="12" hidden="1">{"Informes",#N/A,FALSE,"CA";"Informes",#N/A,FALSE,"CN";"Informes",#N/A,FALSE,"INVERSIONES";"Informes",#N/A,FALSE,"CN Oficial";"Informes",#N/A,FALSE,"CA Oficial";"Informes",#N/A,FALSE,"Res Datos Areas"}</definedName>
    <definedName name="TOTAL_IN" localSheetId="18" hidden="1">{"Informes",#N/A,FALSE,"CA";"Informes",#N/A,FALSE,"CN";"Informes",#N/A,FALSE,"INVERSIONES";"Informes",#N/A,FALSE,"CN Oficial";"Informes",#N/A,FALSE,"CA Oficial";"Informes",#N/A,FALSE,"Res Datos Areas"}</definedName>
    <definedName name="TOTAL_IN" localSheetId="19" hidden="1">{"Informes",#N/A,FALSE,"CA";"Informes",#N/A,FALSE,"CN";"Informes",#N/A,FALSE,"INVERSIONES";"Informes",#N/A,FALSE,"CN Oficial";"Informes",#N/A,FALSE,"CA Oficial";"Informes",#N/A,FALSE,"Res Datos Areas"}</definedName>
    <definedName name="TOTAL_IN" localSheetId="17" hidden="1">{"Informes",#N/A,FALSE,"CA";"Informes",#N/A,FALSE,"CN";"Informes",#N/A,FALSE,"INVERSIONES";"Informes",#N/A,FALSE,"CN Oficial";"Informes",#N/A,FALSE,"CA Oficial";"Informes",#N/A,FALSE,"Res Datos Areas"}</definedName>
    <definedName name="TOTAL_IN" localSheetId="22" hidden="1">{"Informes",#N/A,FALSE,"CA";"Informes",#N/A,FALSE,"CN";"Informes",#N/A,FALSE,"INVERSIONES";"Informes",#N/A,FALSE,"CN Oficial";"Informes",#N/A,FALSE,"CA Oficial";"Informes",#N/A,FALSE,"Res Datos Areas"}</definedName>
    <definedName name="TOTAL_IN" localSheetId="10" hidden="1">{"Informes",#N/A,FALSE,"CA";"Informes",#N/A,FALSE,"CN";"Informes",#N/A,FALSE,"INVERSIONES";"Informes",#N/A,FALSE,"CN Oficial";"Informes",#N/A,FALSE,"CA Oficial";"Informes",#N/A,FALSE,"Res Datos Areas"}</definedName>
    <definedName name="TOTAL_IN" localSheetId="30" hidden="1">{"Informes",#N/A,FALSE,"CA";"Informes",#N/A,FALSE,"CN";"Informes",#N/A,FALSE,"INVERSIONES";"Informes",#N/A,FALSE,"CN Oficial";"Informes",#N/A,FALSE,"CA Oficial";"Informes",#N/A,FALSE,"Res Datos Areas"}</definedName>
    <definedName name="TOTAL_IN" localSheetId="0" hidden="1">{"Informes",#N/A,FALSE,"CA";"Informes",#N/A,FALSE,"CN";"Informes",#N/A,FALSE,"INVERSIONES";"Informes",#N/A,FALSE,"CN Oficial";"Informes",#N/A,FALSE,"CA Oficial";"Informes",#N/A,FALSE,"Res Datos Areas"}</definedName>
    <definedName name="TOTAL_IN" localSheetId="3" hidden="1">{"Informes",#N/A,FALSE,"CA";"Informes",#N/A,FALSE,"CN";"Informes",#N/A,FALSE,"INVERSIONES";"Informes",#N/A,FALSE,"CN Oficial";"Informes",#N/A,FALSE,"CA Oficial";"Informes",#N/A,FALSE,"Res Datos Areas"}</definedName>
    <definedName name="TOTAL_IN" localSheetId="4" hidden="1">{"Informes",#N/A,FALSE,"CA";"Informes",#N/A,FALSE,"CN";"Informes",#N/A,FALSE,"INVERSIONES";"Informes",#N/A,FALSE,"CN Oficial";"Informes",#N/A,FALSE,"CA Oficial";"Informes",#N/A,FALSE,"Res Datos Areas"}</definedName>
    <definedName name="TOTAL_IN" localSheetId="28" hidden="1">{"Informes",#N/A,FALSE,"CA";"Informes",#N/A,FALSE,"CN";"Informes",#N/A,FALSE,"INVERSIONES";"Informes",#N/A,FALSE,"CN Oficial";"Informes",#N/A,FALSE,"CA Oficial";"Informes",#N/A,FALSE,"Res Datos Areas"}</definedName>
    <definedName name="TOTAL_IN" localSheetId="33" hidden="1">{"Informes",#N/A,FALSE,"CA";"Informes",#N/A,FALSE,"CN";"Informes",#N/A,FALSE,"INVERSIONES";"Informes",#N/A,FALSE,"CN Oficial";"Informes",#N/A,FALSE,"CA Oficial";"Informes",#N/A,FALSE,"Res Datos Areas"}</definedName>
    <definedName name="TOTAL_IN" localSheetId="32" hidden="1">{"Informes",#N/A,FALSE,"CA";"Informes",#N/A,FALSE,"CN";"Informes",#N/A,FALSE,"INVERSIONES";"Informes",#N/A,FALSE,"CN Oficial";"Informes",#N/A,FALSE,"CA Oficial";"Informes",#N/A,FALSE,"Res Datos Areas"}</definedName>
    <definedName name="TOTAL_IN" localSheetId="7" hidden="1">{"Informes",#N/A,FALSE,"CA";"Informes",#N/A,FALSE,"CN";"Informes",#N/A,FALSE,"INVERSIONES";"Informes",#N/A,FALSE,"CN Oficial";"Informes",#N/A,FALSE,"CA Oficial";"Informes",#N/A,FALSE,"Res Datos Areas"}</definedName>
    <definedName name="TOTAL_IN" localSheetId="29" hidden="1">{"Informes",#N/A,FALSE,"CA";"Informes",#N/A,FALSE,"CN";"Informes",#N/A,FALSE,"INVERSIONES";"Informes",#N/A,FALSE,"CN Oficial";"Informes",#N/A,FALSE,"CA Oficial";"Informes",#N/A,FALSE,"Res Datos Areas"}</definedName>
    <definedName name="TOTAL_IN" localSheetId="1" hidden="1">{"Informes",#N/A,FALSE,"CA";"Informes",#N/A,FALSE,"CN";"Informes",#N/A,FALSE,"INVERSIONES";"Informes",#N/A,FALSE,"CN Oficial";"Informes",#N/A,FALSE,"CA Oficial";"Informes",#N/A,FALSE,"Res Datos Areas"}</definedName>
    <definedName name="TOTAL_IN" localSheetId="31" hidden="1">{"Informes",#N/A,FALSE,"CA";"Informes",#N/A,FALSE,"CN";"Informes",#N/A,FALSE,"INVERSIONES";"Informes",#N/A,FALSE,"CN Oficial";"Informes",#N/A,FALSE,"CA Oficial";"Informes",#N/A,FALSE,"Res Datos Areas"}</definedName>
    <definedName name="TOTAL_IN" hidden="1">{"Informes",#N/A,FALSE,"CA";"Informes",#N/A,FALSE,"CN";"Informes",#N/A,FALSE,"INVERSIONES";"Informes",#N/A,FALSE,"CN Oficial";"Informes",#N/A,FALSE,"CA Oficial";"Informes",#N/A,FALSE,"Res Datos Areas"}</definedName>
    <definedName name="TOTAL_INFORMES" localSheetId="12" hidden="1">{"Informes",#N/A,FALSE,"CA";"Informes",#N/A,FALSE,"CN";"Informes",#N/A,FALSE,"INVERSIONES";"Informes",#N/A,FALSE,"CN Oficial";"Informes",#N/A,FALSE,"CA Oficial";"Informes",#N/A,FALSE,"Res Datos Areas"}</definedName>
    <definedName name="TOTAL_INFORMES" localSheetId="18" hidden="1">{"Informes",#N/A,FALSE,"CA";"Informes",#N/A,FALSE,"CN";"Informes",#N/A,FALSE,"INVERSIONES";"Informes",#N/A,FALSE,"CN Oficial";"Informes",#N/A,FALSE,"CA Oficial";"Informes",#N/A,FALSE,"Res Datos Areas"}</definedName>
    <definedName name="TOTAL_INFORMES" localSheetId="19" hidden="1">{"Informes",#N/A,FALSE,"CA";"Informes",#N/A,FALSE,"CN";"Informes",#N/A,FALSE,"INVERSIONES";"Informes",#N/A,FALSE,"CN Oficial";"Informes",#N/A,FALSE,"CA Oficial";"Informes",#N/A,FALSE,"Res Datos Areas"}</definedName>
    <definedName name="TOTAL_INFORMES" localSheetId="17" hidden="1">{"Informes",#N/A,FALSE,"CA";"Informes",#N/A,FALSE,"CN";"Informes",#N/A,FALSE,"INVERSIONES";"Informes",#N/A,FALSE,"CN Oficial";"Informes",#N/A,FALSE,"CA Oficial";"Informes",#N/A,FALSE,"Res Datos Areas"}</definedName>
    <definedName name="TOTAL_INFORMES" localSheetId="22" hidden="1">{"Informes",#N/A,FALSE,"CA";"Informes",#N/A,FALSE,"CN";"Informes",#N/A,FALSE,"INVERSIONES";"Informes",#N/A,FALSE,"CN Oficial";"Informes",#N/A,FALSE,"CA Oficial";"Informes",#N/A,FALSE,"Res Datos Areas"}</definedName>
    <definedName name="TOTAL_INFORMES" localSheetId="10" hidden="1">{"Informes",#N/A,FALSE,"CA";"Informes",#N/A,FALSE,"CN";"Informes",#N/A,FALSE,"INVERSIONES";"Informes",#N/A,FALSE,"CN Oficial";"Informes",#N/A,FALSE,"CA Oficial";"Informes",#N/A,FALSE,"Res Datos Areas"}</definedName>
    <definedName name="TOTAL_INFORMES" localSheetId="30" hidden="1">{"Informes",#N/A,FALSE,"CA";"Informes",#N/A,FALSE,"CN";"Informes",#N/A,FALSE,"INVERSIONES";"Informes",#N/A,FALSE,"CN Oficial";"Informes",#N/A,FALSE,"CA Oficial";"Informes",#N/A,FALSE,"Res Datos Areas"}</definedName>
    <definedName name="TOTAL_INFORMES" localSheetId="0" hidden="1">{"Informes",#N/A,FALSE,"CA";"Informes",#N/A,FALSE,"CN";"Informes",#N/A,FALSE,"INVERSIONES";"Informes",#N/A,FALSE,"CN Oficial";"Informes",#N/A,FALSE,"CA Oficial";"Informes",#N/A,FALSE,"Res Datos Areas"}</definedName>
    <definedName name="TOTAL_INFORMES" localSheetId="3" hidden="1">{"Informes",#N/A,FALSE,"CA";"Informes",#N/A,FALSE,"CN";"Informes",#N/A,FALSE,"INVERSIONES";"Informes",#N/A,FALSE,"CN Oficial";"Informes",#N/A,FALSE,"CA Oficial";"Informes",#N/A,FALSE,"Res Datos Areas"}</definedName>
    <definedName name="TOTAL_INFORMES" localSheetId="4" hidden="1">{"Informes",#N/A,FALSE,"CA";"Informes",#N/A,FALSE,"CN";"Informes",#N/A,FALSE,"INVERSIONES";"Informes",#N/A,FALSE,"CN Oficial";"Informes",#N/A,FALSE,"CA Oficial";"Informes",#N/A,FALSE,"Res Datos Areas"}</definedName>
    <definedName name="TOTAL_INFORMES" localSheetId="28" hidden="1">{"Informes",#N/A,FALSE,"CA";"Informes",#N/A,FALSE,"CN";"Informes",#N/A,FALSE,"INVERSIONES";"Informes",#N/A,FALSE,"CN Oficial";"Informes",#N/A,FALSE,"CA Oficial";"Informes",#N/A,FALSE,"Res Datos Areas"}</definedName>
    <definedName name="TOTAL_INFORMES" localSheetId="33" hidden="1">{"Informes",#N/A,FALSE,"CA";"Informes",#N/A,FALSE,"CN";"Informes",#N/A,FALSE,"INVERSIONES";"Informes",#N/A,FALSE,"CN Oficial";"Informes",#N/A,FALSE,"CA Oficial";"Informes",#N/A,FALSE,"Res Datos Areas"}</definedName>
    <definedName name="TOTAL_INFORMES" localSheetId="32" hidden="1">{"Informes",#N/A,FALSE,"CA";"Informes",#N/A,FALSE,"CN";"Informes",#N/A,FALSE,"INVERSIONES";"Informes",#N/A,FALSE,"CN Oficial";"Informes",#N/A,FALSE,"CA Oficial";"Informes",#N/A,FALSE,"Res Datos Areas"}</definedName>
    <definedName name="TOTAL_INFORMES" localSheetId="7" hidden="1">{"Informes",#N/A,FALSE,"CA";"Informes",#N/A,FALSE,"CN";"Informes",#N/A,FALSE,"INVERSIONES";"Informes",#N/A,FALSE,"CN Oficial";"Informes",#N/A,FALSE,"CA Oficial";"Informes",#N/A,FALSE,"Res Datos Areas"}</definedName>
    <definedName name="TOTAL_INFORMES" localSheetId="29" hidden="1">{"Informes",#N/A,FALSE,"CA";"Informes",#N/A,FALSE,"CN";"Informes",#N/A,FALSE,"INVERSIONES";"Informes",#N/A,FALSE,"CN Oficial";"Informes",#N/A,FALSE,"CA Oficial";"Informes",#N/A,FALSE,"Res Datos Areas"}</definedName>
    <definedName name="TOTAL_INFORMES" localSheetId="1" hidden="1">{"Informes",#N/A,FALSE,"CA";"Informes",#N/A,FALSE,"CN";"Informes",#N/A,FALSE,"INVERSIONES";"Informes",#N/A,FALSE,"CN Oficial";"Informes",#N/A,FALSE,"CA Oficial";"Informes",#N/A,FALSE,"Res Datos Areas"}</definedName>
    <definedName name="TOTAL_INFORMES" localSheetId="31" hidden="1">{"Informes",#N/A,FALSE,"CA";"Informes",#N/A,FALSE,"CN";"Informes",#N/A,FALSE,"INVERSIONES";"Informes",#N/A,FALSE,"CN Oficial";"Informes",#N/A,FALSE,"CA Oficial";"Informes",#N/A,FALSE,"Res Datos Areas"}</definedName>
    <definedName name="TOTAL_INFORMES" hidden="1">{"Informes",#N/A,FALSE,"CA";"Informes",#N/A,FALSE,"CN";"Informes",#N/A,FALSE,"INVERSIONES";"Informes",#N/A,FALSE,"CN Oficial";"Informes",#N/A,FALSE,"CA Oficial";"Informes",#N/A,FALSE,"Res Datos Areas"}</definedName>
    <definedName name="ursula" localSheetId="12" hidden="1">{"Side 1",#N/A,FALSE,"Hovedark";"Side 2",#N/A,FALSE,"Hovedark";"Cash Flow",#N/A,FALSE,"Hovedark";"Bagside DK",#N/A,FALSE,"Bagside";"Bidrag",#N/A,FALSE,"Bidrag";"Valuation",#N/A,FALSE,"Valuation";"Privatforbrug",#N/A,FALSE,"Macro";"Penetreing",#N/A,FALSE,"Oms. forv.";"Prod_Markeder",#N/A,FALSE,"Oms. forv.";"penetreing",#N/A,FALSE,"Penetrering"}</definedName>
    <definedName name="ursula" localSheetId="18" hidden="1">{"Side 1",#N/A,FALSE,"Hovedark";"Side 2",#N/A,FALSE,"Hovedark";"Cash Flow",#N/A,FALSE,"Hovedark";"Bagside DK",#N/A,FALSE,"Bagside";"Bidrag",#N/A,FALSE,"Bidrag";"Valuation",#N/A,FALSE,"Valuation";"Privatforbrug",#N/A,FALSE,"Macro";"Penetreing",#N/A,FALSE,"Oms. forv.";"Prod_Markeder",#N/A,FALSE,"Oms. forv.";"penetreing",#N/A,FALSE,"Penetrering"}</definedName>
    <definedName name="ursula" localSheetId="19" hidden="1">{"Side 1",#N/A,FALSE,"Hovedark";"Side 2",#N/A,FALSE,"Hovedark";"Cash Flow",#N/A,FALSE,"Hovedark";"Bagside DK",#N/A,FALSE,"Bagside";"Bidrag",#N/A,FALSE,"Bidrag";"Valuation",#N/A,FALSE,"Valuation";"Privatforbrug",#N/A,FALSE,"Macro";"Penetreing",#N/A,FALSE,"Oms. forv.";"Prod_Markeder",#N/A,FALSE,"Oms. forv.";"penetreing",#N/A,FALSE,"Penetrering"}</definedName>
    <definedName name="ursula" localSheetId="17" hidden="1">{"Side 1",#N/A,FALSE,"Hovedark";"Side 2",#N/A,FALSE,"Hovedark";"Cash Flow",#N/A,FALSE,"Hovedark";"Bagside DK",#N/A,FALSE,"Bagside";"Bidrag",#N/A,FALSE,"Bidrag";"Valuation",#N/A,FALSE,"Valuation";"Privatforbrug",#N/A,FALSE,"Macro";"Penetreing",#N/A,FALSE,"Oms. forv.";"Prod_Markeder",#N/A,FALSE,"Oms. forv.";"penetreing",#N/A,FALSE,"Penetrering"}</definedName>
    <definedName name="ursula" localSheetId="22" hidden="1">{"Side 1",#N/A,FALSE,"Hovedark";"Side 2",#N/A,FALSE,"Hovedark";"Cash Flow",#N/A,FALSE,"Hovedark";"Bagside DK",#N/A,FALSE,"Bagside";"Bidrag",#N/A,FALSE,"Bidrag";"Valuation",#N/A,FALSE,"Valuation";"Privatforbrug",#N/A,FALSE,"Macro";"Penetreing",#N/A,FALSE,"Oms. forv.";"Prod_Markeder",#N/A,FALSE,"Oms. forv.";"penetreing",#N/A,FALSE,"Penetrering"}</definedName>
    <definedName name="ursula" localSheetId="10" hidden="1">{"Side 1",#N/A,FALSE,"Hovedark";"Side 2",#N/A,FALSE,"Hovedark";"Cash Flow",#N/A,FALSE,"Hovedark";"Bagside DK",#N/A,FALSE,"Bagside";"Bidrag",#N/A,FALSE,"Bidrag";"Valuation",#N/A,FALSE,"Valuation";"Privatforbrug",#N/A,FALSE,"Macro";"Penetreing",#N/A,FALSE,"Oms. forv.";"Prod_Markeder",#N/A,FALSE,"Oms. forv.";"penetreing",#N/A,FALSE,"Penetrering"}</definedName>
    <definedName name="ursula" localSheetId="30" hidden="1">{"Side 1",#N/A,FALSE,"Hovedark";"Side 2",#N/A,FALSE,"Hovedark";"Cash Flow",#N/A,FALSE,"Hovedark";"Bagside DK",#N/A,FALSE,"Bagside";"Bidrag",#N/A,FALSE,"Bidrag";"Valuation",#N/A,FALSE,"Valuation";"Privatforbrug",#N/A,FALSE,"Macro";"Penetreing",#N/A,FALSE,"Oms. forv.";"Prod_Markeder",#N/A,FALSE,"Oms. forv.";"penetreing",#N/A,FALSE,"Penetrering"}</definedName>
    <definedName name="ursula" localSheetId="0" hidden="1">{"Side 1",#N/A,FALSE,"Hovedark";"Side 2",#N/A,FALSE,"Hovedark";"Cash Flow",#N/A,FALSE,"Hovedark";"Bagside DK",#N/A,FALSE,"Bagside";"Bidrag",#N/A,FALSE,"Bidrag";"Valuation",#N/A,FALSE,"Valuation";"Privatforbrug",#N/A,FALSE,"Macro";"Penetreing",#N/A,FALSE,"Oms. forv.";"Prod_Markeder",#N/A,FALSE,"Oms. forv.";"penetreing",#N/A,FALSE,"Penetrering"}</definedName>
    <definedName name="ursula" localSheetId="3" hidden="1">{"Side 1",#N/A,FALSE,"Hovedark";"Side 2",#N/A,FALSE,"Hovedark";"Cash Flow",#N/A,FALSE,"Hovedark";"Bagside DK",#N/A,FALSE,"Bagside";"Bidrag",#N/A,FALSE,"Bidrag";"Valuation",#N/A,FALSE,"Valuation";"Privatforbrug",#N/A,FALSE,"Macro";"Penetreing",#N/A,FALSE,"Oms. forv.";"Prod_Markeder",#N/A,FALSE,"Oms. forv.";"penetreing",#N/A,FALSE,"Penetrering"}</definedName>
    <definedName name="ursula" localSheetId="4" hidden="1">{"Side 1",#N/A,FALSE,"Hovedark";"Side 2",#N/A,FALSE,"Hovedark";"Cash Flow",#N/A,FALSE,"Hovedark";"Bagside DK",#N/A,FALSE,"Bagside";"Bidrag",#N/A,FALSE,"Bidrag";"Valuation",#N/A,FALSE,"Valuation";"Privatforbrug",#N/A,FALSE,"Macro";"Penetreing",#N/A,FALSE,"Oms. forv.";"Prod_Markeder",#N/A,FALSE,"Oms. forv.";"penetreing",#N/A,FALSE,"Penetrering"}</definedName>
    <definedName name="ursula" localSheetId="28" hidden="1">{"Side 1",#N/A,FALSE,"Hovedark";"Side 2",#N/A,FALSE,"Hovedark";"Cash Flow",#N/A,FALSE,"Hovedark";"Bagside DK",#N/A,FALSE,"Bagside";"Bidrag",#N/A,FALSE,"Bidrag";"Valuation",#N/A,FALSE,"Valuation";"Privatforbrug",#N/A,FALSE,"Macro";"Penetreing",#N/A,FALSE,"Oms. forv.";"Prod_Markeder",#N/A,FALSE,"Oms. forv.";"penetreing",#N/A,FALSE,"Penetrering"}</definedName>
    <definedName name="ursula" localSheetId="33" hidden="1">{"Side 1",#N/A,FALSE,"Hovedark";"Side 2",#N/A,FALSE,"Hovedark";"Cash Flow",#N/A,FALSE,"Hovedark";"Bagside DK",#N/A,FALSE,"Bagside";"Bidrag",#N/A,FALSE,"Bidrag";"Valuation",#N/A,FALSE,"Valuation";"Privatforbrug",#N/A,FALSE,"Macro";"Penetreing",#N/A,FALSE,"Oms. forv.";"Prod_Markeder",#N/A,FALSE,"Oms. forv.";"penetreing",#N/A,FALSE,"Penetrering"}</definedName>
    <definedName name="ursula" localSheetId="32" hidden="1">{"Side 1",#N/A,FALSE,"Hovedark";"Side 2",#N/A,FALSE,"Hovedark";"Cash Flow",#N/A,FALSE,"Hovedark";"Bagside DK",#N/A,FALSE,"Bagside";"Bidrag",#N/A,FALSE,"Bidrag";"Valuation",#N/A,FALSE,"Valuation";"Privatforbrug",#N/A,FALSE,"Macro";"Penetreing",#N/A,FALSE,"Oms. forv.";"Prod_Markeder",#N/A,FALSE,"Oms. forv.";"penetreing",#N/A,FALSE,"Penetrering"}</definedName>
    <definedName name="ursula" localSheetId="7" hidden="1">{"Side 1",#N/A,FALSE,"Hovedark";"Side 2",#N/A,FALSE,"Hovedark";"Cash Flow",#N/A,FALSE,"Hovedark";"Bagside DK",#N/A,FALSE,"Bagside";"Bidrag",#N/A,FALSE,"Bidrag";"Valuation",#N/A,FALSE,"Valuation";"Privatforbrug",#N/A,FALSE,"Macro";"Penetreing",#N/A,FALSE,"Oms. forv.";"Prod_Markeder",#N/A,FALSE,"Oms. forv.";"penetreing",#N/A,FALSE,"Penetrering"}</definedName>
    <definedName name="ursula" localSheetId="29" hidden="1">{"Side 1",#N/A,FALSE,"Hovedark";"Side 2",#N/A,FALSE,"Hovedark";"Cash Flow",#N/A,FALSE,"Hovedark";"Bagside DK",#N/A,FALSE,"Bagside";"Bidrag",#N/A,FALSE,"Bidrag";"Valuation",#N/A,FALSE,"Valuation";"Privatforbrug",#N/A,FALSE,"Macro";"Penetreing",#N/A,FALSE,"Oms. forv.";"Prod_Markeder",#N/A,FALSE,"Oms. forv.";"penetreing",#N/A,FALSE,"Penetrering"}</definedName>
    <definedName name="ursula" localSheetId="1" hidden="1">{"Side 1",#N/A,FALSE,"Hovedark";"Side 2",#N/A,FALSE,"Hovedark";"Cash Flow",#N/A,FALSE,"Hovedark";"Bagside DK",#N/A,FALSE,"Bagside";"Bidrag",#N/A,FALSE,"Bidrag";"Valuation",#N/A,FALSE,"Valuation";"Privatforbrug",#N/A,FALSE,"Macro";"Penetreing",#N/A,FALSE,"Oms. forv.";"Prod_Markeder",#N/A,FALSE,"Oms. forv.";"penetreing",#N/A,FALSE,"Penetrering"}</definedName>
    <definedName name="ursula" localSheetId="31" hidden="1">{"Side 1",#N/A,FALSE,"Hovedark";"Side 2",#N/A,FALSE,"Hovedark";"Cash Flow",#N/A,FALSE,"Hovedark";"Bagside DK",#N/A,FALSE,"Bagside";"Bidrag",#N/A,FALSE,"Bidrag";"Valuation",#N/A,FALSE,"Valuation";"Privatforbrug",#N/A,FALSE,"Macro";"Penetreing",#N/A,FALSE,"Oms. forv.";"Prod_Markeder",#N/A,FALSE,"Oms. forv.";"penetreing",#N/A,FALSE,"Penetrering"}</definedName>
    <definedName name="ursula" hidden="1">{"Side 1",#N/A,FALSE,"Hovedark";"Side 2",#N/A,FALSE,"Hovedark";"Cash Flow",#N/A,FALSE,"Hovedark";"Bagside DK",#N/A,FALSE,"Bagside";"Bidrag",#N/A,FALSE,"Bidrag";"Valuation",#N/A,FALSE,"Valuation";"Privatforbrug",#N/A,FALSE,"Macro";"Penetreing",#N/A,FALSE,"Oms. forv.";"Prod_Markeder",#N/A,FALSE,"Oms. forv.";"penetreing",#N/A,FALSE,"Penetrering"}</definedName>
    <definedName name="utt" localSheetId="12" hidden="1">{"ANAR",#N/A,FALSE,"Dist total";"MARGEN",#N/A,FALSE,"Dist total";"COMENTARIO",#N/A,FALSE,"Ficha CODICE";"CONSEJO",#N/A,FALSE,"Dist p0";"uno",#N/A,FALSE,"Dist total"}</definedName>
    <definedName name="utt" localSheetId="18" hidden="1">{"ANAR",#N/A,FALSE,"Dist total";"MARGEN",#N/A,FALSE,"Dist total";"COMENTARIO",#N/A,FALSE,"Ficha CODICE";"CONSEJO",#N/A,FALSE,"Dist p0";"uno",#N/A,FALSE,"Dist total"}</definedName>
    <definedName name="utt" localSheetId="19" hidden="1">{"ANAR",#N/A,FALSE,"Dist total";"MARGEN",#N/A,FALSE,"Dist total";"COMENTARIO",#N/A,FALSE,"Ficha CODICE";"CONSEJO",#N/A,FALSE,"Dist p0";"uno",#N/A,FALSE,"Dist total"}</definedName>
    <definedName name="utt" localSheetId="17" hidden="1">{"ANAR",#N/A,FALSE,"Dist total";"MARGEN",#N/A,FALSE,"Dist total";"COMENTARIO",#N/A,FALSE,"Ficha CODICE";"CONSEJO",#N/A,FALSE,"Dist p0";"uno",#N/A,FALSE,"Dist total"}</definedName>
    <definedName name="utt" localSheetId="22" hidden="1">{"ANAR",#N/A,FALSE,"Dist total";"MARGEN",#N/A,FALSE,"Dist total";"COMENTARIO",#N/A,FALSE,"Ficha CODICE";"CONSEJO",#N/A,FALSE,"Dist p0";"uno",#N/A,FALSE,"Dist total"}</definedName>
    <definedName name="utt" localSheetId="10" hidden="1">{"ANAR",#N/A,FALSE,"Dist total";"MARGEN",#N/A,FALSE,"Dist total";"COMENTARIO",#N/A,FALSE,"Ficha CODICE";"CONSEJO",#N/A,FALSE,"Dist p0";"uno",#N/A,FALSE,"Dist total"}</definedName>
    <definedName name="utt" localSheetId="30" hidden="1">{"ANAR",#N/A,FALSE,"Dist total";"MARGEN",#N/A,FALSE,"Dist total";"COMENTARIO",#N/A,FALSE,"Ficha CODICE";"CONSEJO",#N/A,FALSE,"Dist p0";"uno",#N/A,FALSE,"Dist total"}</definedName>
    <definedName name="utt" localSheetId="0" hidden="1">{"ANAR",#N/A,FALSE,"Dist total";"MARGEN",#N/A,FALSE,"Dist total";"COMENTARIO",#N/A,FALSE,"Ficha CODICE";"CONSEJO",#N/A,FALSE,"Dist p0";"uno",#N/A,FALSE,"Dist total"}</definedName>
    <definedName name="utt" localSheetId="3" hidden="1">{"ANAR",#N/A,FALSE,"Dist total";"MARGEN",#N/A,FALSE,"Dist total";"COMENTARIO",#N/A,FALSE,"Ficha CODICE";"CONSEJO",#N/A,FALSE,"Dist p0";"uno",#N/A,FALSE,"Dist total"}</definedName>
    <definedName name="utt" localSheetId="4" hidden="1">{"ANAR",#N/A,FALSE,"Dist total";"MARGEN",#N/A,FALSE,"Dist total";"COMENTARIO",#N/A,FALSE,"Ficha CODICE";"CONSEJO",#N/A,FALSE,"Dist p0";"uno",#N/A,FALSE,"Dist total"}</definedName>
    <definedName name="utt" localSheetId="28" hidden="1">{"ANAR",#N/A,FALSE,"Dist total";"MARGEN",#N/A,FALSE,"Dist total";"COMENTARIO",#N/A,FALSE,"Ficha CODICE";"CONSEJO",#N/A,FALSE,"Dist p0";"uno",#N/A,FALSE,"Dist total"}</definedName>
    <definedName name="utt" localSheetId="33" hidden="1">{"ANAR",#N/A,FALSE,"Dist total";"MARGEN",#N/A,FALSE,"Dist total";"COMENTARIO",#N/A,FALSE,"Ficha CODICE";"CONSEJO",#N/A,FALSE,"Dist p0";"uno",#N/A,FALSE,"Dist total"}</definedName>
    <definedName name="utt" localSheetId="32" hidden="1">{"ANAR",#N/A,FALSE,"Dist total";"MARGEN",#N/A,FALSE,"Dist total";"COMENTARIO",#N/A,FALSE,"Ficha CODICE";"CONSEJO",#N/A,FALSE,"Dist p0";"uno",#N/A,FALSE,"Dist total"}</definedName>
    <definedName name="utt" localSheetId="7" hidden="1">{"ANAR",#N/A,FALSE,"Dist total";"MARGEN",#N/A,FALSE,"Dist total";"COMENTARIO",#N/A,FALSE,"Ficha CODICE";"CONSEJO",#N/A,FALSE,"Dist p0";"uno",#N/A,FALSE,"Dist total"}</definedName>
    <definedName name="utt" localSheetId="29" hidden="1">{"ANAR",#N/A,FALSE,"Dist total";"MARGEN",#N/A,FALSE,"Dist total";"COMENTARIO",#N/A,FALSE,"Ficha CODICE";"CONSEJO",#N/A,FALSE,"Dist p0";"uno",#N/A,FALSE,"Dist total"}</definedName>
    <definedName name="utt" localSheetId="1" hidden="1">{"ANAR",#N/A,FALSE,"Dist total";"MARGEN",#N/A,FALSE,"Dist total";"COMENTARIO",#N/A,FALSE,"Ficha CODICE";"CONSEJO",#N/A,FALSE,"Dist p0";"uno",#N/A,FALSE,"Dist total"}</definedName>
    <definedName name="utt" localSheetId="31" hidden="1">{"ANAR",#N/A,FALSE,"Dist total";"MARGEN",#N/A,FALSE,"Dist total";"COMENTARIO",#N/A,FALSE,"Ficha CODICE";"CONSEJO",#N/A,FALSE,"Dist p0";"uno",#N/A,FALSE,"Dist total"}</definedName>
    <definedName name="utt" hidden="1">{"ANAR",#N/A,FALSE,"Dist total";"MARGEN",#N/A,FALSE,"Dist total";"COMENTARIO",#N/A,FALSE,"Ficha CODICE";"CONSEJO",#N/A,FALSE,"Dist p0";"uno",#N/A,FALSE,"Dist total"}</definedName>
    <definedName name="vall" localSheetId="12" hidden="1">{"mgmt forecast",#N/A,FALSE,"Mgmt Forecast";"dcf table",#N/A,FALSE,"Mgmt Forecast";"sensitivity",#N/A,FALSE,"Mgmt Forecast";"table inputs",#N/A,FALSE,"Mgmt Forecast";"calculations",#N/A,FALSE,"Mgmt Forecast"}</definedName>
    <definedName name="vall" localSheetId="18" hidden="1">{"mgmt forecast",#N/A,FALSE,"Mgmt Forecast";"dcf table",#N/A,FALSE,"Mgmt Forecast";"sensitivity",#N/A,FALSE,"Mgmt Forecast";"table inputs",#N/A,FALSE,"Mgmt Forecast";"calculations",#N/A,FALSE,"Mgmt Forecast"}</definedName>
    <definedName name="vall" localSheetId="19" hidden="1">{"mgmt forecast",#N/A,FALSE,"Mgmt Forecast";"dcf table",#N/A,FALSE,"Mgmt Forecast";"sensitivity",#N/A,FALSE,"Mgmt Forecast";"table inputs",#N/A,FALSE,"Mgmt Forecast";"calculations",#N/A,FALSE,"Mgmt Forecast"}</definedName>
    <definedName name="vall" localSheetId="17" hidden="1">{"mgmt forecast",#N/A,FALSE,"Mgmt Forecast";"dcf table",#N/A,FALSE,"Mgmt Forecast";"sensitivity",#N/A,FALSE,"Mgmt Forecast";"table inputs",#N/A,FALSE,"Mgmt Forecast";"calculations",#N/A,FALSE,"Mgmt Forecast"}</definedName>
    <definedName name="vall" localSheetId="22" hidden="1">{"mgmt forecast",#N/A,FALSE,"Mgmt Forecast";"dcf table",#N/A,FALSE,"Mgmt Forecast";"sensitivity",#N/A,FALSE,"Mgmt Forecast";"table inputs",#N/A,FALSE,"Mgmt Forecast";"calculations",#N/A,FALSE,"Mgmt Forecast"}</definedName>
    <definedName name="vall" localSheetId="10" hidden="1">{"mgmt forecast",#N/A,FALSE,"Mgmt Forecast";"dcf table",#N/A,FALSE,"Mgmt Forecast";"sensitivity",#N/A,FALSE,"Mgmt Forecast";"table inputs",#N/A,FALSE,"Mgmt Forecast";"calculations",#N/A,FALSE,"Mgmt Forecast"}</definedName>
    <definedName name="vall" localSheetId="30" hidden="1">{"mgmt forecast",#N/A,FALSE,"Mgmt Forecast";"dcf table",#N/A,FALSE,"Mgmt Forecast";"sensitivity",#N/A,FALSE,"Mgmt Forecast";"table inputs",#N/A,FALSE,"Mgmt Forecast";"calculations",#N/A,FALSE,"Mgmt Forecast"}</definedName>
    <definedName name="vall" localSheetId="0" hidden="1">{"mgmt forecast",#N/A,FALSE,"Mgmt Forecast";"dcf table",#N/A,FALSE,"Mgmt Forecast";"sensitivity",#N/A,FALSE,"Mgmt Forecast";"table inputs",#N/A,FALSE,"Mgmt Forecast";"calculations",#N/A,FALSE,"Mgmt Forecast"}</definedName>
    <definedName name="vall" localSheetId="3" hidden="1">{"mgmt forecast",#N/A,FALSE,"Mgmt Forecast";"dcf table",#N/A,FALSE,"Mgmt Forecast";"sensitivity",#N/A,FALSE,"Mgmt Forecast";"table inputs",#N/A,FALSE,"Mgmt Forecast";"calculations",#N/A,FALSE,"Mgmt Forecast"}</definedName>
    <definedName name="vall" localSheetId="4" hidden="1">{"mgmt forecast",#N/A,FALSE,"Mgmt Forecast";"dcf table",#N/A,FALSE,"Mgmt Forecast";"sensitivity",#N/A,FALSE,"Mgmt Forecast";"table inputs",#N/A,FALSE,"Mgmt Forecast";"calculations",#N/A,FALSE,"Mgmt Forecast"}</definedName>
    <definedName name="vall" localSheetId="28" hidden="1">{"mgmt forecast",#N/A,FALSE,"Mgmt Forecast";"dcf table",#N/A,FALSE,"Mgmt Forecast";"sensitivity",#N/A,FALSE,"Mgmt Forecast";"table inputs",#N/A,FALSE,"Mgmt Forecast";"calculations",#N/A,FALSE,"Mgmt Forecast"}</definedName>
    <definedName name="vall" localSheetId="33" hidden="1">{"mgmt forecast",#N/A,FALSE,"Mgmt Forecast";"dcf table",#N/A,FALSE,"Mgmt Forecast";"sensitivity",#N/A,FALSE,"Mgmt Forecast";"table inputs",#N/A,FALSE,"Mgmt Forecast";"calculations",#N/A,FALSE,"Mgmt Forecast"}</definedName>
    <definedName name="vall" localSheetId="32" hidden="1">{"mgmt forecast",#N/A,FALSE,"Mgmt Forecast";"dcf table",#N/A,FALSE,"Mgmt Forecast";"sensitivity",#N/A,FALSE,"Mgmt Forecast";"table inputs",#N/A,FALSE,"Mgmt Forecast";"calculations",#N/A,FALSE,"Mgmt Forecast"}</definedName>
    <definedName name="vall" localSheetId="7" hidden="1">{"mgmt forecast",#N/A,FALSE,"Mgmt Forecast";"dcf table",#N/A,FALSE,"Mgmt Forecast";"sensitivity",#N/A,FALSE,"Mgmt Forecast";"table inputs",#N/A,FALSE,"Mgmt Forecast";"calculations",#N/A,FALSE,"Mgmt Forecast"}</definedName>
    <definedName name="vall" localSheetId="29" hidden="1">{"mgmt forecast",#N/A,FALSE,"Mgmt Forecast";"dcf table",#N/A,FALSE,"Mgmt Forecast";"sensitivity",#N/A,FALSE,"Mgmt Forecast";"table inputs",#N/A,FALSE,"Mgmt Forecast";"calculations",#N/A,FALSE,"Mgmt Forecast"}</definedName>
    <definedName name="vall" localSheetId="1" hidden="1">{"mgmt forecast",#N/A,FALSE,"Mgmt Forecast";"dcf table",#N/A,FALSE,"Mgmt Forecast";"sensitivity",#N/A,FALSE,"Mgmt Forecast";"table inputs",#N/A,FALSE,"Mgmt Forecast";"calculations",#N/A,FALSE,"Mgmt Forecast"}</definedName>
    <definedName name="vall" localSheetId="31" hidden="1">{"mgmt forecast",#N/A,FALSE,"Mgmt Forecast";"dcf table",#N/A,FALSE,"Mgmt Forecast";"sensitivity",#N/A,FALSE,"Mgmt Forecast";"table inputs",#N/A,FALSE,"Mgmt Forecast";"calculations",#N/A,FALSE,"Mgmt Forecast"}</definedName>
    <definedName name="vall" hidden="1">{"mgmt forecast",#N/A,FALSE,"Mgmt Forecast";"dcf table",#N/A,FALSE,"Mgmt Forecast";"sensitivity",#N/A,FALSE,"Mgmt Forecast";"table inputs",#N/A,FALSE,"Mgmt Forecast";"calculations",#N/A,FALSE,"Mgmt Forecast"}</definedName>
    <definedName name="wrn.ALL." localSheetId="12" hidden="1">{#N/A,#N/A,FALSE,"DCF";#N/A,#N/A,FALSE,"WACC";#N/A,#N/A,FALSE,"Sales_EBIT";#N/A,#N/A,FALSE,"Capex_Depreciation";#N/A,#N/A,FALSE,"WC";#N/A,#N/A,FALSE,"Interest";#N/A,#N/A,FALSE,"Assumptions"}</definedName>
    <definedName name="wrn.ALL." localSheetId="18" hidden="1">{#N/A,#N/A,FALSE,"DCF";#N/A,#N/A,FALSE,"WACC";#N/A,#N/A,FALSE,"Sales_EBIT";#N/A,#N/A,FALSE,"Capex_Depreciation";#N/A,#N/A,FALSE,"WC";#N/A,#N/A,FALSE,"Interest";#N/A,#N/A,FALSE,"Assumptions"}</definedName>
    <definedName name="wrn.ALL." localSheetId="19" hidden="1">{#N/A,#N/A,FALSE,"DCF";#N/A,#N/A,FALSE,"WACC";#N/A,#N/A,FALSE,"Sales_EBIT";#N/A,#N/A,FALSE,"Capex_Depreciation";#N/A,#N/A,FALSE,"WC";#N/A,#N/A,FALSE,"Interest";#N/A,#N/A,FALSE,"Assumptions"}</definedName>
    <definedName name="wrn.ALL." localSheetId="17" hidden="1">{#N/A,#N/A,FALSE,"DCF";#N/A,#N/A,FALSE,"WACC";#N/A,#N/A,FALSE,"Sales_EBIT";#N/A,#N/A,FALSE,"Capex_Depreciation";#N/A,#N/A,FALSE,"WC";#N/A,#N/A,FALSE,"Interest";#N/A,#N/A,FALSE,"Assumptions"}</definedName>
    <definedName name="wrn.ALL." localSheetId="22" hidden="1">{#N/A,#N/A,FALSE,"DCF";#N/A,#N/A,FALSE,"WACC";#N/A,#N/A,FALSE,"Sales_EBIT";#N/A,#N/A,FALSE,"Capex_Depreciation";#N/A,#N/A,FALSE,"WC";#N/A,#N/A,FALSE,"Interest";#N/A,#N/A,FALSE,"Assumptions"}</definedName>
    <definedName name="wrn.ALL." localSheetId="10" hidden="1">{#N/A,#N/A,FALSE,"DCF";#N/A,#N/A,FALSE,"WACC";#N/A,#N/A,FALSE,"Sales_EBIT";#N/A,#N/A,FALSE,"Capex_Depreciation";#N/A,#N/A,FALSE,"WC";#N/A,#N/A,FALSE,"Interest";#N/A,#N/A,FALSE,"Assumptions"}</definedName>
    <definedName name="wrn.ALL." localSheetId="30" hidden="1">{#N/A,#N/A,FALSE,"DCF";#N/A,#N/A,FALSE,"WACC";#N/A,#N/A,FALSE,"Sales_EBIT";#N/A,#N/A,FALSE,"Capex_Depreciation";#N/A,#N/A,FALSE,"WC";#N/A,#N/A,FALSE,"Interest";#N/A,#N/A,FALSE,"Assumptions"}</definedName>
    <definedName name="wrn.ALL." localSheetId="0" hidden="1">{#N/A,#N/A,FALSE,"DCF";#N/A,#N/A,FALSE,"WACC";#N/A,#N/A,FALSE,"Sales_EBIT";#N/A,#N/A,FALSE,"Capex_Depreciation";#N/A,#N/A,FALSE,"WC";#N/A,#N/A,FALSE,"Interest";#N/A,#N/A,FALSE,"Assumptions"}</definedName>
    <definedName name="wrn.ALL." localSheetId="3" hidden="1">{#N/A,#N/A,FALSE,"DCF";#N/A,#N/A,FALSE,"WACC";#N/A,#N/A,FALSE,"Sales_EBIT";#N/A,#N/A,FALSE,"Capex_Depreciation";#N/A,#N/A,FALSE,"WC";#N/A,#N/A,FALSE,"Interest";#N/A,#N/A,FALSE,"Assumptions"}</definedName>
    <definedName name="wrn.ALL." localSheetId="4" hidden="1">{#N/A,#N/A,FALSE,"DCF";#N/A,#N/A,FALSE,"WACC";#N/A,#N/A,FALSE,"Sales_EBIT";#N/A,#N/A,FALSE,"Capex_Depreciation";#N/A,#N/A,FALSE,"WC";#N/A,#N/A,FALSE,"Interest";#N/A,#N/A,FALSE,"Assumptions"}</definedName>
    <definedName name="wrn.ALL." localSheetId="28" hidden="1">{#N/A,#N/A,FALSE,"DCF";#N/A,#N/A,FALSE,"WACC";#N/A,#N/A,FALSE,"Sales_EBIT";#N/A,#N/A,FALSE,"Capex_Depreciation";#N/A,#N/A,FALSE,"WC";#N/A,#N/A,FALSE,"Interest";#N/A,#N/A,FALSE,"Assumptions"}</definedName>
    <definedName name="wrn.ALL." localSheetId="33" hidden="1">{#N/A,#N/A,FALSE,"DCF";#N/A,#N/A,FALSE,"WACC";#N/A,#N/A,FALSE,"Sales_EBIT";#N/A,#N/A,FALSE,"Capex_Depreciation";#N/A,#N/A,FALSE,"WC";#N/A,#N/A,FALSE,"Interest";#N/A,#N/A,FALSE,"Assumptions"}</definedName>
    <definedName name="wrn.ALL." localSheetId="32" hidden="1">{#N/A,#N/A,FALSE,"DCF";#N/A,#N/A,FALSE,"WACC";#N/A,#N/A,FALSE,"Sales_EBIT";#N/A,#N/A,FALSE,"Capex_Depreciation";#N/A,#N/A,FALSE,"WC";#N/A,#N/A,FALSE,"Interest";#N/A,#N/A,FALSE,"Assumptions"}</definedName>
    <definedName name="wrn.ALL." localSheetId="7" hidden="1">{#N/A,#N/A,FALSE,"DCF";#N/A,#N/A,FALSE,"WACC";#N/A,#N/A,FALSE,"Sales_EBIT";#N/A,#N/A,FALSE,"Capex_Depreciation";#N/A,#N/A,FALSE,"WC";#N/A,#N/A,FALSE,"Interest";#N/A,#N/A,FALSE,"Assumptions"}</definedName>
    <definedName name="wrn.ALL." localSheetId="29" hidden="1">{#N/A,#N/A,FALSE,"DCF";#N/A,#N/A,FALSE,"WACC";#N/A,#N/A,FALSE,"Sales_EBIT";#N/A,#N/A,FALSE,"Capex_Depreciation";#N/A,#N/A,FALSE,"WC";#N/A,#N/A,FALSE,"Interest";#N/A,#N/A,FALSE,"Assumptions"}</definedName>
    <definedName name="wrn.ALL." localSheetId="1" hidden="1">{#N/A,#N/A,FALSE,"DCF";#N/A,#N/A,FALSE,"WACC";#N/A,#N/A,FALSE,"Sales_EBIT";#N/A,#N/A,FALSE,"Capex_Depreciation";#N/A,#N/A,FALSE,"WC";#N/A,#N/A,FALSE,"Interest";#N/A,#N/A,FALSE,"Assumptions"}</definedName>
    <definedName name="wrn.ALL." localSheetId="31" hidden="1">{#N/A,#N/A,FALSE,"DCF";#N/A,#N/A,FALSE,"WACC";#N/A,#N/A,FALSE,"Sales_EBIT";#N/A,#N/A,FALSE,"Capex_Depreciation";#N/A,#N/A,FALSE,"WC";#N/A,#N/A,FALSE,"Interest";#N/A,#N/A,FALSE,"Assumptions"}</definedName>
    <definedName name="wrn.ALL." hidden="1">{#N/A,#N/A,FALSE,"DCF";#N/A,#N/A,FALSE,"WACC";#N/A,#N/A,FALSE,"Sales_EBIT";#N/A,#N/A,FALSE,"Capex_Depreciation";#N/A,#N/A,FALSE,"WC";#N/A,#N/A,FALSE,"Interest";#N/A,#N/A,FALSE,"Assumptions"}</definedName>
    <definedName name="wrn.All._.Company._.Analyses." localSheetId="12"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wrn.All._.Company._.Analyses." localSheetId="18"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wrn.All._.Company._.Analyses." localSheetId="19"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wrn.All._.Company._.Analyses." localSheetId="17"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wrn.All._.Company._.Analyses." localSheetId="22"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wrn.All._.Company._.Analyses." localSheetId="10"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wrn.All._.Company._.Analyses." localSheetId="30"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wrn.All._.Company._.Analyses." localSheetId="0"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wrn.All._.Company._.Analyses." localSheetId="3"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wrn.All._.Company._.Analyses." localSheetId="4"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wrn.All._.Company._.Analyses." localSheetId="28"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wrn.All._.Company._.Analyses." localSheetId="33"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wrn.All._.Company._.Analyses." localSheetId="32"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wrn.All._.Company._.Analyses." localSheetId="7"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wrn.All._.Company._.Analyses." localSheetId="29"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wrn.All._.Company._.Analyses." localSheetId="1"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wrn.All._.Company._.Analyses." localSheetId="31"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wrn.All._.Company._.Analyses."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wrn.All._.Financials." localSheetId="12" hidden="1">{#N/A,#N/A,TRUE,"Assumptions";#N/A,#N/A,TRUE,"Op Projection";#N/A,#N/A,TRUE,"Capital";#N/A,#N/A,TRUE,"Income";#N/A,#N/A,TRUE,"Balance";#N/A,#N/A,TRUE,"Sources&amp;Uses"}</definedName>
    <definedName name="wrn.All._.Financials." localSheetId="18" hidden="1">{#N/A,#N/A,TRUE,"Assumptions";#N/A,#N/A,TRUE,"Op Projection";#N/A,#N/A,TRUE,"Capital";#N/A,#N/A,TRUE,"Income";#N/A,#N/A,TRUE,"Balance";#N/A,#N/A,TRUE,"Sources&amp;Uses"}</definedName>
    <definedName name="wrn.All._.Financials." localSheetId="19" hidden="1">{#N/A,#N/A,TRUE,"Assumptions";#N/A,#N/A,TRUE,"Op Projection";#N/A,#N/A,TRUE,"Capital";#N/A,#N/A,TRUE,"Income";#N/A,#N/A,TRUE,"Balance";#N/A,#N/A,TRUE,"Sources&amp;Uses"}</definedName>
    <definedName name="wrn.All._.Financials." localSheetId="17" hidden="1">{#N/A,#N/A,TRUE,"Assumptions";#N/A,#N/A,TRUE,"Op Projection";#N/A,#N/A,TRUE,"Capital";#N/A,#N/A,TRUE,"Income";#N/A,#N/A,TRUE,"Balance";#N/A,#N/A,TRUE,"Sources&amp;Uses"}</definedName>
    <definedName name="wrn.All._.Financials." localSheetId="22" hidden="1">{#N/A,#N/A,TRUE,"Assumptions";#N/A,#N/A,TRUE,"Op Projection";#N/A,#N/A,TRUE,"Capital";#N/A,#N/A,TRUE,"Income";#N/A,#N/A,TRUE,"Balance";#N/A,#N/A,TRUE,"Sources&amp;Uses"}</definedName>
    <definedName name="wrn.All._.Financials." localSheetId="10" hidden="1">{#N/A,#N/A,TRUE,"Assumptions";#N/A,#N/A,TRUE,"Op Projection";#N/A,#N/A,TRUE,"Capital";#N/A,#N/A,TRUE,"Income";#N/A,#N/A,TRUE,"Balance";#N/A,#N/A,TRUE,"Sources&amp;Uses"}</definedName>
    <definedName name="wrn.All._.Financials." localSheetId="30" hidden="1">{#N/A,#N/A,TRUE,"Assumptions";#N/A,#N/A,TRUE,"Op Projection";#N/A,#N/A,TRUE,"Capital";#N/A,#N/A,TRUE,"Income";#N/A,#N/A,TRUE,"Balance";#N/A,#N/A,TRUE,"Sources&amp;Uses"}</definedName>
    <definedName name="wrn.All._.Financials." localSheetId="0" hidden="1">{#N/A,#N/A,TRUE,"Assumptions";#N/A,#N/A,TRUE,"Op Projection";#N/A,#N/A,TRUE,"Capital";#N/A,#N/A,TRUE,"Income";#N/A,#N/A,TRUE,"Balance";#N/A,#N/A,TRUE,"Sources&amp;Uses"}</definedName>
    <definedName name="wrn.All._.Financials." localSheetId="3" hidden="1">{#N/A,#N/A,TRUE,"Assumptions";#N/A,#N/A,TRUE,"Op Projection";#N/A,#N/A,TRUE,"Capital";#N/A,#N/A,TRUE,"Income";#N/A,#N/A,TRUE,"Balance";#N/A,#N/A,TRUE,"Sources&amp;Uses"}</definedName>
    <definedName name="wrn.All._.Financials." localSheetId="4" hidden="1">{#N/A,#N/A,TRUE,"Assumptions";#N/A,#N/A,TRUE,"Op Projection";#N/A,#N/A,TRUE,"Capital";#N/A,#N/A,TRUE,"Income";#N/A,#N/A,TRUE,"Balance";#N/A,#N/A,TRUE,"Sources&amp;Uses"}</definedName>
    <definedName name="wrn.All._.Financials." localSheetId="28" hidden="1">{#N/A,#N/A,TRUE,"Assumptions";#N/A,#N/A,TRUE,"Op Projection";#N/A,#N/A,TRUE,"Capital";#N/A,#N/A,TRUE,"Income";#N/A,#N/A,TRUE,"Balance";#N/A,#N/A,TRUE,"Sources&amp;Uses"}</definedName>
    <definedName name="wrn.All._.Financials." localSheetId="33" hidden="1">{#N/A,#N/A,TRUE,"Assumptions";#N/A,#N/A,TRUE,"Op Projection";#N/A,#N/A,TRUE,"Capital";#N/A,#N/A,TRUE,"Income";#N/A,#N/A,TRUE,"Balance";#N/A,#N/A,TRUE,"Sources&amp;Uses"}</definedName>
    <definedName name="wrn.All._.Financials." localSheetId="32" hidden="1">{#N/A,#N/A,TRUE,"Assumptions";#N/A,#N/A,TRUE,"Op Projection";#N/A,#N/A,TRUE,"Capital";#N/A,#N/A,TRUE,"Income";#N/A,#N/A,TRUE,"Balance";#N/A,#N/A,TRUE,"Sources&amp;Uses"}</definedName>
    <definedName name="wrn.All._.Financials." localSheetId="7" hidden="1">{#N/A,#N/A,TRUE,"Assumptions";#N/A,#N/A,TRUE,"Op Projection";#N/A,#N/A,TRUE,"Capital";#N/A,#N/A,TRUE,"Income";#N/A,#N/A,TRUE,"Balance";#N/A,#N/A,TRUE,"Sources&amp;Uses"}</definedName>
    <definedName name="wrn.All._.Financials." localSheetId="29" hidden="1">{#N/A,#N/A,TRUE,"Assumptions";#N/A,#N/A,TRUE,"Op Projection";#N/A,#N/A,TRUE,"Capital";#N/A,#N/A,TRUE,"Income";#N/A,#N/A,TRUE,"Balance";#N/A,#N/A,TRUE,"Sources&amp;Uses"}</definedName>
    <definedName name="wrn.All._.Financials." localSheetId="1" hidden="1">{#N/A,#N/A,TRUE,"Assumptions";#N/A,#N/A,TRUE,"Op Projection";#N/A,#N/A,TRUE,"Capital";#N/A,#N/A,TRUE,"Income";#N/A,#N/A,TRUE,"Balance";#N/A,#N/A,TRUE,"Sources&amp;Uses"}</definedName>
    <definedName name="wrn.All._.Financials." localSheetId="31" hidden="1">{#N/A,#N/A,TRUE,"Assumptions";#N/A,#N/A,TRUE,"Op Projection";#N/A,#N/A,TRUE,"Capital";#N/A,#N/A,TRUE,"Income";#N/A,#N/A,TRUE,"Balance";#N/A,#N/A,TRUE,"Sources&amp;Uses"}</definedName>
    <definedName name="wrn.All._.Financials." hidden="1">{#N/A,#N/A,TRUE,"Assumptions";#N/A,#N/A,TRUE,"Op Projection";#N/A,#N/A,TRUE,"Capital";#N/A,#N/A,TRUE,"Income";#N/A,#N/A,TRUE,"Balance";#N/A,#N/A,TRUE,"Sources&amp;Uses"}</definedName>
    <definedName name="wrn.ALL.Ge" localSheetId="12" hidden="1">{#N/A,#N/A,FALSE,"DCF";#N/A,#N/A,FALSE,"WACC";#N/A,#N/A,FALSE,"Sales_EBIT";#N/A,#N/A,FALSE,"Capex_Depreciation";#N/A,#N/A,FALSE,"WC";#N/A,#N/A,FALSE,"Interest";#N/A,#N/A,FALSE,"Assumptions"}</definedName>
    <definedName name="wrn.ALL.Ge" localSheetId="18" hidden="1">{#N/A,#N/A,FALSE,"DCF";#N/A,#N/A,FALSE,"WACC";#N/A,#N/A,FALSE,"Sales_EBIT";#N/A,#N/A,FALSE,"Capex_Depreciation";#N/A,#N/A,FALSE,"WC";#N/A,#N/A,FALSE,"Interest";#N/A,#N/A,FALSE,"Assumptions"}</definedName>
    <definedName name="wrn.ALL.Ge" localSheetId="19" hidden="1">{#N/A,#N/A,FALSE,"DCF";#N/A,#N/A,FALSE,"WACC";#N/A,#N/A,FALSE,"Sales_EBIT";#N/A,#N/A,FALSE,"Capex_Depreciation";#N/A,#N/A,FALSE,"WC";#N/A,#N/A,FALSE,"Interest";#N/A,#N/A,FALSE,"Assumptions"}</definedName>
    <definedName name="wrn.ALL.Ge" localSheetId="17" hidden="1">{#N/A,#N/A,FALSE,"DCF";#N/A,#N/A,FALSE,"WACC";#N/A,#N/A,FALSE,"Sales_EBIT";#N/A,#N/A,FALSE,"Capex_Depreciation";#N/A,#N/A,FALSE,"WC";#N/A,#N/A,FALSE,"Interest";#N/A,#N/A,FALSE,"Assumptions"}</definedName>
    <definedName name="wrn.ALL.Ge" localSheetId="22" hidden="1">{#N/A,#N/A,FALSE,"DCF";#N/A,#N/A,FALSE,"WACC";#N/A,#N/A,FALSE,"Sales_EBIT";#N/A,#N/A,FALSE,"Capex_Depreciation";#N/A,#N/A,FALSE,"WC";#N/A,#N/A,FALSE,"Interest";#N/A,#N/A,FALSE,"Assumptions"}</definedName>
    <definedName name="wrn.ALL.Ge" localSheetId="10" hidden="1">{#N/A,#N/A,FALSE,"DCF";#N/A,#N/A,FALSE,"WACC";#N/A,#N/A,FALSE,"Sales_EBIT";#N/A,#N/A,FALSE,"Capex_Depreciation";#N/A,#N/A,FALSE,"WC";#N/A,#N/A,FALSE,"Interest";#N/A,#N/A,FALSE,"Assumptions"}</definedName>
    <definedName name="wrn.ALL.Ge" localSheetId="30" hidden="1">{#N/A,#N/A,FALSE,"DCF";#N/A,#N/A,FALSE,"WACC";#N/A,#N/A,FALSE,"Sales_EBIT";#N/A,#N/A,FALSE,"Capex_Depreciation";#N/A,#N/A,FALSE,"WC";#N/A,#N/A,FALSE,"Interest";#N/A,#N/A,FALSE,"Assumptions"}</definedName>
    <definedName name="wrn.ALL.Ge" localSheetId="0" hidden="1">{#N/A,#N/A,FALSE,"DCF";#N/A,#N/A,FALSE,"WACC";#N/A,#N/A,FALSE,"Sales_EBIT";#N/A,#N/A,FALSE,"Capex_Depreciation";#N/A,#N/A,FALSE,"WC";#N/A,#N/A,FALSE,"Interest";#N/A,#N/A,FALSE,"Assumptions"}</definedName>
    <definedName name="wrn.ALL.Ge" localSheetId="3" hidden="1">{#N/A,#N/A,FALSE,"DCF";#N/A,#N/A,FALSE,"WACC";#N/A,#N/A,FALSE,"Sales_EBIT";#N/A,#N/A,FALSE,"Capex_Depreciation";#N/A,#N/A,FALSE,"WC";#N/A,#N/A,FALSE,"Interest";#N/A,#N/A,FALSE,"Assumptions"}</definedName>
    <definedName name="wrn.ALL.Ge" localSheetId="4" hidden="1">{#N/A,#N/A,FALSE,"DCF";#N/A,#N/A,FALSE,"WACC";#N/A,#N/A,FALSE,"Sales_EBIT";#N/A,#N/A,FALSE,"Capex_Depreciation";#N/A,#N/A,FALSE,"WC";#N/A,#N/A,FALSE,"Interest";#N/A,#N/A,FALSE,"Assumptions"}</definedName>
    <definedName name="wrn.ALL.Ge" localSheetId="28" hidden="1">{#N/A,#N/A,FALSE,"DCF";#N/A,#N/A,FALSE,"WACC";#N/A,#N/A,FALSE,"Sales_EBIT";#N/A,#N/A,FALSE,"Capex_Depreciation";#N/A,#N/A,FALSE,"WC";#N/A,#N/A,FALSE,"Interest";#N/A,#N/A,FALSE,"Assumptions"}</definedName>
    <definedName name="wrn.ALL.Ge" localSheetId="33" hidden="1">{#N/A,#N/A,FALSE,"DCF";#N/A,#N/A,FALSE,"WACC";#N/A,#N/A,FALSE,"Sales_EBIT";#N/A,#N/A,FALSE,"Capex_Depreciation";#N/A,#N/A,FALSE,"WC";#N/A,#N/A,FALSE,"Interest";#N/A,#N/A,FALSE,"Assumptions"}</definedName>
    <definedName name="wrn.ALL.Ge" localSheetId="32" hidden="1">{#N/A,#N/A,FALSE,"DCF";#N/A,#N/A,FALSE,"WACC";#N/A,#N/A,FALSE,"Sales_EBIT";#N/A,#N/A,FALSE,"Capex_Depreciation";#N/A,#N/A,FALSE,"WC";#N/A,#N/A,FALSE,"Interest";#N/A,#N/A,FALSE,"Assumptions"}</definedName>
    <definedName name="wrn.ALL.Ge" localSheetId="7" hidden="1">{#N/A,#N/A,FALSE,"DCF";#N/A,#N/A,FALSE,"WACC";#N/A,#N/A,FALSE,"Sales_EBIT";#N/A,#N/A,FALSE,"Capex_Depreciation";#N/A,#N/A,FALSE,"WC";#N/A,#N/A,FALSE,"Interest";#N/A,#N/A,FALSE,"Assumptions"}</definedName>
    <definedName name="wrn.ALL.Ge" localSheetId="29" hidden="1">{#N/A,#N/A,FALSE,"DCF";#N/A,#N/A,FALSE,"WACC";#N/A,#N/A,FALSE,"Sales_EBIT";#N/A,#N/A,FALSE,"Capex_Depreciation";#N/A,#N/A,FALSE,"WC";#N/A,#N/A,FALSE,"Interest";#N/A,#N/A,FALSE,"Assumptions"}</definedName>
    <definedName name="wrn.ALL.Ge" localSheetId="1" hidden="1">{#N/A,#N/A,FALSE,"DCF";#N/A,#N/A,FALSE,"WACC";#N/A,#N/A,FALSE,"Sales_EBIT";#N/A,#N/A,FALSE,"Capex_Depreciation";#N/A,#N/A,FALSE,"WC";#N/A,#N/A,FALSE,"Interest";#N/A,#N/A,FALSE,"Assumptions"}</definedName>
    <definedName name="wrn.ALL.Ge" localSheetId="31" hidden="1">{#N/A,#N/A,FALSE,"DCF";#N/A,#N/A,FALSE,"WACC";#N/A,#N/A,FALSE,"Sales_EBIT";#N/A,#N/A,FALSE,"Capex_Depreciation";#N/A,#N/A,FALSE,"WC";#N/A,#N/A,FALSE,"Interest";#N/A,#N/A,FALSE,"Assumptions"}</definedName>
    <definedName name="wrn.ALL.Ge" hidden="1">{#N/A,#N/A,FALSE,"DCF";#N/A,#N/A,FALSE,"WACC";#N/A,#N/A,FALSE,"Sales_EBIT";#N/A,#N/A,FALSE,"Capex_Depreciation";#N/A,#N/A,FALSE,"WC";#N/A,#N/A,FALSE,"Interest";#N/A,#N/A,FALSE,"Assumptions"}</definedName>
    <definedName name="wrn.All_Excl_Depr." localSheetId="12"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All_Excl_Depr." localSheetId="18"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All_Excl_Depr." localSheetId="19"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All_Excl_Depr." localSheetId="17"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All_Excl_Depr." localSheetId="22"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All_Excl_Depr." localSheetId="10"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All_Excl_Depr." localSheetId="30"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All_Excl_Depr." localSheetId="0"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All_Excl_Depr." localSheetId="3"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All_Excl_Depr." localSheetId="4"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All_Excl_Depr." localSheetId="28"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All_Excl_Depr." localSheetId="33"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All_Excl_Depr." localSheetId="32"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All_Excl_Depr." localSheetId="7"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All_Excl_Depr." localSheetId="29"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All_Excl_Depr." localSheetId="1"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All_Excl_Depr." localSheetId="31"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All_Excl_Depr."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All_ProdQuantities." localSheetId="12" hidden="1">{"ProdQuantities1_2000_2009",#N/A,FALSE,"ProdQuantities";"ProdQuantities2_2010_2019",#N/A,FALSE,"ProdQuantities";"ProdQuantities3_2000_2009",#N/A,FALSE,"ProdQuantities";"ProdQuantities4_2010_2019",#N/A,FALSE,"ProdQuantities";"ProdQuantities5_2000_2009",#N/A,FALSE,"ProdQuantities";"ProdQuantities6_2010_2019",#N/A,FALSE,"ProdQuantities";"ProdQuantities7_2000_2009",#N/A,FALSE,"ProdQuantities";"ProdQuantities8_2010_2019",#N/A,FALSE,"ProdQuantities";"ProdQuantities9_2000_2009",#N/A,FALSE,"ProdQuantities";"ProdQuantities10_2010_2019",#N/A,FALSE,"ProdQuantities";"ProdQuantities11_2000_2009",#N/A,FALSE,"ProdQuantities";"ProdQuantities12_2010_2019",#N/A,FALSE,"ProdQuantities";"ProdQuantitiesTotal2000_2009",#N/A,FALSE,"ProdQuantities";"ProdQuantitiesTotal2010_2019",#N/A,FALSE,"ProdQuantities"}</definedName>
    <definedName name="wrn.All_ProdQuantities." localSheetId="18" hidden="1">{"ProdQuantities1_2000_2009",#N/A,FALSE,"ProdQuantities";"ProdQuantities2_2010_2019",#N/A,FALSE,"ProdQuantities";"ProdQuantities3_2000_2009",#N/A,FALSE,"ProdQuantities";"ProdQuantities4_2010_2019",#N/A,FALSE,"ProdQuantities";"ProdQuantities5_2000_2009",#N/A,FALSE,"ProdQuantities";"ProdQuantities6_2010_2019",#N/A,FALSE,"ProdQuantities";"ProdQuantities7_2000_2009",#N/A,FALSE,"ProdQuantities";"ProdQuantities8_2010_2019",#N/A,FALSE,"ProdQuantities";"ProdQuantities9_2000_2009",#N/A,FALSE,"ProdQuantities";"ProdQuantities10_2010_2019",#N/A,FALSE,"ProdQuantities";"ProdQuantities11_2000_2009",#N/A,FALSE,"ProdQuantities";"ProdQuantities12_2010_2019",#N/A,FALSE,"ProdQuantities";"ProdQuantitiesTotal2000_2009",#N/A,FALSE,"ProdQuantities";"ProdQuantitiesTotal2010_2019",#N/A,FALSE,"ProdQuantities"}</definedName>
    <definedName name="wrn.All_ProdQuantities." localSheetId="19" hidden="1">{"ProdQuantities1_2000_2009",#N/A,FALSE,"ProdQuantities";"ProdQuantities2_2010_2019",#N/A,FALSE,"ProdQuantities";"ProdQuantities3_2000_2009",#N/A,FALSE,"ProdQuantities";"ProdQuantities4_2010_2019",#N/A,FALSE,"ProdQuantities";"ProdQuantities5_2000_2009",#N/A,FALSE,"ProdQuantities";"ProdQuantities6_2010_2019",#N/A,FALSE,"ProdQuantities";"ProdQuantities7_2000_2009",#N/A,FALSE,"ProdQuantities";"ProdQuantities8_2010_2019",#N/A,FALSE,"ProdQuantities";"ProdQuantities9_2000_2009",#N/A,FALSE,"ProdQuantities";"ProdQuantities10_2010_2019",#N/A,FALSE,"ProdQuantities";"ProdQuantities11_2000_2009",#N/A,FALSE,"ProdQuantities";"ProdQuantities12_2010_2019",#N/A,FALSE,"ProdQuantities";"ProdQuantitiesTotal2000_2009",#N/A,FALSE,"ProdQuantities";"ProdQuantitiesTotal2010_2019",#N/A,FALSE,"ProdQuantities"}</definedName>
    <definedName name="wrn.All_ProdQuantities." localSheetId="17" hidden="1">{"ProdQuantities1_2000_2009",#N/A,FALSE,"ProdQuantities";"ProdQuantities2_2010_2019",#N/A,FALSE,"ProdQuantities";"ProdQuantities3_2000_2009",#N/A,FALSE,"ProdQuantities";"ProdQuantities4_2010_2019",#N/A,FALSE,"ProdQuantities";"ProdQuantities5_2000_2009",#N/A,FALSE,"ProdQuantities";"ProdQuantities6_2010_2019",#N/A,FALSE,"ProdQuantities";"ProdQuantities7_2000_2009",#N/A,FALSE,"ProdQuantities";"ProdQuantities8_2010_2019",#N/A,FALSE,"ProdQuantities";"ProdQuantities9_2000_2009",#N/A,FALSE,"ProdQuantities";"ProdQuantities10_2010_2019",#N/A,FALSE,"ProdQuantities";"ProdQuantities11_2000_2009",#N/A,FALSE,"ProdQuantities";"ProdQuantities12_2010_2019",#N/A,FALSE,"ProdQuantities";"ProdQuantitiesTotal2000_2009",#N/A,FALSE,"ProdQuantities";"ProdQuantitiesTotal2010_2019",#N/A,FALSE,"ProdQuantities"}</definedName>
    <definedName name="wrn.All_ProdQuantities." localSheetId="22" hidden="1">{"ProdQuantities1_2000_2009",#N/A,FALSE,"ProdQuantities";"ProdQuantities2_2010_2019",#N/A,FALSE,"ProdQuantities";"ProdQuantities3_2000_2009",#N/A,FALSE,"ProdQuantities";"ProdQuantities4_2010_2019",#N/A,FALSE,"ProdQuantities";"ProdQuantities5_2000_2009",#N/A,FALSE,"ProdQuantities";"ProdQuantities6_2010_2019",#N/A,FALSE,"ProdQuantities";"ProdQuantities7_2000_2009",#N/A,FALSE,"ProdQuantities";"ProdQuantities8_2010_2019",#N/A,FALSE,"ProdQuantities";"ProdQuantities9_2000_2009",#N/A,FALSE,"ProdQuantities";"ProdQuantities10_2010_2019",#N/A,FALSE,"ProdQuantities";"ProdQuantities11_2000_2009",#N/A,FALSE,"ProdQuantities";"ProdQuantities12_2010_2019",#N/A,FALSE,"ProdQuantities";"ProdQuantitiesTotal2000_2009",#N/A,FALSE,"ProdQuantities";"ProdQuantitiesTotal2010_2019",#N/A,FALSE,"ProdQuantities"}</definedName>
    <definedName name="wrn.All_ProdQuantities." localSheetId="10" hidden="1">{"ProdQuantities1_2000_2009",#N/A,FALSE,"ProdQuantities";"ProdQuantities2_2010_2019",#N/A,FALSE,"ProdQuantities";"ProdQuantities3_2000_2009",#N/A,FALSE,"ProdQuantities";"ProdQuantities4_2010_2019",#N/A,FALSE,"ProdQuantities";"ProdQuantities5_2000_2009",#N/A,FALSE,"ProdQuantities";"ProdQuantities6_2010_2019",#N/A,FALSE,"ProdQuantities";"ProdQuantities7_2000_2009",#N/A,FALSE,"ProdQuantities";"ProdQuantities8_2010_2019",#N/A,FALSE,"ProdQuantities";"ProdQuantities9_2000_2009",#N/A,FALSE,"ProdQuantities";"ProdQuantities10_2010_2019",#N/A,FALSE,"ProdQuantities";"ProdQuantities11_2000_2009",#N/A,FALSE,"ProdQuantities";"ProdQuantities12_2010_2019",#N/A,FALSE,"ProdQuantities";"ProdQuantitiesTotal2000_2009",#N/A,FALSE,"ProdQuantities";"ProdQuantitiesTotal2010_2019",#N/A,FALSE,"ProdQuantities"}</definedName>
    <definedName name="wrn.All_ProdQuantities." localSheetId="30" hidden="1">{"ProdQuantities1_2000_2009",#N/A,FALSE,"ProdQuantities";"ProdQuantities2_2010_2019",#N/A,FALSE,"ProdQuantities";"ProdQuantities3_2000_2009",#N/A,FALSE,"ProdQuantities";"ProdQuantities4_2010_2019",#N/A,FALSE,"ProdQuantities";"ProdQuantities5_2000_2009",#N/A,FALSE,"ProdQuantities";"ProdQuantities6_2010_2019",#N/A,FALSE,"ProdQuantities";"ProdQuantities7_2000_2009",#N/A,FALSE,"ProdQuantities";"ProdQuantities8_2010_2019",#N/A,FALSE,"ProdQuantities";"ProdQuantities9_2000_2009",#N/A,FALSE,"ProdQuantities";"ProdQuantities10_2010_2019",#N/A,FALSE,"ProdQuantities";"ProdQuantities11_2000_2009",#N/A,FALSE,"ProdQuantities";"ProdQuantities12_2010_2019",#N/A,FALSE,"ProdQuantities";"ProdQuantitiesTotal2000_2009",#N/A,FALSE,"ProdQuantities";"ProdQuantitiesTotal2010_2019",#N/A,FALSE,"ProdQuantities"}</definedName>
    <definedName name="wrn.All_ProdQuantities." localSheetId="0" hidden="1">{"ProdQuantities1_2000_2009",#N/A,FALSE,"ProdQuantities";"ProdQuantities2_2010_2019",#N/A,FALSE,"ProdQuantities";"ProdQuantities3_2000_2009",#N/A,FALSE,"ProdQuantities";"ProdQuantities4_2010_2019",#N/A,FALSE,"ProdQuantities";"ProdQuantities5_2000_2009",#N/A,FALSE,"ProdQuantities";"ProdQuantities6_2010_2019",#N/A,FALSE,"ProdQuantities";"ProdQuantities7_2000_2009",#N/A,FALSE,"ProdQuantities";"ProdQuantities8_2010_2019",#N/A,FALSE,"ProdQuantities";"ProdQuantities9_2000_2009",#N/A,FALSE,"ProdQuantities";"ProdQuantities10_2010_2019",#N/A,FALSE,"ProdQuantities";"ProdQuantities11_2000_2009",#N/A,FALSE,"ProdQuantities";"ProdQuantities12_2010_2019",#N/A,FALSE,"ProdQuantities";"ProdQuantitiesTotal2000_2009",#N/A,FALSE,"ProdQuantities";"ProdQuantitiesTotal2010_2019",#N/A,FALSE,"ProdQuantities"}</definedName>
    <definedName name="wrn.All_ProdQuantities." localSheetId="3" hidden="1">{"ProdQuantities1_2000_2009",#N/A,FALSE,"ProdQuantities";"ProdQuantities2_2010_2019",#N/A,FALSE,"ProdQuantities";"ProdQuantities3_2000_2009",#N/A,FALSE,"ProdQuantities";"ProdQuantities4_2010_2019",#N/A,FALSE,"ProdQuantities";"ProdQuantities5_2000_2009",#N/A,FALSE,"ProdQuantities";"ProdQuantities6_2010_2019",#N/A,FALSE,"ProdQuantities";"ProdQuantities7_2000_2009",#N/A,FALSE,"ProdQuantities";"ProdQuantities8_2010_2019",#N/A,FALSE,"ProdQuantities";"ProdQuantities9_2000_2009",#N/A,FALSE,"ProdQuantities";"ProdQuantities10_2010_2019",#N/A,FALSE,"ProdQuantities";"ProdQuantities11_2000_2009",#N/A,FALSE,"ProdQuantities";"ProdQuantities12_2010_2019",#N/A,FALSE,"ProdQuantities";"ProdQuantitiesTotal2000_2009",#N/A,FALSE,"ProdQuantities";"ProdQuantitiesTotal2010_2019",#N/A,FALSE,"ProdQuantities"}</definedName>
    <definedName name="wrn.All_ProdQuantities." localSheetId="4" hidden="1">{"ProdQuantities1_2000_2009",#N/A,FALSE,"ProdQuantities";"ProdQuantities2_2010_2019",#N/A,FALSE,"ProdQuantities";"ProdQuantities3_2000_2009",#N/A,FALSE,"ProdQuantities";"ProdQuantities4_2010_2019",#N/A,FALSE,"ProdQuantities";"ProdQuantities5_2000_2009",#N/A,FALSE,"ProdQuantities";"ProdQuantities6_2010_2019",#N/A,FALSE,"ProdQuantities";"ProdQuantities7_2000_2009",#N/A,FALSE,"ProdQuantities";"ProdQuantities8_2010_2019",#N/A,FALSE,"ProdQuantities";"ProdQuantities9_2000_2009",#N/A,FALSE,"ProdQuantities";"ProdQuantities10_2010_2019",#N/A,FALSE,"ProdQuantities";"ProdQuantities11_2000_2009",#N/A,FALSE,"ProdQuantities";"ProdQuantities12_2010_2019",#N/A,FALSE,"ProdQuantities";"ProdQuantitiesTotal2000_2009",#N/A,FALSE,"ProdQuantities";"ProdQuantitiesTotal2010_2019",#N/A,FALSE,"ProdQuantities"}</definedName>
    <definedName name="wrn.All_ProdQuantities." localSheetId="28" hidden="1">{"ProdQuantities1_2000_2009",#N/A,FALSE,"ProdQuantities";"ProdQuantities2_2010_2019",#N/A,FALSE,"ProdQuantities";"ProdQuantities3_2000_2009",#N/A,FALSE,"ProdQuantities";"ProdQuantities4_2010_2019",#N/A,FALSE,"ProdQuantities";"ProdQuantities5_2000_2009",#N/A,FALSE,"ProdQuantities";"ProdQuantities6_2010_2019",#N/A,FALSE,"ProdQuantities";"ProdQuantities7_2000_2009",#N/A,FALSE,"ProdQuantities";"ProdQuantities8_2010_2019",#N/A,FALSE,"ProdQuantities";"ProdQuantities9_2000_2009",#N/A,FALSE,"ProdQuantities";"ProdQuantities10_2010_2019",#N/A,FALSE,"ProdQuantities";"ProdQuantities11_2000_2009",#N/A,FALSE,"ProdQuantities";"ProdQuantities12_2010_2019",#N/A,FALSE,"ProdQuantities";"ProdQuantitiesTotal2000_2009",#N/A,FALSE,"ProdQuantities";"ProdQuantitiesTotal2010_2019",#N/A,FALSE,"ProdQuantities"}</definedName>
    <definedName name="wrn.All_ProdQuantities." localSheetId="33" hidden="1">{"ProdQuantities1_2000_2009",#N/A,FALSE,"ProdQuantities";"ProdQuantities2_2010_2019",#N/A,FALSE,"ProdQuantities";"ProdQuantities3_2000_2009",#N/A,FALSE,"ProdQuantities";"ProdQuantities4_2010_2019",#N/A,FALSE,"ProdQuantities";"ProdQuantities5_2000_2009",#N/A,FALSE,"ProdQuantities";"ProdQuantities6_2010_2019",#N/A,FALSE,"ProdQuantities";"ProdQuantities7_2000_2009",#N/A,FALSE,"ProdQuantities";"ProdQuantities8_2010_2019",#N/A,FALSE,"ProdQuantities";"ProdQuantities9_2000_2009",#N/A,FALSE,"ProdQuantities";"ProdQuantities10_2010_2019",#N/A,FALSE,"ProdQuantities";"ProdQuantities11_2000_2009",#N/A,FALSE,"ProdQuantities";"ProdQuantities12_2010_2019",#N/A,FALSE,"ProdQuantities";"ProdQuantitiesTotal2000_2009",#N/A,FALSE,"ProdQuantities";"ProdQuantitiesTotal2010_2019",#N/A,FALSE,"ProdQuantities"}</definedName>
    <definedName name="wrn.All_ProdQuantities." localSheetId="32" hidden="1">{"ProdQuantities1_2000_2009",#N/A,FALSE,"ProdQuantities";"ProdQuantities2_2010_2019",#N/A,FALSE,"ProdQuantities";"ProdQuantities3_2000_2009",#N/A,FALSE,"ProdQuantities";"ProdQuantities4_2010_2019",#N/A,FALSE,"ProdQuantities";"ProdQuantities5_2000_2009",#N/A,FALSE,"ProdQuantities";"ProdQuantities6_2010_2019",#N/A,FALSE,"ProdQuantities";"ProdQuantities7_2000_2009",#N/A,FALSE,"ProdQuantities";"ProdQuantities8_2010_2019",#N/A,FALSE,"ProdQuantities";"ProdQuantities9_2000_2009",#N/A,FALSE,"ProdQuantities";"ProdQuantities10_2010_2019",#N/A,FALSE,"ProdQuantities";"ProdQuantities11_2000_2009",#N/A,FALSE,"ProdQuantities";"ProdQuantities12_2010_2019",#N/A,FALSE,"ProdQuantities";"ProdQuantitiesTotal2000_2009",#N/A,FALSE,"ProdQuantities";"ProdQuantitiesTotal2010_2019",#N/A,FALSE,"ProdQuantities"}</definedName>
    <definedName name="wrn.All_ProdQuantities." localSheetId="7" hidden="1">{"ProdQuantities1_2000_2009",#N/A,FALSE,"ProdQuantities";"ProdQuantities2_2010_2019",#N/A,FALSE,"ProdQuantities";"ProdQuantities3_2000_2009",#N/A,FALSE,"ProdQuantities";"ProdQuantities4_2010_2019",#N/A,FALSE,"ProdQuantities";"ProdQuantities5_2000_2009",#N/A,FALSE,"ProdQuantities";"ProdQuantities6_2010_2019",#N/A,FALSE,"ProdQuantities";"ProdQuantities7_2000_2009",#N/A,FALSE,"ProdQuantities";"ProdQuantities8_2010_2019",#N/A,FALSE,"ProdQuantities";"ProdQuantities9_2000_2009",#N/A,FALSE,"ProdQuantities";"ProdQuantities10_2010_2019",#N/A,FALSE,"ProdQuantities";"ProdQuantities11_2000_2009",#N/A,FALSE,"ProdQuantities";"ProdQuantities12_2010_2019",#N/A,FALSE,"ProdQuantities";"ProdQuantitiesTotal2000_2009",#N/A,FALSE,"ProdQuantities";"ProdQuantitiesTotal2010_2019",#N/A,FALSE,"ProdQuantities"}</definedName>
    <definedName name="wrn.All_ProdQuantities." localSheetId="29" hidden="1">{"ProdQuantities1_2000_2009",#N/A,FALSE,"ProdQuantities";"ProdQuantities2_2010_2019",#N/A,FALSE,"ProdQuantities";"ProdQuantities3_2000_2009",#N/A,FALSE,"ProdQuantities";"ProdQuantities4_2010_2019",#N/A,FALSE,"ProdQuantities";"ProdQuantities5_2000_2009",#N/A,FALSE,"ProdQuantities";"ProdQuantities6_2010_2019",#N/A,FALSE,"ProdQuantities";"ProdQuantities7_2000_2009",#N/A,FALSE,"ProdQuantities";"ProdQuantities8_2010_2019",#N/A,FALSE,"ProdQuantities";"ProdQuantities9_2000_2009",#N/A,FALSE,"ProdQuantities";"ProdQuantities10_2010_2019",#N/A,FALSE,"ProdQuantities";"ProdQuantities11_2000_2009",#N/A,FALSE,"ProdQuantities";"ProdQuantities12_2010_2019",#N/A,FALSE,"ProdQuantities";"ProdQuantitiesTotal2000_2009",#N/A,FALSE,"ProdQuantities";"ProdQuantitiesTotal2010_2019",#N/A,FALSE,"ProdQuantities"}</definedName>
    <definedName name="wrn.All_ProdQuantities." localSheetId="1" hidden="1">{"ProdQuantities1_2000_2009",#N/A,FALSE,"ProdQuantities";"ProdQuantities2_2010_2019",#N/A,FALSE,"ProdQuantities";"ProdQuantities3_2000_2009",#N/A,FALSE,"ProdQuantities";"ProdQuantities4_2010_2019",#N/A,FALSE,"ProdQuantities";"ProdQuantities5_2000_2009",#N/A,FALSE,"ProdQuantities";"ProdQuantities6_2010_2019",#N/A,FALSE,"ProdQuantities";"ProdQuantities7_2000_2009",#N/A,FALSE,"ProdQuantities";"ProdQuantities8_2010_2019",#N/A,FALSE,"ProdQuantities";"ProdQuantities9_2000_2009",#N/A,FALSE,"ProdQuantities";"ProdQuantities10_2010_2019",#N/A,FALSE,"ProdQuantities";"ProdQuantities11_2000_2009",#N/A,FALSE,"ProdQuantities";"ProdQuantities12_2010_2019",#N/A,FALSE,"ProdQuantities";"ProdQuantitiesTotal2000_2009",#N/A,FALSE,"ProdQuantities";"ProdQuantitiesTotal2010_2019",#N/A,FALSE,"ProdQuantities"}</definedName>
    <definedName name="wrn.All_ProdQuantities." localSheetId="31" hidden="1">{"ProdQuantities1_2000_2009",#N/A,FALSE,"ProdQuantities";"ProdQuantities2_2010_2019",#N/A,FALSE,"ProdQuantities";"ProdQuantities3_2000_2009",#N/A,FALSE,"ProdQuantities";"ProdQuantities4_2010_2019",#N/A,FALSE,"ProdQuantities";"ProdQuantities5_2000_2009",#N/A,FALSE,"ProdQuantities";"ProdQuantities6_2010_2019",#N/A,FALSE,"ProdQuantities";"ProdQuantities7_2000_2009",#N/A,FALSE,"ProdQuantities";"ProdQuantities8_2010_2019",#N/A,FALSE,"ProdQuantities";"ProdQuantities9_2000_2009",#N/A,FALSE,"ProdQuantities";"ProdQuantities10_2010_2019",#N/A,FALSE,"ProdQuantities";"ProdQuantities11_2000_2009",#N/A,FALSE,"ProdQuantities";"ProdQuantities12_2010_2019",#N/A,FALSE,"ProdQuantities";"ProdQuantitiesTotal2000_2009",#N/A,FALSE,"ProdQuantities";"ProdQuantitiesTotal2010_2019",#N/A,FALSE,"ProdQuantities"}</definedName>
    <definedName name="wrn.All_ProdQuantities." hidden="1">{"ProdQuantities1_2000_2009",#N/A,FALSE,"ProdQuantities";"ProdQuantities2_2010_2019",#N/A,FALSE,"ProdQuantities";"ProdQuantities3_2000_2009",#N/A,FALSE,"ProdQuantities";"ProdQuantities4_2010_2019",#N/A,FALSE,"ProdQuantities";"ProdQuantities5_2000_2009",#N/A,FALSE,"ProdQuantities";"ProdQuantities6_2010_2019",#N/A,FALSE,"ProdQuantities";"ProdQuantities7_2000_2009",#N/A,FALSE,"ProdQuantities";"ProdQuantities8_2010_2019",#N/A,FALSE,"ProdQuantities";"ProdQuantities9_2000_2009",#N/A,FALSE,"ProdQuantities";"ProdQuantities10_2010_2019",#N/A,FALSE,"ProdQuantities";"ProdQuantities11_2000_2009",#N/A,FALSE,"ProdQuantities";"ProdQuantities12_2010_2019",#N/A,FALSE,"ProdQuantities";"ProdQuantitiesTotal2000_2009",#N/A,FALSE,"ProdQuantities";"ProdQuantitiesTotal2010_2019",#N/A,FALSE,"ProdQuantities"}</definedName>
    <definedName name="wrn.ANALISIS." localSheetId="12" hidden="1">{"ANAR",#N/A,FALSE,"Dist total";"MARGEN",#N/A,FALSE,"Dist total";"COMENTARIO",#N/A,FALSE,"Ficha CODICE";"CONSEJO",#N/A,FALSE,"Dist p0";"uno",#N/A,FALSE,"Dist total"}</definedName>
    <definedName name="wrn.ANALISIS." localSheetId="18" hidden="1">{"ANAR",#N/A,FALSE,"Dist total";"MARGEN",#N/A,FALSE,"Dist total";"COMENTARIO",#N/A,FALSE,"Ficha CODICE";"CONSEJO",#N/A,FALSE,"Dist p0";"uno",#N/A,FALSE,"Dist total"}</definedName>
    <definedName name="wrn.ANALISIS." localSheetId="19" hidden="1">{"ANAR",#N/A,FALSE,"Dist total";"MARGEN",#N/A,FALSE,"Dist total";"COMENTARIO",#N/A,FALSE,"Ficha CODICE";"CONSEJO",#N/A,FALSE,"Dist p0";"uno",#N/A,FALSE,"Dist total"}</definedName>
    <definedName name="wrn.ANALISIS." localSheetId="17" hidden="1">{"ANAR",#N/A,FALSE,"Dist total";"MARGEN",#N/A,FALSE,"Dist total";"COMENTARIO",#N/A,FALSE,"Ficha CODICE";"CONSEJO",#N/A,FALSE,"Dist p0";"uno",#N/A,FALSE,"Dist total"}</definedName>
    <definedName name="wrn.ANALISIS." localSheetId="22" hidden="1">{"ANAR",#N/A,FALSE,"Dist total";"MARGEN",#N/A,FALSE,"Dist total";"COMENTARIO",#N/A,FALSE,"Ficha CODICE";"CONSEJO",#N/A,FALSE,"Dist p0";"uno",#N/A,FALSE,"Dist total"}</definedName>
    <definedName name="wrn.ANALISIS." localSheetId="10" hidden="1">{"ANAR",#N/A,FALSE,"Dist total";"MARGEN",#N/A,FALSE,"Dist total";"COMENTARIO",#N/A,FALSE,"Ficha CODICE";"CONSEJO",#N/A,FALSE,"Dist p0";"uno",#N/A,FALSE,"Dist total"}</definedName>
    <definedName name="wrn.ANALISIS." localSheetId="30" hidden="1">{"ANAR",#N/A,FALSE,"Dist total";"MARGEN",#N/A,FALSE,"Dist total";"COMENTARIO",#N/A,FALSE,"Ficha CODICE";"CONSEJO",#N/A,FALSE,"Dist p0";"uno",#N/A,FALSE,"Dist total"}</definedName>
    <definedName name="wrn.ANALISIS." localSheetId="0" hidden="1">{"ANAR",#N/A,FALSE,"Dist total";"MARGEN",#N/A,FALSE,"Dist total";"COMENTARIO",#N/A,FALSE,"Ficha CODICE";"CONSEJO",#N/A,FALSE,"Dist p0";"uno",#N/A,FALSE,"Dist total"}</definedName>
    <definedName name="wrn.ANALISIS." localSheetId="3" hidden="1">{"ANAR",#N/A,FALSE,"Dist total";"MARGEN",#N/A,FALSE,"Dist total";"COMENTARIO",#N/A,FALSE,"Ficha CODICE";"CONSEJO",#N/A,FALSE,"Dist p0";"uno",#N/A,FALSE,"Dist total"}</definedName>
    <definedName name="wrn.ANALISIS." localSheetId="4" hidden="1">{"ANAR",#N/A,FALSE,"Dist total";"MARGEN",#N/A,FALSE,"Dist total";"COMENTARIO",#N/A,FALSE,"Ficha CODICE";"CONSEJO",#N/A,FALSE,"Dist p0";"uno",#N/A,FALSE,"Dist total"}</definedName>
    <definedName name="wrn.ANALISIS." localSheetId="28" hidden="1">{"ANAR",#N/A,FALSE,"Dist total";"MARGEN",#N/A,FALSE,"Dist total";"COMENTARIO",#N/A,FALSE,"Ficha CODICE";"CONSEJO",#N/A,FALSE,"Dist p0";"uno",#N/A,FALSE,"Dist total"}</definedName>
    <definedName name="wrn.ANALISIS." localSheetId="33" hidden="1">{"ANAR",#N/A,FALSE,"Dist total";"MARGEN",#N/A,FALSE,"Dist total";"COMENTARIO",#N/A,FALSE,"Ficha CODICE";"CONSEJO",#N/A,FALSE,"Dist p0";"uno",#N/A,FALSE,"Dist total"}</definedName>
    <definedName name="wrn.ANALISIS." localSheetId="32" hidden="1">{"ANAR",#N/A,FALSE,"Dist total";"MARGEN",#N/A,FALSE,"Dist total";"COMENTARIO",#N/A,FALSE,"Ficha CODICE";"CONSEJO",#N/A,FALSE,"Dist p0";"uno",#N/A,FALSE,"Dist total"}</definedName>
    <definedName name="wrn.ANALISIS." localSheetId="7" hidden="1">{"ANAR",#N/A,FALSE,"Dist total";"MARGEN",#N/A,FALSE,"Dist total";"COMENTARIO",#N/A,FALSE,"Ficha CODICE";"CONSEJO",#N/A,FALSE,"Dist p0";"uno",#N/A,FALSE,"Dist total"}</definedName>
    <definedName name="wrn.ANALISIS." localSheetId="29" hidden="1">{"ANAR",#N/A,FALSE,"Dist total";"MARGEN",#N/A,FALSE,"Dist total";"COMENTARIO",#N/A,FALSE,"Ficha CODICE";"CONSEJO",#N/A,FALSE,"Dist p0";"uno",#N/A,FALSE,"Dist total"}</definedName>
    <definedName name="wrn.ANALISIS." localSheetId="1" hidden="1">{"ANAR",#N/A,FALSE,"Dist total";"MARGEN",#N/A,FALSE,"Dist total";"COMENTARIO",#N/A,FALSE,"Ficha CODICE";"CONSEJO",#N/A,FALSE,"Dist p0";"uno",#N/A,FALSE,"Dist total"}</definedName>
    <definedName name="wrn.ANALISIS." localSheetId="31" hidden="1">{"ANAR",#N/A,FALSE,"Dist total";"MARGEN",#N/A,FALSE,"Dist total";"COMENTARIO",#N/A,FALSE,"Ficha CODICE";"CONSEJO",#N/A,FALSE,"Dist p0";"uno",#N/A,FALSE,"Dist total"}</definedName>
    <definedName name="wrn.ANALISIS." hidden="1">{"ANAR",#N/A,FALSE,"Dist total";"MARGEN",#N/A,FALSE,"Dist total";"COMENTARIO",#N/A,FALSE,"Ficha CODICE";"CONSEJO",#N/A,FALSE,"Dist p0";"uno",#N/A,FALSE,"Dist total"}</definedName>
    <definedName name="wrn.annualpl." localSheetId="12" hidden="1">{#N/A,#N/A,FALSE,"Sheet1"}</definedName>
    <definedName name="wrn.annualpl." localSheetId="18" hidden="1">{#N/A,#N/A,FALSE,"Sheet1"}</definedName>
    <definedName name="wrn.annualpl." localSheetId="19" hidden="1">{#N/A,#N/A,FALSE,"Sheet1"}</definedName>
    <definedName name="wrn.annualpl." localSheetId="17" hidden="1">{#N/A,#N/A,FALSE,"Sheet1"}</definedName>
    <definedName name="wrn.annualpl." localSheetId="22" hidden="1">{#N/A,#N/A,FALSE,"Sheet1"}</definedName>
    <definedName name="wrn.annualpl." localSheetId="10" hidden="1">{#N/A,#N/A,FALSE,"Sheet1"}</definedName>
    <definedName name="wrn.annualpl." localSheetId="30" hidden="1">{#N/A,#N/A,FALSE,"Sheet1"}</definedName>
    <definedName name="wrn.annualpl." localSheetId="0" hidden="1">{#N/A,#N/A,FALSE,"Sheet1"}</definedName>
    <definedName name="wrn.annualpl." localSheetId="3" hidden="1">{#N/A,#N/A,FALSE,"Sheet1"}</definedName>
    <definedName name="wrn.annualpl." localSheetId="4" hidden="1">{#N/A,#N/A,FALSE,"Sheet1"}</definedName>
    <definedName name="wrn.annualpl." localSheetId="28" hidden="1">{#N/A,#N/A,FALSE,"Sheet1"}</definedName>
    <definedName name="wrn.annualpl." localSheetId="33" hidden="1">{#N/A,#N/A,FALSE,"Sheet1"}</definedName>
    <definedName name="wrn.annualpl." localSheetId="32" hidden="1">{#N/A,#N/A,FALSE,"Sheet1"}</definedName>
    <definedName name="wrn.annualpl." localSheetId="7" hidden="1">{#N/A,#N/A,FALSE,"Sheet1"}</definedName>
    <definedName name="wrn.annualpl." localSheetId="29" hidden="1">{#N/A,#N/A,FALSE,"Sheet1"}</definedName>
    <definedName name="wrn.annualpl." localSheetId="1" hidden="1">{#N/A,#N/A,FALSE,"Sheet1"}</definedName>
    <definedName name="wrn.annualpl." localSheetId="31" hidden="1">{#N/A,#N/A,FALSE,"Sheet1"}</definedName>
    <definedName name="wrn.annualpl." hidden="1">{#N/A,#N/A,FALSE,"Sheet1"}</definedName>
    <definedName name="wrn.annualpll." localSheetId="12" hidden="1">{#N/A,#N/A,FALSE,"Sheet1"}</definedName>
    <definedName name="wrn.annualpll." localSheetId="18" hidden="1">{#N/A,#N/A,FALSE,"Sheet1"}</definedName>
    <definedName name="wrn.annualpll." localSheetId="19" hidden="1">{#N/A,#N/A,FALSE,"Sheet1"}</definedName>
    <definedName name="wrn.annualpll." localSheetId="17" hidden="1">{#N/A,#N/A,FALSE,"Sheet1"}</definedName>
    <definedName name="wrn.annualpll." localSheetId="22" hidden="1">{#N/A,#N/A,FALSE,"Sheet1"}</definedName>
    <definedName name="wrn.annualpll." localSheetId="10" hidden="1">{#N/A,#N/A,FALSE,"Sheet1"}</definedName>
    <definedName name="wrn.annualpll." localSheetId="30" hidden="1">{#N/A,#N/A,FALSE,"Sheet1"}</definedName>
    <definedName name="wrn.annualpll." localSheetId="0" hidden="1">{#N/A,#N/A,FALSE,"Sheet1"}</definedName>
    <definedName name="wrn.annualpll." localSheetId="3" hidden="1">{#N/A,#N/A,FALSE,"Sheet1"}</definedName>
    <definedName name="wrn.annualpll." localSheetId="4" hidden="1">{#N/A,#N/A,FALSE,"Sheet1"}</definedName>
    <definedName name="wrn.annualpll." localSheetId="28" hidden="1">{#N/A,#N/A,FALSE,"Sheet1"}</definedName>
    <definedName name="wrn.annualpll." localSheetId="33" hidden="1">{#N/A,#N/A,FALSE,"Sheet1"}</definedName>
    <definedName name="wrn.annualpll." localSheetId="32" hidden="1">{#N/A,#N/A,FALSE,"Sheet1"}</definedName>
    <definedName name="wrn.annualpll." localSheetId="7" hidden="1">{#N/A,#N/A,FALSE,"Sheet1"}</definedName>
    <definedName name="wrn.annualpll." localSheetId="29" hidden="1">{#N/A,#N/A,FALSE,"Sheet1"}</definedName>
    <definedName name="wrn.annualpll." localSheetId="1" hidden="1">{#N/A,#N/A,FALSE,"Sheet1"}</definedName>
    <definedName name="wrn.annualpll." localSheetId="31" hidden="1">{#N/A,#N/A,FALSE,"Sheet1"}</definedName>
    <definedName name="wrn.annualpll." hidden="1">{#N/A,#N/A,FALSE,"Sheet1"}</definedName>
    <definedName name="wrn.Asia." localSheetId="12"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 localSheetId="18"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 localSheetId="19"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 localSheetId="17"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 localSheetId="22"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 localSheetId="10"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 localSheetId="30"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 localSheetId="0"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 localSheetId="3"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 localSheetId="28"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 localSheetId="33"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 localSheetId="32"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 localSheetId="7"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 localSheetId="29"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 localSheetId="1"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 localSheetId="31"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back" localSheetId="12" hidden="1">{"Back Page",#N/A,FALSE,"Front and Back"}</definedName>
    <definedName name="wrn.back" localSheetId="18" hidden="1">{"Back Page",#N/A,FALSE,"Front and Back"}</definedName>
    <definedName name="wrn.back" localSheetId="19" hidden="1">{"Back Page",#N/A,FALSE,"Front and Back"}</definedName>
    <definedName name="wrn.back" localSheetId="17" hidden="1">{"Back Page",#N/A,FALSE,"Front and Back"}</definedName>
    <definedName name="wrn.back" localSheetId="22" hidden="1">{"Back Page",#N/A,FALSE,"Front and Back"}</definedName>
    <definedName name="wrn.back" localSheetId="10" hidden="1">{"Back Page",#N/A,FALSE,"Front and Back"}</definedName>
    <definedName name="wrn.back" localSheetId="30" hidden="1">{"Back Page",#N/A,FALSE,"Front and Back"}</definedName>
    <definedName name="wrn.back" localSheetId="0" hidden="1">{"Back Page",#N/A,FALSE,"Front and Back"}</definedName>
    <definedName name="wrn.back" localSheetId="3" hidden="1">{"Back Page",#N/A,FALSE,"Front and Back"}</definedName>
    <definedName name="wrn.back" localSheetId="4" hidden="1">{"Back Page",#N/A,FALSE,"Front and Back"}</definedName>
    <definedName name="wrn.back" localSheetId="28" hidden="1">{"Back Page",#N/A,FALSE,"Front and Back"}</definedName>
    <definedName name="wrn.back" localSheetId="33" hidden="1">{"Back Page",#N/A,FALSE,"Front and Back"}</definedName>
    <definedName name="wrn.back" localSheetId="32" hidden="1">{"Back Page",#N/A,FALSE,"Front and Back"}</definedName>
    <definedName name="wrn.back" localSheetId="7" hidden="1">{"Back Page",#N/A,FALSE,"Front and Back"}</definedName>
    <definedName name="wrn.back" localSheetId="29" hidden="1">{"Back Page",#N/A,FALSE,"Front and Back"}</definedName>
    <definedName name="wrn.back" localSheetId="1" hidden="1">{"Back Page",#N/A,FALSE,"Front and Back"}</definedName>
    <definedName name="wrn.back" localSheetId="31" hidden="1">{"Back Page",#N/A,FALSE,"Front and Back"}</definedName>
    <definedName name="wrn.back" hidden="1">{"Back Page",#N/A,FALSE,"Front and Back"}</definedName>
    <definedName name="wrn.Back._.Page." localSheetId="12" hidden="1">{"Back Page",#N/A,FALSE,"Front and Back"}</definedName>
    <definedName name="wrn.Back._.Page." localSheetId="18" hidden="1">{"Back Page",#N/A,FALSE,"Front and Back"}</definedName>
    <definedName name="wrn.Back._.Page." localSheetId="19" hidden="1">{"Back Page",#N/A,FALSE,"Front and Back"}</definedName>
    <definedName name="wrn.Back._.Page." localSheetId="17" hidden="1">{"Back Page",#N/A,FALSE,"Front and Back"}</definedName>
    <definedName name="wrn.Back._.Page." localSheetId="22" hidden="1">{"Back Page",#N/A,FALSE,"Front and Back"}</definedName>
    <definedName name="wrn.Back._.Page." localSheetId="10" hidden="1">{"Back Page",#N/A,FALSE,"Front and Back"}</definedName>
    <definedName name="wrn.Back._.Page." localSheetId="30" hidden="1">{"Back Page",#N/A,FALSE,"Front and Back"}</definedName>
    <definedName name="wrn.Back._.Page." localSheetId="0" hidden="1">{"Back Page",#N/A,FALSE,"Front and Back"}</definedName>
    <definedName name="wrn.Back._.Page." localSheetId="3" hidden="1">{"Back Page",#N/A,FALSE,"Front and Back"}</definedName>
    <definedName name="wrn.Back._.Page." localSheetId="4" hidden="1">{"Back Page",#N/A,FALSE,"Front and Back"}</definedName>
    <definedName name="wrn.Back._.Page." localSheetId="28" hidden="1">{"Back Page",#N/A,FALSE,"Front and Back"}</definedName>
    <definedName name="wrn.Back._.Page." localSheetId="33" hidden="1">{"Back Page",#N/A,FALSE,"Front and Back"}</definedName>
    <definedName name="wrn.Back._.Page." localSheetId="32" hidden="1">{"Back Page",#N/A,FALSE,"Front and Back"}</definedName>
    <definedName name="wrn.Back._.Page." localSheetId="7" hidden="1">{"Back Page",#N/A,FALSE,"Front and Back"}</definedName>
    <definedName name="wrn.Back._.Page." localSheetId="29" hidden="1">{"Back Page",#N/A,FALSE,"Front and Back"}</definedName>
    <definedName name="wrn.Back._.Page." localSheetId="1" hidden="1">{"Back Page",#N/A,FALSE,"Front and Back"}</definedName>
    <definedName name="wrn.Back._.Page." localSheetId="31" hidden="1">{"Back Page",#N/A,FALSE,"Front and Back"}</definedName>
    <definedName name="wrn.Back._.Page." hidden="1">{"Back Page",#N/A,FALSE,"Front and Back"}</definedName>
    <definedName name="wrn.BalanceSheetGermanGAAP2000_2009." localSheetId="12" hidden="1">{"BSGGAAP1",#N/A,FALSE,"P&amp;L G GAAP"}</definedName>
    <definedName name="wrn.BalanceSheetGermanGAAP2000_2009." localSheetId="18" hidden="1">{"BSGGAAP1",#N/A,FALSE,"P&amp;L G GAAP"}</definedName>
    <definedName name="wrn.BalanceSheetGermanGAAP2000_2009." localSheetId="19" hidden="1">{"BSGGAAP1",#N/A,FALSE,"P&amp;L G GAAP"}</definedName>
    <definedName name="wrn.BalanceSheetGermanGAAP2000_2009." localSheetId="17" hidden="1">{"BSGGAAP1",#N/A,FALSE,"P&amp;L G GAAP"}</definedName>
    <definedName name="wrn.BalanceSheetGermanGAAP2000_2009." localSheetId="22" hidden="1">{"BSGGAAP1",#N/A,FALSE,"P&amp;L G GAAP"}</definedName>
    <definedName name="wrn.BalanceSheetGermanGAAP2000_2009." localSheetId="10" hidden="1">{"BSGGAAP1",#N/A,FALSE,"P&amp;L G GAAP"}</definedName>
    <definedName name="wrn.BalanceSheetGermanGAAP2000_2009." localSheetId="30" hidden="1">{"BSGGAAP1",#N/A,FALSE,"P&amp;L G GAAP"}</definedName>
    <definedName name="wrn.BalanceSheetGermanGAAP2000_2009." localSheetId="0" hidden="1">{"BSGGAAP1",#N/A,FALSE,"P&amp;L G GAAP"}</definedName>
    <definedName name="wrn.BalanceSheetGermanGAAP2000_2009." localSheetId="3" hidden="1">{"BSGGAAP1",#N/A,FALSE,"P&amp;L G GAAP"}</definedName>
    <definedName name="wrn.BalanceSheetGermanGAAP2000_2009." localSheetId="4" hidden="1">{"BSGGAAP1",#N/A,FALSE,"P&amp;L G GAAP"}</definedName>
    <definedName name="wrn.BalanceSheetGermanGAAP2000_2009." localSheetId="28" hidden="1">{"BSGGAAP1",#N/A,FALSE,"P&amp;L G GAAP"}</definedName>
    <definedName name="wrn.BalanceSheetGermanGAAP2000_2009." localSheetId="33" hidden="1">{"BSGGAAP1",#N/A,FALSE,"P&amp;L G GAAP"}</definedName>
    <definedName name="wrn.BalanceSheetGermanGAAP2000_2009." localSheetId="32" hidden="1">{"BSGGAAP1",#N/A,FALSE,"P&amp;L G GAAP"}</definedName>
    <definedName name="wrn.BalanceSheetGermanGAAP2000_2009." localSheetId="7" hidden="1">{"BSGGAAP1",#N/A,FALSE,"P&amp;L G GAAP"}</definedName>
    <definedName name="wrn.BalanceSheetGermanGAAP2000_2009." localSheetId="29" hidden="1">{"BSGGAAP1",#N/A,FALSE,"P&amp;L G GAAP"}</definedName>
    <definedName name="wrn.BalanceSheetGermanGAAP2000_2009." localSheetId="1" hidden="1">{"BSGGAAP1",#N/A,FALSE,"P&amp;L G GAAP"}</definedName>
    <definedName name="wrn.BalanceSheetGermanGAAP2000_2009." localSheetId="31" hidden="1">{"BSGGAAP1",#N/A,FALSE,"P&amp;L G GAAP"}</definedName>
    <definedName name="wrn.BalanceSheetGermanGAAP2000_2009." hidden="1">{"BSGGAAP1",#N/A,FALSE,"P&amp;L G GAAP"}</definedName>
    <definedName name="wrn.BalanceSheetGermanGAAP2010_2019." localSheetId="12" hidden="1">{"BSGGAAP2",#N/A,FALSE,"BS G GAAP"}</definedName>
    <definedName name="wrn.BalanceSheetGermanGAAP2010_2019." localSheetId="18" hidden="1">{"BSGGAAP2",#N/A,FALSE,"BS G GAAP"}</definedName>
    <definedName name="wrn.BalanceSheetGermanGAAP2010_2019." localSheetId="19" hidden="1">{"BSGGAAP2",#N/A,FALSE,"BS G GAAP"}</definedName>
    <definedName name="wrn.BalanceSheetGermanGAAP2010_2019." localSheetId="17" hidden="1">{"BSGGAAP2",#N/A,FALSE,"BS G GAAP"}</definedName>
    <definedName name="wrn.BalanceSheetGermanGAAP2010_2019." localSheetId="22" hidden="1">{"BSGGAAP2",#N/A,FALSE,"BS G GAAP"}</definedName>
    <definedName name="wrn.BalanceSheetGermanGAAP2010_2019." localSheetId="10" hidden="1">{"BSGGAAP2",#N/A,FALSE,"BS G GAAP"}</definedName>
    <definedName name="wrn.BalanceSheetGermanGAAP2010_2019." localSheetId="30" hidden="1">{"BSGGAAP2",#N/A,FALSE,"BS G GAAP"}</definedName>
    <definedName name="wrn.BalanceSheetGermanGAAP2010_2019." localSheetId="0" hidden="1">{"BSGGAAP2",#N/A,FALSE,"BS G GAAP"}</definedName>
    <definedName name="wrn.BalanceSheetGermanGAAP2010_2019." localSheetId="3" hidden="1">{"BSGGAAP2",#N/A,FALSE,"BS G GAAP"}</definedName>
    <definedName name="wrn.BalanceSheetGermanGAAP2010_2019." localSheetId="4" hidden="1">{"BSGGAAP2",#N/A,FALSE,"BS G GAAP"}</definedName>
    <definedName name="wrn.BalanceSheetGermanGAAP2010_2019." localSheetId="28" hidden="1">{"BSGGAAP2",#N/A,FALSE,"BS G GAAP"}</definedName>
    <definedName name="wrn.BalanceSheetGermanGAAP2010_2019." localSheetId="33" hidden="1">{"BSGGAAP2",#N/A,FALSE,"BS G GAAP"}</definedName>
    <definedName name="wrn.BalanceSheetGermanGAAP2010_2019." localSheetId="32" hidden="1">{"BSGGAAP2",#N/A,FALSE,"BS G GAAP"}</definedName>
    <definedName name="wrn.BalanceSheetGermanGAAP2010_2019." localSheetId="7" hidden="1">{"BSGGAAP2",#N/A,FALSE,"BS G GAAP"}</definedName>
    <definedName name="wrn.BalanceSheetGermanGAAP2010_2019." localSheetId="29" hidden="1">{"BSGGAAP2",#N/A,FALSE,"BS G GAAP"}</definedName>
    <definedName name="wrn.BalanceSheetGermanGAAP2010_2019." localSheetId="1" hidden="1">{"BSGGAAP2",#N/A,FALSE,"BS G GAAP"}</definedName>
    <definedName name="wrn.BalanceSheetGermanGAAP2010_2019." localSheetId="31" hidden="1">{"BSGGAAP2",#N/A,FALSE,"BS G GAAP"}</definedName>
    <definedName name="wrn.BalanceSheetGermanGAAP2010_2019." hidden="1">{"BSGGAAP2",#N/A,FALSE,"BS G GAAP"}</definedName>
    <definedName name="wrn.BalanceSheetUSGAAP2000_2009." localSheetId="12" hidden="1">{"BSUSGAAP1",#N/A,FALSE,"BS US GAAP"}</definedName>
    <definedName name="wrn.BalanceSheetUSGAAP2000_2009." localSheetId="18" hidden="1">{"BSUSGAAP1",#N/A,FALSE,"BS US GAAP"}</definedName>
    <definedName name="wrn.BalanceSheetUSGAAP2000_2009." localSheetId="19" hidden="1">{"BSUSGAAP1",#N/A,FALSE,"BS US GAAP"}</definedName>
    <definedName name="wrn.BalanceSheetUSGAAP2000_2009." localSheetId="17" hidden="1">{"BSUSGAAP1",#N/A,FALSE,"BS US GAAP"}</definedName>
    <definedName name="wrn.BalanceSheetUSGAAP2000_2009." localSheetId="22" hidden="1">{"BSUSGAAP1",#N/A,FALSE,"BS US GAAP"}</definedName>
    <definedName name="wrn.BalanceSheetUSGAAP2000_2009." localSheetId="10" hidden="1">{"BSUSGAAP1",#N/A,FALSE,"BS US GAAP"}</definedName>
    <definedName name="wrn.BalanceSheetUSGAAP2000_2009." localSheetId="30" hidden="1">{"BSUSGAAP1",#N/A,FALSE,"BS US GAAP"}</definedName>
    <definedName name="wrn.BalanceSheetUSGAAP2000_2009." localSheetId="0" hidden="1">{"BSUSGAAP1",#N/A,FALSE,"BS US GAAP"}</definedName>
    <definedName name="wrn.BalanceSheetUSGAAP2000_2009." localSheetId="3" hidden="1">{"BSUSGAAP1",#N/A,FALSE,"BS US GAAP"}</definedName>
    <definedName name="wrn.BalanceSheetUSGAAP2000_2009." localSheetId="4" hidden="1">{"BSUSGAAP1",#N/A,FALSE,"BS US GAAP"}</definedName>
    <definedName name="wrn.BalanceSheetUSGAAP2000_2009." localSheetId="28" hidden="1">{"BSUSGAAP1",#N/A,FALSE,"BS US GAAP"}</definedName>
    <definedName name="wrn.BalanceSheetUSGAAP2000_2009." localSheetId="33" hidden="1">{"BSUSGAAP1",#N/A,FALSE,"BS US GAAP"}</definedName>
    <definedName name="wrn.BalanceSheetUSGAAP2000_2009." localSheetId="32" hidden="1">{"BSUSGAAP1",#N/A,FALSE,"BS US GAAP"}</definedName>
    <definedName name="wrn.BalanceSheetUSGAAP2000_2009." localSheetId="7" hidden="1">{"BSUSGAAP1",#N/A,FALSE,"BS US GAAP"}</definedName>
    <definedName name="wrn.BalanceSheetUSGAAP2000_2009." localSheetId="29" hidden="1">{"BSUSGAAP1",#N/A,FALSE,"BS US GAAP"}</definedName>
    <definedName name="wrn.BalanceSheetUSGAAP2000_2009." localSheetId="1" hidden="1">{"BSUSGAAP1",#N/A,FALSE,"BS US GAAP"}</definedName>
    <definedName name="wrn.BalanceSheetUSGAAP2000_2009." localSheetId="31" hidden="1">{"BSUSGAAP1",#N/A,FALSE,"BS US GAAP"}</definedName>
    <definedName name="wrn.BalanceSheetUSGAAP2000_2009." hidden="1">{"BSUSGAAP1",#N/A,FALSE,"BS US GAAP"}</definedName>
    <definedName name="wrn.BalanceSheetUSGAAP2010_2019." localSheetId="12" hidden="1">{"BSUSGAAP2",#N/A,FALSE,"BS US GAAP"}</definedName>
    <definedName name="wrn.BalanceSheetUSGAAP2010_2019." localSheetId="18" hidden="1">{"BSUSGAAP2",#N/A,FALSE,"BS US GAAP"}</definedName>
    <definedName name="wrn.BalanceSheetUSGAAP2010_2019." localSheetId="19" hidden="1">{"BSUSGAAP2",#N/A,FALSE,"BS US GAAP"}</definedName>
    <definedName name="wrn.BalanceSheetUSGAAP2010_2019." localSheetId="17" hidden="1">{"BSUSGAAP2",#N/A,FALSE,"BS US GAAP"}</definedName>
    <definedName name="wrn.BalanceSheetUSGAAP2010_2019." localSheetId="22" hidden="1">{"BSUSGAAP2",#N/A,FALSE,"BS US GAAP"}</definedName>
    <definedName name="wrn.BalanceSheetUSGAAP2010_2019." localSheetId="10" hidden="1">{"BSUSGAAP2",#N/A,FALSE,"BS US GAAP"}</definedName>
    <definedName name="wrn.BalanceSheetUSGAAP2010_2019." localSheetId="30" hidden="1">{"BSUSGAAP2",#N/A,FALSE,"BS US GAAP"}</definedName>
    <definedName name="wrn.BalanceSheetUSGAAP2010_2019." localSheetId="0" hidden="1">{"BSUSGAAP2",#N/A,FALSE,"BS US GAAP"}</definedName>
    <definedName name="wrn.BalanceSheetUSGAAP2010_2019." localSheetId="3" hidden="1">{"BSUSGAAP2",#N/A,FALSE,"BS US GAAP"}</definedName>
    <definedName name="wrn.BalanceSheetUSGAAP2010_2019." localSheetId="4" hidden="1">{"BSUSGAAP2",#N/A,FALSE,"BS US GAAP"}</definedName>
    <definedName name="wrn.BalanceSheetUSGAAP2010_2019." localSheetId="28" hidden="1">{"BSUSGAAP2",#N/A,FALSE,"BS US GAAP"}</definedName>
    <definedName name="wrn.BalanceSheetUSGAAP2010_2019." localSheetId="33" hidden="1">{"BSUSGAAP2",#N/A,FALSE,"BS US GAAP"}</definedName>
    <definedName name="wrn.BalanceSheetUSGAAP2010_2019." localSheetId="32" hidden="1">{"BSUSGAAP2",#N/A,FALSE,"BS US GAAP"}</definedName>
    <definedName name="wrn.BalanceSheetUSGAAP2010_2019." localSheetId="7" hidden="1">{"BSUSGAAP2",#N/A,FALSE,"BS US GAAP"}</definedName>
    <definedName name="wrn.BalanceSheetUSGAAP2010_2019." localSheetId="29" hidden="1">{"BSUSGAAP2",#N/A,FALSE,"BS US GAAP"}</definedName>
    <definedName name="wrn.BalanceSheetUSGAAP2010_2019." localSheetId="1" hidden="1">{"BSUSGAAP2",#N/A,FALSE,"BS US GAAP"}</definedName>
    <definedName name="wrn.BalanceSheetUSGAAP2010_2019." localSheetId="31" hidden="1">{"BSUSGAAP2",#N/A,FALSE,"BS US GAAP"}</definedName>
    <definedName name="wrn.BalanceSheetUSGAAP2010_2019." hidden="1">{"BSUSGAAP2",#N/A,FALSE,"BS US GAAP"}</definedName>
    <definedName name="wrn.BEL." localSheetId="12" hidden="1">{"IS",#N/A,FALSE,"IS";"RPTIS",#N/A,FALSE,"RPTIS";"STATS",#N/A,FALSE,"STATS";"CELL",#N/A,FALSE,"CELL";"BS",#N/A,FALSE,"BS"}</definedName>
    <definedName name="wrn.BEL." localSheetId="18" hidden="1">{"IS",#N/A,FALSE,"IS";"RPTIS",#N/A,FALSE,"RPTIS";"STATS",#N/A,FALSE,"STATS";"CELL",#N/A,FALSE,"CELL";"BS",#N/A,FALSE,"BS"}</definedName>
    <definedName name="wrn.BEL." localSheetId="19" hidden="1">{"IS",#N/A,FALSE,"IS";"RPTIS",#N/A,FALSE,"RPTIS";"STATS",#N/A,FALSE,"STATS";"CELL",#N/A,FALSE,"CELL";"BS",#N/A,FALSE,"BS"}</definedName>
    <definedName name="wrn.BEL." localSheetId="17" hidden="1">{"IS",#N/A,FALSE,"IS";"RPTIS",#N/A,FALSE,"RPTIS";"STATS",#N/A,FALSE,"STATS";"CELL",#N/A,FALSE,"CELL";"BS",#N/A,FALSE,"BS"}</definedName>
    <definedName name="wrn.BEL." localSheetId="22" hidden="1">{"IS",#N/A,FALSE,"IS";"RPTIS",#N/A,FALSE,"RPTIS";"STATS",#N/A,FALSE,"STATS";"CELL",#N/A,FALSE,"CELL";"BS",#N/A,FALSE,"BS"}</definedName>
    <definedName name="wrn.BEL." localSheetId="10" hidden="1">{"IS",#N/A,FALSE,"IS";"RPTIS",#N/A,FALSE,"RPTIS";"STATS",#N/A,FALSE,"STATS";"CELL",#N/A,FALSE,"CELL";"BS",#N/A,FALSE,"BS"}</definedName>
    <definedName name="wrn.BEL." localSheetId="30" hidden="1">{"IS",#N/A,FALSE,"IS";"RPTIS",#N/A,FALSE,"RPTIS";"STATS",#N/A,FALSE,"STATS";"CELL",#N/A,FALSE,"CELL";"BS",#N/A,FALSE,"BS"}</definedName>
    <definedName name="wrn.BEL." localSheetId="0" hidden="1">{"IS",#N/A,FALSE,"IS";"RPTIS",#N/A,FALSE,"RPTIS";"STATS",#N/A,FALSE,"STATS";"CELL",#N/A,FALSE,"CELL";"BS",#N/A,FALSE,"BS"}</definedName>
    <definedName name="wrn.BEL." localSheetId="3" hidden="1">{"IS",#N/A,FALSE,"IS";"RPTIS",#N/A,FALSE,"RPTIS";"STATS",#N/A,FALSE,"STATS";"CELL",#N/A,FALSE,"CELL";"BS",#N/A,FALSE,"BS"}</definedName>
    <definedName name="wrn.BEL." localSheetId="4" hidden="1">{"IS",#N/A,FALSE,"IS";"RPTIS",#N/A,FALSE,"RPTIS";"STATS",#N/A,FALSE,"STATS";"CELL",#N/A,FALSE,"CELL";"BS",#N/A,FALSE,"BS"}</definedName>
    <definedName name="wrn.BEL." localSheetId="28" hidden="1">{"IS",#N/A,FALSE,"IS";"RPTIS",#N/A,FALSE,"RPTIS";"STATS",#N/A,FALSE,"STATS";"CELL",#N/A,FALSE,"CELL";"BS",#N/A,FALSE,"BS"}</definedName>
    <definedName name="wrn.BEL." localSheetId="33" hidden="1">{"IS",#N/A,FALSE,"IS";"RPTIS",#N/A,FALSE,"RPTIS";"STATS",#N/A,FALSE,"STATS";"CELL",#N/A,FALSE,"CELL";"BS",#N/A,FALSE,"BS"}</definedName>
    <definedName name="wrn.BEL." localSheetId="32" hidden="1">{"IS",#N/A,FALSE,"IS";"RPTIS",#N/A,FALSE,"RPTIS";"STATS",#N/A,FALSE,"STATS";"CELL",#N/A,FALSE,"CELL";"BS",#N/A,FALSE,"BS"}</definedName>
    <definedName name="wrn.BEL." localSheetId="7" hidden="1">{"IS",#N/A,FALSE,"IS";"RPTIS",#N/A,FALSE,"RPTIS";"STATS",#N/A,FALSE,"STATS";"CELL",#N/A,FALSE,"CELL";"BS",#N/A,FALSE,"BS"}</definedName>
    <definedName name="wrn.BEL." localSheetId="29" hidden="1">{"IS",#N/A,FALSE,"IS";"RPTIS",#N/A,FALSE,"RPTIS";"STATS",#N/A,FALSE,"STATS";"CELL",#N/A,FALSE,"CELL";"BS",#N/A,FALSE,"BS"}</definedName>
    <definedName name="wrn.BEL." localSheetId="1" hidden="1">{"IS",#N/A,FALSE,"IS";"RPTIS",#N/A,FALSE,"RPTIS";"STATS",#N/A,FALSE,"STATS";"CELL",#N/A,FALSE,"CELL";"BS",#N/A,FALSE,"BS"}</definedName>
    <definedName name="wrn.BEL." localSheetId="31" hidden="1">{"IS",#N/A,FALSE,"IS";"RPTIS",#N/A,FALSE,"RPTIS";"STATS",#N/A,FALSE,"STATS";"CELL",#N/A,FALSE,"CELL";"BS",#N/A,FALSE,"BS"}</definedName>
    <definedName name="wrn.BEL." hidden="1">{"IS",#N/A,FALSE,"IS";"RPTIS",#N/A,FALSE,"RPTIS";"STATS",#N/A,FALSE,"STATS";"CELL",#N/A,FALSE,"CELL";"BS",#N/A,FALSE,"BS"}</definedName>
    <definedName name="wrn.C_G_Hele." localSheetId="12" hidden="1">{"Side 1",#N/A,FALSE,"Hovedark";"Side 2",#N/A,FALSE,"Hovedark";"Cash Flow",#N/A,FALSE,"Hovedark";"Butik_oms",#N/A,FALSE,"Omsætning";"Lande_oms",#N/A,FALSE,"Land";"Halvår",#N/A,FALSE,"Halvår";"Valuation",#N/A,FALSE,"Valuation";"DCF",#N/A,FALSE,"DCF";"Bidrag",#N/A,FALSE,"Bidrag";"Bagside DK",#N/A,FALSE,"Bagside"}</definedName>
    <definedName name="wrn.C_G_Hele." localSheetId="18" hidden="1">{"Side 1",#N/A,FALSE,"Hovedark";"Side 2",#N/A,FALSE,"Hovedark";"Cash Flow",#N/A,FALSE,"Hovedark";"Butik_oms",#N/A,FALSE,"Omsætning";"Lande_oms",#N/A,FALSE,"Land";"Halvår",#N/A,FALSE,"Halvår";"Valuation",#N/A,FALSE,"Valuation";"DCF",#N/A,FALSE,"DCF";"Bidrag",#N/A,FALSE,"Bidrag";"Bagside DK",#N/A,FALSE,"Bagside"}</definedName>
    <definedName name="wrn.C_G_Hele." localSheetId="19" hidden="1">{"Side 1",#N/A,FALSE,"Hovedark";"Side 2",#N/A,FALSE,"Hovedark";"Cash Flow",#N/A,FALSE,"Hovedark";"Butik_oms",#N/A,FALSE,"Omsætning";"Lande_oms",#N/A,FALSE,"Land";"Halvår",#N/A,FALSE,"Halvår";"Valuation",#N/A,FALSE,"Valuation";"DCF",#N/A,FALSE,"DCF";"Bidrag",#N/A,FALSE,"Bidrag";"Bagside DK",#N/A,FALSE,"Bagside"}</definedName>
    <definedName name="wrn.C_G_Hele." localSheetId="17" hidden="1">{"Side 1",#N/A,FALSE,"Hovedark";"Side 2",#N/A,FALSE,"Hovedark";"Cash Flow",#N/A,FALSE,"Hovedark";"Butik_oms",#N/A,FALSE,"Omsætning";"Lande_oms",#N/A,FALSE,"Land";"Halvår",#N/A,FALSE,"Halvår";"Valuation",#N/A,FALSE,"Valuation";"DCF",#N/A,FALSE,"DCF";"Bidrag",#N/A,FALSE,"Bidrag";"Bagside DK",#N/A,FALSE,"Bagside"}</definedName>
    <definedName name="wrn.C_G_Hele." localSheetId="22" hidden="1">{"Side 1",#N/A,FALSE,"Hovedark";"Side 2",#N/A,FALSE,"Hovedark";"Cash Flow",#N/A,FALSE,"Hovedark";"Butik_oms",#N/A,FALSE,"Omsætning";"Lande_oms",#N/A,FALSE,"Land";"Halvår",#N/A,FALSE,"Halvår";"Valuation",#N/A,FALSE,"Valuation";"DCF",#N/A,FALSE,"DCF";"Bidrag",#N/A,FALSE,"Bidrag";"Bagside DK",#N/A,FALSE,"Bagside"}</definedName>
    <definedName name="wrn.C_G_Hele." localSheetId="10" hidden="1">{"Side 1",#N/A,FALSE,"Hovedark";"Side 2",#N/A,FALSE,"Hovedark";"Cash Flow",#N/A,FALSE,"Hovedark";"Butik_oms",#N/A,FALSE,"Omsætning";"Lande_oms",#N/A,FALSE,"Land";"Halvår",#N/A,FALSE,"Halvår";"Valuation",#N/A,FALSE,"Valuation";"DCF",#N/A,FALSE,"DCF";"Bidrag",#N/A,FALSE,"Bidrag";"Bagside DK",#N/A,FALSE,"Bagside"}</definedName>
    <definedName name="wrn.C_G_Hele." localSheetId="30" hidden="1">{"Side 1",#N/A,FALSE,"Hovedark";"Side 2",#N/A,FALSE,"Hovedark";"Cash Flow",#N/A,FALSE,"Hovedark";"Butik_oms",#N/A,FALSE,"Omsætning";"Lande_oms",#N/A,FALSE,"Land";"Halvår",#N/A,FALSE,"Halvår";"Valuation",#N/A,FALSE,"Valuation";"DCF",#N/A,FALSE,"DCF";"Bidrag",#N/A,FALSE,"Bidrag";"Bagside DK",#N/A,FALSE,"Bagside"}</definedName>
    <definedName name="wrn.C_G_Hele." localSheetId="0" hidden="1">{"Side 1",#N/A,FALSE,"Hovedark";"Side 2",#N/A,FALSE,"Hovedark";"Cash Flow",#N/A,FALSE,"Hovedark";"Butik_oms",#N/A,FALSE,"Omsætning";"Lande_oms",#N/A,FALSE,"Land";"Halvår",#N/A,FALSE,"Halvår";"Valuation",#N/A,FALSE,"Valuation";"DCF",#N/A,FALSE,"DCF";"Bidrag",#N/A,FALSE,"Bidrag";"Bagside DK",#N/A,FALSE,"Bagside"}</definedName>
    <definedName name="wrn.C_G_Hele." localSheetId="3" hidden="1">{"Side 1",#N/A,FALSE,"Hovedark";"Side 2",#N/A,FALSE,"Hovedark";"Cash Flow",#N/A,FALSE,"Hovedark";"Butik_oms",#N/A,FALSE,"Omsætning";"Lande_oms",#N/A,FALSE,"Land";"Halvår",#N/A,FALSE,"Halvår";"Valuation",#N/A,FALSE,"Valuation";"DCF",#N/A,FALSE,"DCF";"Bidrag",#N/A,FALSE,"Bidrag";"Bagside DK",#N/A,FALSE,"Bagside"}</definedName>
    <definedName name="wrn.C_G_Hele." localSheetId="4" hidden="1">{"Side 1",#N/A,FALSE,"Hovedark";"Side 2",#N/A,FALSE,"Hovedark";"Cash Flow",#N/A,FALSE,"Hovedark";"Butik_oms",#N/A,FALSE,"Omsætning";"Lande_oms",#N/A,FALSE,"Land";"Halvår",#N/A,FALSE,"Halvår";"Valuation",#N/A,FALSE,"Valuation";"DCF",#N/A,FALSE,"DCF";"Bidrag",#N/A,FALSE,"Bidrag";"Bagside DK",#N/A,FALSE,"Bagside"}</definedName>
    <definedName name="wrn.C_G_Hele." localSheetId="28" hidden="1">{"Side 1",#N/A,FALSE,"Hovedark";"Side 2",#N/A,FALSE,"Hovedark";"Cash Flow",#N/A,FALSE,"Hovedark";"Butik_oms",#N/A,FALSE,"Omsætning";"Lande_oms",#N/A,FALSE,"Land";"Halvår",#N/A,FALSE,"Halvår";"Valuation",#N/A,FALSE,"Valuation";"DCF",#N/A,FALSE,"DCF";"Bidrag",#N/A,FALSE,"Bidrag";"Bagside DK",#N/A,FALSE,"Bagside"}</definedName>
    <definedName name="wrn.C_G_Hele." localSheetId="33" hidden="1">{"Side 1",#N/A,FALSE,"Hovedark";"Side 2",#N/A,FALSE,"Hovedark";"Cash Flow",#N/A,FALSE,"Hovedark";"Butik_oms",#N/A,FALSE,"Omsætning";"Lande_oms",#N/A,FALSE,"Land";"Halvår",#N/A,FALSE,"Halvår";"Valuation",#N/A,FALSE,"Valuation";"DCF",#N/A,FALSE,"DCF";"Bidrag",#N/A,FALSE,"Bidrag";"Bagside DK",#N/A,FALSE,"Bagside"}</definedName>
    <definedName name="wrn.C_G_Hele." localSheetId="32" hidden="1">{"Side 1",#N/A,FALSE,"Hovedark";"Side 2",#N/A,FALSE,"Hovedark";"Cash Flow",#N/A,FALSE,"Hovedark";"Butik_oms",#N/A,FALSE,"Omsætning";"Lande_oms",#N/A,FALSE,"Land";"Halvår",#N/A,FALSE,"Halvår";"Valuation",#N/A,FALSE,"Valuation";"DCF",#N/A,FALSE,"DCF";"Bidrag",#N/A,FALSE,"Bidrag";"Bagside DK",#N/A,FALSE,"Bagside"}</definedName>
    <definedName name="wrn.C_G_Hele." localSheetId="7" hidden="1">{"Side 1",#N/A,FALSE,"Hovedark";"Side 2",#N/A,FALSE,"Hovedark";"Cash Flow",#N/A,FALSE,"Hovedark";"Butik_oms",#N/A,FALSE,"Omsætning";"Lande_oms",#N/A,FALSE,"Land";"Halvår",#N/A,FALSE,"Halvår";"Valuation",#N/A,FALSE,"Valuation";"DCF",#N/A,FALSE,"DCF";"Bidrag",#N/A,FALSE,"Bidrag";"Bagside DK",#N/A,FALSE,"Bagside"}</definedName>
    <definedName name="wrn.C_G_Hele." localSheetId="29" hidden="1">{"Side 1",#N/A,FALSE,"Hovedark";"Side 2",#N/A,FALSE,"Hovedark";"Cash Flow",#N/A,FALSE,"Hovedark";"Butik_oms",#N/A,FALSE,"Omsætning";"Lande_oms",#N/A,FALSE,"Land";"Halvår",#N/A,FALSE,"Halvår";"Valuation",#N/A,FALSE,"Valuation";"DCF",#N/A,FALSE,"DCF";"Bidrag",#N/A,FALSE,"Bidrag";"Bagside DK",#N/A,FALSE,"Bagside"}</definedName>
    <definedName name="wrn.C_G_Hele." localSheetId="1" hidden="1">{"Side 1",#N/A,FALSE,"Hovedark";"Side 2",#N/A,FALSE,"Hovedark";"Cash Flow",#N/A,FALSE,"Hovedark";"Butik_oms",#N/A,FALSE,"Omsætning";"Lande_oms",#N/A,FALSE,"Land";"Halvår",#N/A,FALSE,"Halvår";"Valuation",#N/A,FALSE,"Valuation";"DCF",#N/A,FALSE,"DCF";"Bidrag",#N/A,FALSE,"Bidrag";"Bagside DK",#N/A,FALSE,"Bagside"}</definedName>
    <definedName name="wrn.C_G_Hele." localSheetId="31" hidden="1">{"Side 1",#N/A,FALSE,"Hovedark";"Side 2",#N/A,FALSE,"Hovedark";"Cash Flow",#N/A,FALSE,"Hovedark";"Butik_oms",#N/A,FALSE,"Omsætning";"Lande_oms",#N/A,FALSE,"Land";"Halvår",#N/A,FALSE,"Halvår";"Valuation",#N/A,FALSE,"Valuation";"DCF",#N/A,FALSE,"DCF";"Bidrag",#N/A,FALSE,"Bidrag";"Bagside DK",#N/A,FALSE,"Bagside"}</definedName>
    <definedName name="wrn.C_G_Hele." hidden="1">{"Side 1",#N/A,FALSE,"Hovedark";"Side 2",#N/A,FALSE,"Hovedark";"Cash Flow",#N/A,FALSE,"Hovedark";"Butik_oms",#N/A,FALSE,"Omsætning";"Lande_oms",#N/A,FALSE,"Land";"Halvår",#N/A,FALSE,"Halvår";"Valuation",#N/A,FALSE,"Valuation";"DCF",#N/A,FALSE,"DCF";"Bidrag",#N/A,FALSE,"Bidrag";"Bagside DK",#N/A,FALSE,"Bagside"}</definedName>
    <definedName name="wrn.Capex1." localSheetId="12" hidden="1">{"Capex1",#N/A,FALSE,"Capex"}</definedName>
    <definedName name="wrn.Capex1." localSheetId="18" hidden="1">{"Capex1",#N/A,FALSE,"Capex"}</definedName>
    <definedName name="wrn.Capex1." localSheetId="19" hidden="1">{"Capex1",#N/A,FALSE,"Capex"}</definedName>
    <definedName name="wrn.Capex1." localSheetId="17" hidden="1">{"Capex1",#N/A,FALSE,"Capex"}</definedName>
    <definedName name="wrn.Capex1." localSheetId="22" hidden="1">{"Capex1",#N/A,FALSE,"Capex"}</definedName>
    <definedName name="wrn.Capex1." localSheetId="10" hidden="1">{"Capex1",#N/A,FALSE,"Capex"}</definedName>
    <definedName name="wrn.Capex1." localSheetId="30" hidden="1">{"Capex1",#N/A,FALSE,"Capex"}</definedName>
    <definedName name="wrn.Capex1." localSheetId="0" hidden="1">{"Capex1",#N/A,FALSE,"Capex"}</definedName>
    <definedName name="wrn.Capex1." localSheetId="3" hidden="1">{"Capex1",#N/A,FALSE,"Capex"}</definedName>
    <definedName name="wrn.Capex1." localSheetId="4" hidden="1">{"Capex1",#N/A,FALSE,"Capex"}</definedName>
    <definedName name="wrn.Capex1." localSheetId="28" hidden="1">{"Capex1",#N/A,FALSE,"Capex"}</definedName>
    <definedName name="wrn.Capex1." localSheetId="33" hidden="1">{"Capex1",#N/A,FALSE,"Capex"}</definedName>
    <definedName name="wrn.Capex1." localSheetId="32" hidden="1">{"Capex1",#N/A,FALSE,"Capex"}</definedName>
    <definedName name="wrn.Capex1." localSheetId="7" hidden="1">{"Capex1",#N/A,FALSE,"Capex"}</definedName>
    <definedName name="wrn.Capex1." localSheetId="29" hidden="1">{"Capex1",#N/A,FALSE,"Capex"}</definedName>
    <definedName name="wrn.Capex1." localSheetId="1" hidden="1">{"Capex1",#N/A,FALSE,"Capex"}</definedName>
    <definedName name="wrn.Capex1." localSheetId="31" hidden="1">{"Capex1",#N/A,FALSE,"Capex"}</definedName>
    <definedName name="wrn.Capex1." hidden="1">{"Capex1",#N/A,FALSE,"Capex"}</definedName>
    <definedName name="wrn.Capex2." localSheetId="12" hidden="1">{"Capex2",#N/A,FALSE,"Capex"}</definedName>
    <definedName name="wrn.Capex2." localSheetId="18" hidden="1">{"Capex2",#N/A,FALSE,"Capex"}</definedName>
    <definedName name="wrn.Capex2." localSheetId="19" hidden="1">{"Capex2",#N/A,FALSE,"Capex"}</definedName>
    <definedName name="wrn.Capex2." localSheetId="17" hidden="1">{"Capex2",#N/A,FALSE,"Capex"}</definedName>
    <definedName name="wrn.Capex2." localSheetId="22" hidden="1">{"Capex2",#N/A,FALSE,"Capex"}</definedName>
    <definedName name="wrn.Capex2." localSheetId="10" hidden="1">{"Capex2",#N/A,FALSE,"Capex"}</definedName>
    <definedName name="wrn.Capex2." localSheetId="30" hidden="1">{"Capex2",#N/A,FALSE,"Capex"}</definedName>
    <definedName name="wrn.Capex2." localSheetId="0" hidden="1">{"Capex2",#N/A,FALSE,"Capex"}</definedName>
    <definedName name="wrn.Capex2." localSheetId="3" hidden="1">{"Capex2",#N/A,FALSE,"Capex"}</definedName>
    <definedName name="wrn.Capex2." localSheetId="4" hidden="1">{"Capex2",#N/A,FALSE,"Capex"}</definedName>
    <definedName name="wrn.Capex2." localSheetId="28" hidden="1">{"Capex2",#N/A,FALSE,"Capex"}</definedName>
    <definedName name="wrn.Capex2." localSheetId="33" hidden="1">{"Capex2",#N/A,FALSE,"Capex"}</definedName>
    <definedName name="wrn.Capex2." localSheetId="32" hidden="1">{"Capex2",#N/A,FALSE,"Capex"}</definedName>
    <definedName name="wrn.Capex2." localSheetId="7" hidden="1">{"Capex2",#N/A,FALSE,"Capex"}</definedName>
    <definedName name="wrn.Capex2." localSheetId="29" hidden="1">{"Capex2",#N/A,FALSE,"Capex"}</definedName>
    <definedName name="wrn.Capex2." localSheetId="1" hidden="1">{"Capex2",#N/A,FALSE,"Capex"}</definedName>
    <definedName name="wrn.Capex2." localSheetId="31" hidden="1">{"Capex2",#N/A,FALSE,"Capex"}</definedName>
    <definedName name="wrn.Capex2." hidden="1">{"Capex2",#N/A,FALSE,"Capex"}</definedName>
    <definedName name="wrn.Capex3." localSheetId="12" hidden="1">{"Capex3",#N/A,FALSE,"Capex"}</definedName>
    <definedName name="wrn.Capex3." localSheetId="18" hidden="1">{"Capex3",#N/A,FALSE,"Capex"}</definedName>
    <definedName name="wrn.Capex3." localSheetId="19" hidden="1">{"Capex3",#N/A,FALSE,"Capex"}</definedName>
    <definedName name="wrn.Capex3." localSheetId="17" hidden="1">{"Capex3",#N/A,FALSE,"Capex"}</definedName>
    <definedName name="wrn.Capex3." localSheetId="22" hidden="1">{"Capex3",#N/A,FALSE,"Capex"}</definedName>
    <definedName name="wrn.Capex3." localSheetId="10" hidden="1">{"Capex3",#N/A,FALSE,"Capex"}</definedName>
    <definedName name="wrn.Capex3." localSheetId="30" hidden="1">{"Capex3",#N/A,FALSE,"Capex"}</definedName>
    <definedName name="wrn.Capex3." localSheetId="0" hidden="1">{"Capex3",#N/A,FALSE,"Capex"}</definedName>
    <definedName name="wrn.Capex3." localSheetId="3" hidden="1">{"Capex3",#N/A,FALSE,"Capex"}</definedName>
    <definedName name="wrn.Capex3." localSheetId="4" hidden="1">{"Capex3",#N/A,FALSE,"Capex"}</definedName>
    <definedName name="wrn.Capex3." localSheetId="28" hidden="1">{"Capex3",#N/A,FALSE,"Capex"}</definedName>
    <definedName name="wrn.Capex3." localSheetId="33" hidden="1">{"Capex3",#N/A,FALSE,"Capex"}</definedName>
    <definedName name="wrn.Capex3." localSheetId="32" hidden="1">{"Capex3",#N/A,FALSE,"Capex"}</definedName>
    <definedName name="wrn.Capex3." localSheetId="7" hidden="1">{"Capex3",#N/A,FALSE,"Capex"}</definedName>
    <definedName name="wrn.Capex3." localSheetId="29" hidden="1">{"Capex3",#N/A,FALSE,"Capex"}</definedName>
    <definedName name="wrn.Capex3." localSheetId="1" hidden="1">{"Capex3",#N/A,FALSE,"Capex"}</definedName>
    <definedName name="wrn.Capex3." localSheetId="31" hidden="1">{"Capex3",#N/A,FALSE,"Capex"}</definedName>
    <definedName name="wrn.Capex3." hidden="1">{"Capex3",#N/A,FALSE,"Capex"}</definedName>
    <definedName name="wrn.CashFlowGermanGAAP2000_2009." localSheetId="12" hidden="1">{"CFGGAAP1a",#N/A,FALSE,"CF G GAAP"}</definedName>
    <definedName name="wrn.CashFlowGermanGAAP2000_2009." localSheetId="18" hidden="1">{"CFGGAAP1a",#N/A,FALSE,"CF G GAAP"}</definedName>
    <definedName name="wrn.CashFlowGermanGAAP2000_2009." localSheetId="19" hidden="1">{"CFGGAAP1a",#N/A,FALSE,"CF G GAAP"}</definedName>
    <definedName name="wrn.CashFlowGermanGAAP2000_2009." localSheetId="17" hidden="1">{"CFGGAAP1a",#N/A,FALSE,"CF G GAAP"}</definedName>
    <definedName name="wrn.CashFlowGermanGAAP2000_2009." localSheetId="22" hidden="1">{"CFGGAAP1a",#N/A,FALSE,"CF G GAAP"}</definedName>
    <definedName name="wrn.CashFlowGermanGAAP2000_2009." localSheetId="10" hidden="1">{"CFGGAAP1a",#N/A,FALSE,"CF G GAAP"}</definedName>
    <definedName name="wrn.CashFlowGermanGAAP2000_2009." localSheetId="30" hidden="1">{"CFGGAAP1a",#N/A,FALSE,"CF G GAAP"}</definedName>
    <definedName name="wrn.CashFlowGermanGAAP2000_2009." localSheetId="0" hidden="1">{"CFGGAAP1a",#N/A,FALSE,"CF G GAAP"}</definedName>
    <definedName name="wrn.CashFlowGermanGAAP2000_2009." localSheetId="3" hidden="1">{"CFGGAAP1a",#N/A,FALSE,"CF G GAAP"}</definedName>
    <definedName name="wrn.CashFlowGermanGAAP2000_2009." localSheetId="4" hidden="1">{"CFGGAAP1a",#N/A,FALSE,"CF G GAAP"}</definedName>
    <definedName name="wrn.CashFlowGermanGAAP2000_2009." localSheetId="28" hidden="1">{"CFGGAAP1a",#N/A,FALSE,"CF G GAAP"}</definedName>
    <definedName name="wrn.CashFlowGermanGAAP2000_2009." localSheetId="33" hidden="1">{"CFGGAAP1a",#N/A,FALSE,"CF G GAAP"}</definedName>
    <definedName name="wrn.CashFlowGermanGAAP2000_2009." localSheetId="32" hidden="1">{"CFGGAAP1a",#N/A,FALSE,"CF G GAAP"}</definedName>
    <definedName name="wrn.CashFlowGermanGAAP2000_2009." localSheetId="7" hidden="1">{"CFGGAAP1a",#N/A,FALSE,"CF G GAAP"}</definedName>
    <definedName name="wrn.CashFlowGermanGAAP2000_2009." localSheetId="29" hidden="1">{"CFGGAAP1a",#N/A,FALSE,"CF G GAAP"}</definedName>
    <definedName name="wrn.CashFlowGermanGAAP2000_2009." localSheetId="1" hidden="1">{"CFGGAAP1a",#N/A,FALSE,"CF G GAAP"}</definedName>
    <definedName name="wrn.CashFlowGermanGAAP2000_2009." localSheetId="31" hidden="1">{"CFGGAAP1a",#N/A,FALSE,"CF G GAAP"}</definedName>
    <definedName name="wrn.CashFlowGermanGAAP2000_2009." hidden="1">{"CFGGAAP1a",#N/A,FALSE,"CF G GAAP"}</definedName>
    <definedName name="wrn.CashFlowGermanGAAP2010_2019." localSheetId="12" hidden="1">{"CFGGAAP2a",#N/A,FALSE,"CF G GAAP"}</definedName>
    <definedName name="wrn.CashFlowGermanGAAP2010_2019." localSheetId="18" hidden="1">{"CFGGAAP2a",#N/A,FALSE,"CF G GAAP"}</definedName>
    <definedName name="wrn.CashFlowGermanGAAP2010_2019." localSheetId="19" hidden="1">{"CFGGAAP2a",#N/A,FALSE,"CF G GAAP"}</definedName>
    <definedName name="wrn.CashFlowGermanGAAP2010_2019." localSheetId="17" hidden="1">{"CFGGAAP2a",#N/A,FALSE,"CF G GAAP"}</definedName>
    <definedName name="wrn.CashFlowGermanGAAP2010_2019." localSheetId="22" hidden="1">{"CFGGAAP2a",#N/A,FALSE,"CF G GAAP"}</definedName>
    <definedName name="wrn.CashFlowGermanGAAP2010_2019." localSheetId="10" hidden="1">{"CFGGAAP2a",#N/A,FALSE,"CF G GAAP"}</definedName>
    <definedName name="wrn.CashFlowGermanGAAP2010_2019." localSheetId="30" hidden="1">{"CFGGAAP2a",#N/A,FALSE,"CF G GAAP"}</definedName>
    <definedName name="wrn.CashFlowGermanGAAP2010_2019." localSheetId="0" hidden="1">{"CFGGAAP2a",#N/A,FALSE,"CF G GAAP"}</definedName>
    <definedName name="wrn.CashFlowGermanGAAP2010_2019." localSheetId="3" hidden="1">{"CFGGAAP2a",#N/A,FALSE,"CF G GAAP"}</definedName>
    <definedName name="wrn.CashFlowGermanGAAP2010_2019." localSheetId="4" hidden="1">{"CFGGAAP2a",#N/A,FALSE,"CF G GAAP"}</definedName>
    <definedName name="wrn.CashFlowGermanGAAP2010_2019." localSheetId="28" hidden="1">{"CFGGAAP2a",#N/A,FALSE,"CF G GAAP"}</definedName>
    <definedName name="wrn.CashFlowGermanGAAP2010_2019." localSheetId="33" hidden="1">{"CFGGAAP2a",#N/A,FALSE,"CF G GAAP"}</definedName>
    <definedName name="wrn.CashFlowGermanGAAP2010_2019." localSheetId="32" hidden="1">{"CFGGAAP2a",#N/A,FALSE,"CF G GAAP"}</definedName>
    <definedName name="wrn.CashFlowGermanGAAP2010_2019." localSheetId="7" hidden="1">{"CFGGAAP2a",#N/A,FALSE,"CF G GAAP"}</definedName>
    <definedName name="wrn.CashFlowGermanGAAP2010_2019." localSheetId="29" hidden="1">{"CFGGAAP2a",#N/A,FALSE,"CF G GAAP"}</definedName>
    <definedName name="wrn.CashFlowGermanGAAP2010_2019." localSheetId="1" hidden="1">{"CFGGAAP2a",#N/A,FALSE,"CF G GAAP"}</definedName>
    <definedName name="wrn.CashFlowGermanGAAP2010_2019." localSheetId="31" hidden="1">{"CFGGAAP2a",#N/A,FALSE,"CF G GAAP"}</definedName>
    <definedName name="wrn.CashFlowGermanGAAP2010_2019." hidden="1">{"CFGGAAP2a",#N/A,FALSE,"CF G GAAP"}</definedName>
    <definedName name="wrn.CashFlowUSGAAP2000_2009." localSheetId="12" hidden="1">{"CFUSGAAP1a",#N/A,FALSE,"CF US GAAP"}</definedName>
    <definedName name="wrn.CashFlowUSGAAP2000_2009." localSheetId="18" hidden="1">{"CFUSGAAP1a",#N/A,FALSE,"CF US GAAP"}</definedName>
    <definedName name="wrn.CashFlowUSGAAP2000_2009." localSheetId="19" hidden="1">{"CFUSGAAP1a",#N/A,FALSE,"CF US GAAP"}</definedName>
    <definedName name="wrn.CashFlowUSGAAP2000_2009." localSheetId="17" hidden="1">{"CFUSGAAP1a",#N/A,FALSE,"CF US GAAP"}</definedName>
    <definedName name="wrn.CashFlowUSGAAP2000_2009." localSheetId="22" hidden="1">{"CFUSGAAP1a",#N/A,FALSE,"CF US GAAP"}</definedName>
    <definedName name="wrn.CashFlowUSGAAP2000_2009." localSheetId="10" hidden="1">{"CFUSGAAP1a",#N/A,FALSE,"CF US GAAP"}</definedName>
    <definedName name="wrn.CashFlowUSGAAP2000_2009." localSheetId="30" hidden="1">{"CFUSGAAP1a",#N/A,FALSE,"CF US GAAP"}</definedName>
    <definedName name="wrn.CashFlowUSGAAP2000_2009." localSheetId="0" hidden="1">{"CFUSGAAP1a",#N/A,FALSE,"CF US GAAP"}</definedName>
    <definedName name="wrn.CashFlowUSGAAP2000_2009." localSheetId="3" hidden="1">{"CFUSGAAP1a",#N/A,FALSE,"CF US GAAP"}</definedName>
    <definedName name="wrn.CashFlowUSGAAP2000_2009." localSheetId="4" hidden="1">{"CFUSGAAP1a",#N/A,FALSE,"CF US GAAP"}</definedName>
    <definedName name="wrn.CashFlowUSGAAP2000_2009." localSheetId="28" hidden="1">{"CFUSGAAP1a",#N/A,FALSE,"CF US GAAP"}</definedName>
    <definedName name="wrn.CashFlowUSGAAP2000_2009." localSheetId="33" hidden="1">{"CFUSGAAP1a",#N/A,FALSE,"CF US GAAP"}</definedName>
    <definedName name="wrn.CashFlowUSGAAP2000_2009." localSheetId="32" hidden="1">{"CFUSGAAP1a",#N/A,FALSE,"CF US GAAP"}</definedName>
    <definedName name="wrn.CashFlowUSGAAP2000_2009." localSheetId="7" hidden="1">{"CFUSGAAP1a",#N/A,FALSE,"CF US GAAP"}</definedName>
    <definedName name="wrn.CashFlowUSGAAP2000_2009." localSheetId="29" hidden="1">{"CFUSGAAP1a",#N/A,FALSE,"CF US GAAP"}</definedName>
    <definedName name="wrn.CashFlowUSGAAP2000_2009." localSheetId="1" hidden="1">{"CFUSGAAP1a",#N/A,FALSE,"CF US GAAP"}</definedName>
    <definedName name="wrn.CashFlowUSGAAP2000_2009." localSheetId="31" hidden="1">{"CFUSGAAP1a",#N/A,FALSE,"CF US GAAP"}</definedName>
    <definedName name="wrn.CashFlowUSGAAP2000_2009." hidden="1">{"CFUSGAAP1a",#N/A,FALSE,"CF US GAAP"}</definedName>
    <definedName name="wrn.CashFlowUSGAAP2009_2019." localSheetId="12" hidden="1">{"CFUSGAAP2a",#N/A,FALSE,"CF US GAAP"}</definedName>
    <definedName name="wrn.CashFlowUSGAAP2009_2019." localSheetId="18" hidden="1">{"CFUSGAAP2a",#N/A,FALSE,"CF US GAAP"}</definedName>
    <definedName name="wrn.CashFlowUSGAAP2009_2019." localSheetId="19" hidden="1">{"CFUSGAAP2a",#N/A,FALSE,"CF US GAAP"}</definedName>
    <definedName name="wrn.CashFlowUSGAAP2009_2019." localSheetId="17" hidden="1">{"CFUSGAAP2a",#N/A,FALSE,"CF US GAAP"}</definedName>
    <definedName name="wrn.CashFlowUSGAAP2009_2019." localSheetId="22" hidden="1">{"CFUSGAAP2a",#N/A,FALSE,"CF US GAAP"}</definedName>
    <definedName name="wrn.CashFlowUSGAAP2009_2019." localSheetId="10" hidden="1">{"CFUSGAAP2a",#N/A,FALSE,"CF US GAAP"}</definedName>
    <definedName name="wrn.CashFlowUSGAAP2009_2019." localSheetId="30" hidden="1">{"CFUSGAAP2a",#N/A,FALSE,"CF US GAAP"}</definedName>
    <definedName name="wrn.CashFlowUSGAAP2009_2019." localSheetId="0" hidden="1">{"CFUSGAAP2a",#N/A,FALSE,"CF US GAAP"}</definedName>
    <definedName name="wrn.CashFlowUSGAAP2009_2019." localSheetId="3" hidden="1">{"CFUSGAAP2a",#N/A,FALSE,"CF US GAAP"}</definedName>
    <definedName name="wrn.CashFlowUSGAAP2009_2019." localSheetId="4" hidden="1">{"CFUSGAAP2a",#N/A,FALSE,"CF US GAAP"}</definedName>
    <definedName name="wrn.CashFlowUSGAAP2009_2019." localSheetId="28" hidden="1">{"CFUSGAAP2a",#N/A,FALSE,"CF US GAAP"}</definedName>
    <definedName name="wrn.CashFlowUSGAAP2009_2019." localSheetId="33" hidden="1">{"CFUSGAAP2a",#N/A,FALSE,"CF US GAAP"}</definedName>
    <definedName name="wrn.CashFlowUSGAAP2009_2019." localSheetId="32" hidden="1">{"CFUSGAAP2a",#N/A,FALSE,"CF US GAAP"}</definedName>
    <definedName name="wrn.CashFlowUSGAAP2009_2019." localSheetId="7" hidden="1">{"CFUSGAAP2a",#N/A,FALSE,"CF US GAAP"}</definedName>
    <definedName name="wrn.CashFlowUSGAAP2009_2019." localSheetId="29" hidden="1">{"CFUSGAAP2a",#N/A,FALSE,"CF US GAAP"}</definedName>
    <definedName name="wrn.CashFlowUSGAAP2009_2019." localSheetId="1" hidden="1">{"CFUSGAAP2a",#N/A,FALSE,"CF US GAAP"}</definedName>
    <definedName name="wrn.CashFlowUSGAAP2009_2019." localSheetId="31" hidden="1">{"CFUSGAAP2a",#N/A,FALSE,"CF US GAAP"}</definedName>
    <definedName name="wrn.CashFlowUSGAAP2009_2019." hidden="1">{"CFUSGAAP2a",#N/A,FALSE,"CF US GAAP"}</definedName>
    <definedName name="wrn.Central." localSheetId="12" hidden="1">{"Side 1",#N/A,FALSE,"Hovedark";"Side 2",#N/A,FALSE,"Hovedark";"Side 3",#N/A,FALSE,"Hovedark"}</definedName>
    <definedName name="wrn.Central." localSheetId="18" hidden="1">{"Side 1",#N/A,FALSE,"Hovedark";"Side 2",#N/A,FALSE,"Hovedark";"Side 3",#N/A,FALSE,"Hovedark"}</definedName>
    <definedName name="wrn.Central." localSheetId="19" hidden="1">{"Side 1",#N/A,FALSE,"Hovedark";"Side 2",#N/A,FALSE,"Hovedark";"Side 3",#N/A,FALSE,"Hovedark"}</definedName>
    <definedName name="wrn.Central." localSheetId="17" hidden="1">{"Side 1",#N/A,FALSE,"Hovedark";"Side 2",#N/A,FALSE,"Hovedark";"Side 3",#N/A,FALSE,"Hovedark"}</definedName>
    <definedName name="wrn.Central." localSheetId="22" hidden="1">{"Side 1",#N/A,FALSE,"Hovedark";"Side 2",#N/A,FALSE,"Hovedark";"Side 3",#N/A,FALSE,"Hovedark"}</definedName>
    <definedName name="wrn.Central." localSheetId="10" hidden="1">{"Side 1",#N/A,FALSE,"Hovedark";"Side 2",#N/A,FALSE,"Hovedark";"Side 3",#N/A,FALSE,"Hovedark"}</definedName>
    <definedName name="wrn.Central." localSheetId="30" hidden="1">{"Side 1",#N/A,FALSE,"Hovedark";"Side 2",#N/A,FALSE,"Hovedark";"Side 3",#N/A,FALSE,"Hovedark"}</definedName>
    <definedName name="wrn.Central." localSheetId="0" hidden="1">{"Side 1",#N/A,FALSE,"Hovedark";"Side 2",#N/A,FALSE,"Hovedark";"Side 3",#N/A,FALSE,"Hovedark"}</definedName>
    <definedName name="wrn.Central." localSheetId="3" hidden="1">{"Side 1",#N/A,FALSE,"Hovedark";"Side 2",#N/A,FALSE,"Hovedark";"Side 3",#N/A,FALSE,"Hovedark"}</definedName>
    <definedName name="wrn.Central." localSheetId="4" hidden="1">{"Side 1",#N/A,FALSE,"Hovedark";"Side 2",#N/A,FALSE,"Hovedark";"Side 3",#N/A,FALSE,"Hovedark"}</definedName>
    <definedName name="wrn.Central." localSheetId="28" hidden="1">{"Side 1",#N/A,FALSE,"Hovedark";"Side 2",#N/A,FALSE,"Hovedark";"Side 3",#N/A,FALSE,"Hovedark"}</definedName>
    <definedName name="wrn.Central." localSheetId="33" hidden="1">{"Side 1",#N/A,FALSE,"Hovedark";"Side 2",#N/A,FALSE,"Hovedark";"Side 3",#N/A,FALSE,"Hovedark"}</definedName>
    <definedName name="wrn.Central." localSheetId="32" hidden="1">{"Side 1",#N/A,FALSE,"Hovedark";"Side 2",#N/A,FALSE,"Hovedark";"Side 3",#N/A,FALSE,"Hovedark"}</definedName>
    <definedName name="wrn.Central." localSheetId="7" hidden="1">{"Side 1",#N/A,FALSE,"Hovedark";"Side 2",#N/A,FALSE,"Hovedark";"Side 3",#N/A,FALSE,"Hovedark"}</definedName>
    <definedName name="wrn.Central." localSheetId="29" hidden="1">{"Side 1",#N/A,FALSE,"Hovedark";"Side 2",#N/A,FALSE,"Hovedark";"Side 3",#N/A,FALSE,"Hovedark"}</definedName>
    <definedName name="wrn.Central." localSheetId="1" hidden="1">{"Side 1",#N/A,FALSE,"Hovedark";"Side 2",#N/A,FALSE,"Hovedark";"Side 3",#N/A,FALSE,"Hovedark"}</definedName>
    <definedName name="wrn.Central." localSheetId="31" hidden="1">{"Side 1",#N/A,FALSE,"Hovedark";"Side 2",#N/A,FALSE,"Hovedark";"Side 3",#N/A,FALSE,"Hovedark"}</definedName>
    <definedName name="wrn.Central." hidden="1">{"Side 1",#N/A,FALSE,"Hovedark";"Side 2",#N/A,FALSE,"Hovedark";"Side 3",#N/A,FALSE,"Hovedark"}</definedName>
    <definedName name="wrn.CFGGAAPMSDW." localSheetId="12" hidden="1">{"CFGGAAP1",#N/A,FALSE,"P&amp;L G GAAP";"CFGGAAP2",#N/A,FALSE,"P&amp;L G GAAP"}</definedName>
    <definedName name="wrn.CFGGAAPMSDW." localSheetId="18" hidden="1">{"CFGGAAP1",#N/A,FALSE,"P&amp;L G GAAP";"CFGGAAP2",#N/A,FALSE,"P&amp;L G GAAP"}</definedName>
    <definedName name="wrn.CFGGAAPMSDW." localSheetId="19" hidden="1">{"CFGGAAP1",#N/A,FALSE,"P&amp;L G GAAP";"CFGGAAP2",#N/A,FALSE,"P&amp;L G GAAP"}</definedName>
    <definedName name="wrn.CFGGAAPMSDW." localSheetId="17" hidden="1">{"CFGGAAP1",#N/A,FALSE,"P&amp;L G GAAP";"CFGGAAP2",#N/A,FALSE,"P&amp;L G GAAP"}</definedName>
    <definedName name="wrn.CFGGAAPMSDW." localSheetId="22" hidden="1">{"CFGGAAP1",#N/A,FALSE,"P&amp;L G GAAP";"CFGGAAP2",#N/A,FALSE,"P&amp;L G GAAP"}</definedName>
    <definedName name="wrn.CFGGAAPMSDW." localSheetId="10" hidden="1">{"CFGGAAP1",#N/A,FALSE,"P&amp;L G GAAP";"CFGGAAP2",#N/A,FALSE,"P&amp;L G GAAP"}</definedName>
    <definedName name="wrn.CFGGAAPMSDW." localSheetId="30" hidden="1">{"CFGGAAP1",#N/A,FALSE,"P&amp;L G GAAP";"CFGGAAP2",#N/A,FALSE,"P&amp;L G GAAP"}</definedName>
    <definedName name="wrn.CFGGAAPMSDW." localSheetId="0" hidden="1">{"CFGGAAP1",#N/A,FALSE,"P&amp;L G GAAP";"CFGGAAP2",#N/A,FALSE,"P&amp;L G GAAP"}</definedName>
    <definedName name="wrn.CFGGAAPMSDW." localSheetId="3" hidden="1">{"CFGGAAP1",#N/A,FALSE,"P&amp;L G GAAP";"CFGGAAP2",#N/A,FALSE,"P&amp;L G GAAP"}</definedName>
    <definedName name="wrn.CFGGAAPMSDW." localSheetId="4" hidden="1">{"CFGGAAP1",#N/A,FALSE,"P&amp;L G GAAP";"CFGGAAP2",#N/A,FALSE,"P&amp;L G GAAP"}</definedName>
    <definedName name="wrn.CFGGAAPMSDW." localSheetId="28" hidden="1">{"CFGGAAP1",#N/A,FALSE,"P&amp;L G GAAP";"CFGGAAP2",#N/A,FALSE,"P&amp;L G GAAP"}</definedName>
    <definedName name="wrn.CFGGAAPMSDW." localSheetId="33" hidden="1">{"CFGGAAP1",#N/A,FALSE,"P&amp;L G GAAP";"CFGGAAP2",#N/A,FALSE,"P&amp;L G GAAP"}</definedName>
    <definedName name="wrn.CFGGAAPMSDW." localSheetId="32" hidden="1">{"CFGGAAP1",#N/A,FALSE,"P&amp;L G GAAP";"CFGGAAP2",#N/A,FALSE,"P&amp;L G GAAP"}</definedName>
    <definedName name="wrn.CFGGAAPMSDW." localSheetId="7" hidden="1">{"CFGGAAP1",#N/A,FALSE,"P&amp;L G GAAP";"CFGGAAP2",#N/A,FALSE,"P&amp;L G GAAP"}</definedName>
    <definedName name="wrn.CFGGAAPMSDW." localSheetId="29" hidden="1">{"CFGGAAP1",#N/A,FALSE,"P&amp;L G GAAP";"CFGGAAP2",#N/A,FALSE,"P&amp;L G GAAP"}</definedName>
    <definedName name="wrn.CFGGAAPMSDW." localSheetId="1" hidden="1">{"CFGGAAP1",#N/A,FALSE,"P&amp;L G GAAP";"CFGGAAP2",#N/A,FALSE,"P&amp;L G GAAP"}</definedName>
    <definedName name="wrn.CFGGAAPMSDW." localSheetId="31" hidden="1">{"CFGGAAP1",#N/A,FALSE,"P&amp;L G GAAP";"CFGGAAP2",#N/A,FALSE,"P&amp;L G GAAP"}</definedName>
    <definedName name="wrn.CFGGAAPMSDW." hidden="1">{"CFGGAAP1",#N/A,FALSE,"P&amp;L G GAAP";"CFGGAAP2",#N/A,FALSE,"P&amp;L G GAAP"}</definedName>
    <definedName name="wrn.comps." localSheetId="12" hidden="1">{#N/A,#N/A,FALSE,"Comp"}</definedName>
    <definedName name="wrn.comps." localSheetId="18" hidden="1">{#N/A,#N/A,FALSE,"Comp"}</definedName>
    <definedName name="wrn.comps." localSheetId="19" hidden="1">{#N/A,#N/A,FALSE,"Comp"}</definedName>
    <definedName name="wrn.comps." localSheetId="17" hidden="1">{#N/A,#N/A,FALSE,"Comp"}</definedName>
    <definedName name="wrn.comps." localSheetId="22" hidden="1">{#N/A,#N/A,FALSE,"Comp"}</definedName>
    <definedName name="wrn.comps." localSheetId="10" hidden="1">{#N/A,#N/A,FALSE,"Comp"}</definedName>
    <definedName name="wrn.comps." localSheetId="30" hidden="1">{#N/A,#N/A,FALSE,"Comp"}</definedName>
    <definedName name="wrn.comps." localSheetId="0" hidden="1">{#N/A,#N/A,FALSE,"Comp"}</definedName>
    <definedName name="wrn.comps." localSheetId="3" hidden="1">{#N/A,#N/A,FALSE,"Comp"}</definedName>
    <definedName name="wrn.comps." localSheetId="4" hidden="1">{#N/A,#N/A,FALSE,"Comp"}</definedName>
    <definedName name="wrn.comps." localSheetId="28" hidden="1">{#N/A,#N/A,FALSE,"Comp"}</definedName>
    <definedName name="wrn.comps." localSheetId="33" hidden="1">{#N/A,#N/A,FALSE,"Comp"}</definedName>
    <definedName name="wrn.comps." localSheetId="32" hidden="1">{#N/A,#N/A,FALSE,"Comp"}</definedName>
    <definedName name="wrn.comps." localSheetId="7" hidden="1">{#N/A,#N/A,FALSE,"Comp"}</definedName>
    <definedName name="wrn.comps." localSheetId="29" hidden="1">{#N/A,#N/A,FALSE,"Comp"}</definedName>
    <definedName name="wrn.comps." localSheetId="1" hidden="1">{#N/A,#N/A,FALSE,"Comp"}</definedName>
    <definedName name="wrn.comps." localSheetId="31" hidden="1">{#N/A,#N/A,FALSE,"Comp"}</definedName>
    <definedName name="wrn.comps." hidden="1">{#N/A,#N/A,FALSE,"Comp"}</definedName>
    <definedName name="wrn.contribution." localSheetId="12" hidden="1">{#N/A,#N/A,FALSE,"Contribution Analysis"}</definedName>
    <definedName name="wrn.contribution." localSheetId="18" hidden="1">{#N/A,#N/A,FALSE,"Contribution Analysis"}</definedName>
    <definedName name="wrn.contribution." localSheetId="19" hidden="1">{#N/A,#N/A,FALSE,"Contribution Analysis"}</definedName>
    <definedName name="wrn.contribution." localSheetId="17" hidden="1">{#N/A,#N/A,FALSE,"Contribution Analysis"}</definedName>
    <definedName name="wrn.contribution." localSheetId="22" hidden="1">{#N/A,#N/A,FALSE,"Contribution Analysis"}</definedName>
    <definedName name="wrn.contribution." localSheetId="10" hidden="1">{#N/A,#N/A,FALSE,"Contribution Analysis"}</definedName>
    <definedName name="wrn.contribution." localSheetId="30" hidden="1">{#N/A,#N/A,FALSE,"Contribution Analysis"}</definedName>
    <definedName name="wrn.contribution." localSheetId="0" hidden="1">{#N/A,#N/A,FALSE,"Contribution Analysis"}</definedName>
    <definedName name="wrn.contribution." localSheetId="3" hidden="1">{#N/A,#N/A,FALSE,"Contribution Analysis"}</definedName>
    <definedName name="wrn.contribution." localSheetId="4" hidden="1">{#N/A,#N/A,FALSE,"Contribution Analysis"}</definedName>
    <definedName name="wrn.contribution." localSheetId="28" hidden="1">{#N/A,#N/A,FALSE,"Contribution Analysis"}</definedName>
    <definedName name="wrn.contribution." localSheetId="33" hidden="1">{#N/A,#N/A,FALSE,"Contribution Analysis"}</definedName>
    <definedName name="wrn.contribution." localSheetId="32" hidden="1">{#N/A,#N/A,FALSE,"Contribution Analysis"}</definedName>
    <definedName name="wrn.contribution." localSheetId="7" hidden="1">{#N/A,#N/A,FALSE,"Contribution Analysis"}</definedName>
    <definedName name="wrn.contribution." localSheetId="29" hidden="1">{#N/A,#N/A,FALSE,"Contribution Analysis"}</definedName>
    <definedName name="wrn.contribution." localSheetId="1" hidden="1">{#N/A,#N/A,FALSE,"Contribution Analysis"}</definedName>
    <definedName name="wrn.contribution." localSheetId="31" hidden="1">{#N/A,#N/A,FALSE,"Contribution Analysis"}</definedName>
    <definedName name="wrn.contribution." hidden="1">{#N/A,#N/A,FALSE,"Contribution Analysis"}</definedName>
    <definedName name="wrn.Cover." localSheetId="12" hidden="1">{"coverall",#N/A,FALSE,"Definitions";"cover1",#N/A,FALSE,"Definitions";"cover2",#N/A,FALSE,"Definitions";"cover3",#N/A,FALSE,"Definitions";"cover4",#N/A,FALSE,"Definitions";"cover5",#N/A,FALSE,"Definitions";"blank",#N/A,FALSE,"Definitions"}</definedName>
    <definedName name="wrn.Cover." localSheetId="18" hidden="1">{"coverall",#N/A,FALSE,"Definitions";"cover1",#N/A,FALSE,"Definitions";"cover2",#N/A,FALSE,"Definitions";"cover3",#N/A,FALSE,"Definitions";"cover4",#N/A,FALSE,"Definitions";"cover5",#N/A,FALSE,"Definitions";"blank",#N/A,FALSE,"Definitions"}</definedName>
    <definedName name="wrn.Cover." localSheetId="19" hidden="1">{"coverall",#N/A,FALSE,"Definitions";"cover1",#N/A,FALSE,"Definitions";"cover2",#N/A,FALSE,"Definitions";"cover3",#N/A,FALSE,"Definitions";"cover4",#N/A,FALSE,"Definitions";"cover5",#N/A,FALSE,"Definitions";"blank",#N/A,FALSE,"Definitions"}</definedName>
    <definedName name="wrn.Cover." localSheetId="17" hidden="1">{"coverall",#N/A,FALSE,"Definitions";"cover1",#N/A,FALSE,"Definitions";"cover2",#N/A,FALSE,"Definitions";"cover3",#N/A,FALSE,"Definitions";"cover4",#N/A,FALSE,"Definitions";"cover5",#N/A,FALSE,"Definitions";"blank",#N/A,FALSE,"Definitions"}</definedName>
    <definedName name="wrn.Cover." localSheetId="22" hidden="1">{"coverall",#N/A,FALSE,"Definitions";"cover1",#N/A,FALSE,"Definitions";"cover2",#N/A,FALSE,"Definitions";"cover3",#N/A,FALSE,"Definitions";"cover4",#N/A,FALSE,"Definitions";"cover5",#N/A,FALSE,"Definitions";"blank",#N/A,FALSE,"Definitions"}</definedName>
    <definedName name="wrn.Cover." localSheetId="10" hidden="1">{"coverall",#N/A,FALSE,"Definitions";"cover1",#N/A,FALSE,"Definitions";"cover2",#N/A,FALSE,"Definitions";"cover3",#N/A,FALSE,"Definitions";"cover4",#N/A,FALSE,"Definitions";"cover5",#N/A,FALSE,"Definitions";"blank",#N/A,FALSE,"Definitions"}</definedName>
    <definedName name="wrn.Cover." localSheetId="30" hidden="1">{"coverall",#N/A,FALSE,"Definitions";"cover1",#N/A,FALSE,"Definitions";"cover2",#N/A,FALSE,"Definitions";"cover3",#N/A,FALSE,"Definitions";"cover4",#N/A,FALSE,"Definitions";"cover5",#N/A,FALSE,"Definitions";"blank",#N/A,FALSE,"Definitions"}</definedName>
    <definedName name="wrn.Cover." localSheetId="0" hidden="1">{"coverall",#N/A,FALSE,"Definitions";"cover1",#N/A,FALSE,"Definitions";"cover2",#N/A,FALSE,"Definitions";"cover3",#N/A,FALSE,"Definitions";"cover4",#N/A,FALSE,"Definitions";"cover5",#N/A,FALSE,"Definitions";"blank",#N/A,FALSE,"Definitions"}</definedName>
    <definedName name="wrn.Cover." localSheetId="3" hidden="1">{"coverall",#N/A,FALSE,"Definitions";"cover1",#N/A,FALSE,"Definitions";"cover2",#N/A,FALSE,"Definitions";"cover3",#N/A,FALSE,"Definitions";"cover4",#N/A,FALSE,"Definitions";"cover5",#N/A,FALSE,"Definitions";"blank",#N/A,FALSE,"Definitions"}</definedName>
    <definedName name="wrn.Cover." localSheetId="4" hidden="1">{"coverall",#N/A,FALSE,"Definitions";"cover1",#N/A,FALSE,"Definitions";"cover2",#N/A,FALSE,"Definitions";"cover3",#N/A,FALSE,"Definitions";"cover4",#N/A,FALSE,"Definitions";"cover5",#N/A,FALSE,"Definitions";"blank",#N/A,FALSE,"Definitions"}</definedName>
    <definedName name="wrn.Cover." localSheetId="28" hidden="1">{"coverall",#N/A,FALSE,"Definitions";"cover1",#N/A,FALSE,"Definitions";"cover2",#N/A,FALSE,"Definitions";"cover3",#N/A,FALSE,"Definitions";"cover4",#N/A,FALSE,"Definitions";"cover5",#N/A,FALSE,"Definitions";"blank",#N/A,FALSE,"Definitions"}</definedName>
    <definedName name="wrn.Cover." localSheetId="33" hidden="1">{"coverall",#N/A,FALSE,"Definitions";"cover1",#N/A,FALSE,"Definitions";"cover2",#N/A,FALSE,"Definitions";"cover3",#N/A,FALSE,"Definitions";"cover4",#N/A,FALSE,"Definitions";"cover5",#N/A,FALSE,"Definitions";"blank",#N/A,FALSE,"Definitions"}</definedName>
    <definedName name="wrn.Cover." localSheetId="32" hidden="1">{"coverall",#N/A,FALSE,"Definitions";"cover1",#N/A,FALSE,"Definitions";"cover2",#N/A,FALSE,"Definitions";"cover3",#N/A,FALSE,"Definitions";"cover4",#N/A,FALSE,"Definitions";"cover5",#N/A,FALSE,"Definitions";"blank",#N/A,FALSE,"Definitions"}</definedName>
    <definedName name="wrn.Cover." localSheetId="7" hidden="1">{"coverall",#N/A,FALSE,"Definitions";"cover1",#N/A,FALSE,"Definitions";"cover2",#N/A,FALSE,"Definitions";"cover3",#N/A,FALSE,"Definitions";"cover4",#N/A,FALSE,"Definitions";"cover5",#N/A,FALSE,"Definitions";"blank",#N/A,FALSE,"Definitions"}</definedName>
    <definedName name="wrn.Cover." localSheetId="29" hidden="1">{"coverall",#N/A,FALSE,"Definitions";"cover1",#N/A,FALSE,"Definitions";"cover2",#N/A,FALSE,"Definitions";"cover3",#N/A,FALSE,"Definitions";"cover4",#N/A,FALSE,"Definitions";"cover5",#N/A,FALSE,"Definitions";"blank",#N/A,FALSE,"Definitions"}</definedName>
    <definedName name="wrn.Cover." localSheetId="1" hidden="1">{"coverall",#N/A,FALSE,"Definitions";"cover1",#N/A,FALSE,"Definitions";"cover2",#N/A,FALSE,"Definitions";"cover3",#N/A,FALSE,"Definitions";"cover4",#N/A,FALSE,"Definitions";"cover5",#N/A,FALSE,"Definitions";"blank",#N/A,FALSE,"Definitions"}</definedName>
    <definedName name="wrn.Cover." localSheetId="31" hidden="1">{"coverall",#N/A,FALSE,"Definitions";"cover1",#N/A,FALSE,"Definitions";"cover2",#N/A,FALSE,"Definitions";"cover3",#N/A,FALSE,"Definitions";"cover4",#N/A,FALSE,"Definitions";"cover5",#N/A,FALSE,"Definitions";"blank",#N/A,FALSE,"Definitions"}</definedName>
    <definedName name="wrn.Cover." hidden="1">{"coverall",#N/A,FALSE,"Definitions";"cover1",#N/A,FALSE,"Definitions";"cover2",#N/A,FALSE,"Definitions";"cover3",#N/A,FALSE,"Definitions";"cover4",#N/A,FALSE,"Definitions";"cover5",#N/A,FALSE,"Definitions";"blank",#N/A,FALSE,"Definitions"}</definedName>
    <definedName name="wrn.csc." localSheetId="12" hidden="1">{"orixcsc",#N/A,FALSE,"ORIX CSC";"orixcsc2",#N/A,FALSE,"ORIX CSC"}</definedName>
    <definedName name="wrn.csc." localSheetId="18" hidden="1">{"orixcsc",#N/A,FALSE,"ORIX CSC";"orixcsc2",#N/A,FALSE,"ORIX CSC"}</definedName>
    <definedName name="wrn.csc." localSheetId="19" hidden="1">{"orixcsc",#N/A,FALSE,"ORIX CSC";"orixcsc2",#N/A,FALSE,"ORIX CSC"}</definedName>
    <definedName name="wrn.csc." localSheetId="17" hidden="1">{"orixcsc",#N/A,FALSE,"ORIX CSC";"orixcsc2",#N/A,FALSE,"ORIX CSC"}</definedName>
    <definedName name="wrn.csc." localSheetId="22" hidden="1">{"orixcsc",#N/A,FALSE,"ORIX CSC";"orixcsc2",#N/A,FALSE,"ORIX CSC"}</definedName>
    <definedName name="wrn.csc." localSheetId="10" hidden="1">{"orixcsc",#N/A,FALSE,"ORIX CSC";"orixcsc2",#N/A,FALSE,"ORIX CSC"}</definedName>
    <definedName name="wrn.csc." localSheetId="30" hidden="1">{"orixcsc",#N/A,FALSE,"ORIX CSC";"orixcsc2",#N/A,FALSE,"ORIX CSC"}</definedName>
    <definedName name="wrn.csc." localSheetId="0" hidden="1">{"orixcsc",#N/A,FALSE,"ORIX CSC";"orixcsc2",#N/A,FALSE,"ORIX CSC"}</definedName>
    <definedName name="wrn.csc." localSheetId="3" hidden="1">{"orixcsc",#N/A,FALSE,"ORIX CSC";"orixcsc2",#N/A,FALSE,"ORIX CSC"}</definedName>
    <definedName name="wrn.csc." localSheetId="4" hidden="1">{"orixcsc",#N/A,FALSE,"ORIX CSC";"orixcsc2",#N/A,FALSE,"ORIX CSC"}</definedName>
    <definedName name="wrn.csc." localSheetId="28" hidden="1">{"orixcsc",#N/A,FALSE,"ORIX CSC";"orixcsc2",#N/A,FALSE,"ORIX CSC"}</definedName>
    <definedName name="wrn.csc." localSheetId="33" hidden="1">{"orixcsc",#N/A,FALSE,"ORIX CSC";"orixcsc2",#N/A,FALSE,"ORIX CSC"}</definedName>
    <definedName name="wrn.csc." localSheetId="32" hidden="1">{"orixcsc",#N/A,FALSE,"ORIX CSC";"orixcsc2",#N/A,FALSE,"ORIX CSC"}</definedName>
    <definedName name="wrn.csc." localSheetId="7" hidden="1">{"orixcsc",#N/A,FALSE,"ORIX CSC";"orixcsc2",#N/A,FALSE,"ORIX CSC"}</definedName>
    <definedName name="wrn.csc." localSheetId="29" hidden="1">{"orixcsc",#N/A,FALSE,"ORIX CSC";"orixcsc2",#N/A,FALSE,"ORIX CSC"}</definedName>
    <definedName name="wrn.csc." localSheetId="1" hidden="1">{"orixcsc",#N/A,FALSE,"ORIX CSC";"orixcsc2",#N/A,FALSE,"ORIX CSC"}</definedName>
    <definedName name="wrn.csc." localSheetId="31" hidden="1">{"orixcsc",#N/A,FALSE,"ORIX CSC";"orixcsc2",#N/A,FALSE,"ORIX CSC"}</definedName>
    <definedName name="wrn.csc." hidden="1">{"orixcsc",#N/A,FALSE,"ORIX CSC";"orixcsc2",#N/A,FALSE,"ORIX CSC"}</definedName>
    <definedName name="wrn.csc2." localSheetId="12" hidden="1">{#N/A,#N/A,FALSE,"ORIX CSC"}</definedName>
    <definedName name="wrn.csc2." localSheetId="18" hidden="1">{#N/A,#N/A,FALSE,"ORIX CSC"}</definedName>
    <definedName name="wrn.csc2." localSheetId="19" hidden="1">{#N/A,#N/A,FALSE,"ORIX CSC"}</definedName>
    <definedName name="wrn.csc2." localSheetId="17" hidden="1">{#N/A,#N/A,FALSE,"ORIX CSC"}</definedName>
    <definedName name="wrn.csc2." localSheetId="22" hidden="1">{#N/A,#N/A,FALSE,"ORIX CSC"}</definedName>
    <definedName name="wrn.csc2." localSheetId="10" hidden="1">{#N/A,#N/A,FALSE,"ORIX CSC"}</definedName>
    <definedName name="wrn.csc2." localSheetId="30" hidden="1">{#N/A,#N/A,FALSE,"ORIX CSC"}</definedName>
    <definedName name="wrn.csc2." localSheetId="0" hidden="1">{#N/A,#N/A,FALSE,"ORIX CSC"}</definedName>
    <definedName name="wrn.csc2." localSheetId="3" hidden="1">{#N/A,#N/A,FALSE,"ORIX CSC"}</definedName>
    <definedName name="wrn.csc2." localSheetId="4" hidden="1">{#N/A,#N/A,FALSE,"ORIX CSC"}</definedName>
    <definedName name="wrn.csc2." localSheetId="28" hidden="1">{#N/A,#N/A,FALSE,"ORIX CSC"}</definedName>
    <definedName name="wrn.csc2." localSheetId="33" hidden="1">{#N/A,#N/A,FALSE,"ORIX CSC"}</definedName>
    <definedName name="wrn.csc2." localSheetId="32" hidden="1">{#N/A,#N/A,FALSE,"ORIX CSC"}</definedName>
    <definedName name="wrn.csc2." localSheetId="7" hidden="1">{#N/A,#N/A,FALSE,"ORIX CSC"}</definedName>
    <definedName name="wrn.csc2." localSheetId="29" hidden="1">{#N/A,#N/A,FALSE,"ORIX CSC"}</definedName>
    <definedName name="wrn.csc2." localSheetId="1" hidden="1">{#N/A,#N/A,FALSE,"ORIX CSC"}</definedName>
    <definedName name="wrn.csc2." localSheetId="31" hidden="1">{#N/A,#N/A,FALSE,"ORIX CSC"}</definedName>
    <definedName name="wrn.csc2." hidden="1">{#N/A,#N/A,FALSE,"ORIX CSC"}</definedName>
    <definedName name="wrn.Dahl." localSheetId="12" hidden="1">{"Resultat",#N/A,TRUE,"Hovedtal";"Balance",#N/A,TRUE,"Hovedtal";"Cash_Flow",#N/A,TRUE,"Hovedtal"}</definedName>
    <definedName name="wrn.Dahl." localSheetId="18" hidden="1">{"Resultat",#N/A,TRUE,"Hovedtal";"Balance",#N/A,TRUE,"Hovedtal";"Cash_Flow",#N/A,TRUE,"Hovedtal"}</definedName>
    <definedName name="wrn.Dahl." localSheetId="19" hidden="1">{"Resultat",#N/A,TRUE,"Hovedtal";"Balance",#N/A,TRUE,"Hovedtal";"Cash_Flow",#N/A,TRUE,"Hovedtal"}</definedName>
    <definedName name="wrn.Dahl." localSheetId="17" hidden="1">{"Resultat",#N/A,TRUE,"Hovedtal";"Balance",#N/A,TRUE,"Hovedtal";"Cash_Flow",#N/A,TRUE,"Hovedtal"}</definedName>
    <definedName name="wrn.Dahl." localSheetId="22" hidden="1">{"Resultat",#N/A,TRUE,"Hovedtal";"Balance",#N/A,TRUE,"Hovedtal";"Cash_Flow",#N/A,TRUE,"Hovedtal"}</definedName>
    <definedName name="wrn.Dahl." localSheetId="10" hidden="1">{"Resultat",#N/A,TRUE,"Hovedtal";"Balance",#N/A,TRUE,"Hovedtal";"Cash_Flow",#N/A,TRUE,"Hovedtal"}</definedName>
    <definedName name="wrn.Dahl." localSheetId="30" hidden="1">{"Resultat",#N/A,TRUE,"Hovedtal";"Balance",#N/A,TRUE,"Hovedtal";"Cash_Flow",#N/A,TRUE,"Hovedtal"}</definedName>
    <definedName name="wrn.Dahl." localSheetId="0" hidden="1">{"Resultat",#N/A,TRUE,"Hovedtal";"Balance",#N/A,TRUE,"Hovedtal";"Cash_Flow",#N/A,TRUE,"Hovedtal"}</definedName>
    <definedName name="wrn.Dahl." localSheetId="3" hidden="1">{"Resultat",#N/A,TRUE,"Hovedtal";"Balance",#N/A,TRUE,"Hovedtal";"Cash_Flow",#N/A,TRUE,"Hovedtal"}</definedName>
    <definedName name="wrn.Dahl." localSheetId="4" hidden="1">{"Resultat",#N/A,TRUE,"Hovedtal";"Balance",#N/A,TRUE,"Hovedtal";"Cash_Flow",#N/A,TRUE,"Hovedtal"}</definedName>
    <definedName name="wrn.Dahl." localSheetId="28" hidden="1">{"Resultat",#N/A,TRUE,"Hovedtal";"Balance",#N/A,TRUE,"Hovedtal";"Cash_Flow",#N/A,TRUE,"Hovedtal"}</definedName>
    <definedName name="wrn.Dahl." localSheetId="33" hidden="1">{"Resultat",#N/A,TRUE,"Hovedtal";"Balance",#N/A,TRUE,"Hovedtal";"Cash_Flow",#N/A,TRUE,"Hovedtal"}</definedName>
    <definedName name="wrn.Dahl." localSheetId="32" hidden="1">{"Resultat",#N/A,TRUE,"Hovedtal";"Balance",#N/A,TRUE,"Hovedtal";"Cash_Flow",#N/A,TRUE,"Hovedtal"}</definedName>
    <definedName name="wrn.Dahl." localSheetId="7" hidden="1">{"Resultat",#N/A,TRUE,"Hovedtal";"Balance",#N/A,TRUE,"Hovedtal";"Cash_Flow",#N/A,TRUE,"Hovedtal"}</definedName>
    <definedName name="wrn.Dahl." localSheetId="29" hidden="1">{"Resultat",#N/A,TRUE,"Hovedtal";"Balance",#N/A,TRUE,"Hovedtal";"Cash_Flow",#N/A,TRUE,"Hovedtal"}</definedName>
    <definedName name="wrn.Dahl." localSheetId="1" hidden="1">{"Resultat",#N/A,TRUE,"Hovedtal";"Balance",#N/A,TRUE,"Hovedtal";"Cash_Flow",#N/A,TRUE,"Hovedtal"}</definedName>
    <definedName name="wrn.Dahl." localSheetId="31" hidden="1">{"Resultat",#N/A,TRUE,"Hovedtal";"Balance",#N/A,TRUE,"Hovedtal";"Cash_Flow",#N/A,TRUE,"Hovedtal"}</definedName>
    <definedName name="wrn.Dahl." hidden="1">{"Resultat",#N/A,TRUE,"Hovedtal";"Balance",#N/A,TRUE,"Hovedtal";"Cash_Flow",#N/A,TRUE,"Hovedtal"}</definedName>
    <definedName name="wrn.database." localSheetId="12" hidden="1">{"subs",#N/A,FALSE,"database ";"proportional",#N/A,FALSE,"database "}</definedName>
    <definedName name="wrn.database." localSheetId="18" hidden="1">{"subs",#N/A,FALSE,"database ";"proportional",#N/A,FALSE,"database "}</definedName>
    <definedName name="wrn.database." localSheetId="19" hidden="1">{"subs",#N/A,FALSE,"database ";"proportional",#N/A,FALSE,"database "}</definedName>
    <definedName name="wrn.database." localSheetId="17" hidden="1">{"subs",#N/A,FALSE,"database ";"proportional",#N/A,FALSE,"database "}</definedName>
    <definedName name="wrn.database." localSheetId="22" hidden="1">{"subs",#N/A,FALSE,"database ";"proportional",#N/A,FALSE,"database "}</definedName>
    <definedName name="wrn.database." localSheetId="10" hidden="1">{"subs",#N/A,FALSE,"database ";"proportional",#N/A,FALSE,"database "}</definedName>
    <definedName name="wrn.database." localSheetId="30" hidden="1">{"subs",#N/A,FALSE,"database ";"proportional",#N/A,FALSE,"database "}</definedName>
    <definedName name="wrn.database." localSheetId="0" hidden="1">{"subs",#N/A,FALSE,"database ";"proportional",#N/A,FALSE,"database "}</definedName>
    <definedName name="wrn.database." localSheetId="3" hidden="1">{"subs",#N/A,FALSE,"database ";"proportional",#N/A,FALSE,"database "}</definedName>
    <definedName name="wrn.database." localSheetId="4" hidden="1">{"subs",#N/A,FALSE,"database ";"proportional",#N/A,FALSE,"database "}</definedName>
    <definedName name="wrn.database." localSheetId="28" hidden="1">{"subs",#N/A,FALSE,"database ";"proportional",#N/A,FALSE,"database "}</definedName>
    <definedName name="wrn.database." localSheetId="33" hidden="1">{"subs",#N/A,FALSE,"database ";"proportional",#N/A,FALSE,"database "}</definedName>
    <definedName name="wrn.database." localSheetId="32" hidden="1">{"subs",#N/A,FALSE,"database ";"proportional",#N/A,FALSE,"database "}</definedName>
    <definedName name="wrn.database." localSheetId="7" hidden="1">{"subs",#N/A,FALSE,"database ";"proportional",#N/A,FALSE,"database "}</definedName>
    <definedName name="wrn.database." localSheetId="29" hidden="1">{"subs",#N/A,FALSE,"database ";"proportional",#N/A,FALSE,"database "}</definedName>
    <definedName name="wrn.database." localSheetId="1" hidden="1">{"subs",#N/A,FALSE,"database ";"proportional",#N/A,FALSE,"database "}</definedName>
    <definedName name="wrn.database." localSheetId="31" hidden="1">{"subs",#N/A,FALSE,"database ";"proportional",#N/A,FALSE,"database "}</definedName>
    <definedName name="wrn.database." hidden="1">{"subs",#N/A,FALSE,"database ";"proportional",#N/A,FALSE,"database "}</definedName>
    <definedName name="wrn.dcf." localSheetId="12" hidden="1">{"mgmt forecast",#N/A,FALSE,"Mgmt Forecast";"dcf table",#N/A,FALSE,"Mgmt Forecast";"sensitivity",#N/A,FALSE,"Mgmt Forecast";"table inputs",#N/A,FALSE,"Mgmt Forecast";"calculations",#N/A,FALSE,"Mgmt Forecast"}</definedName>
    <definedName name="wrn.dcf." localSheetId="18" hidden="1">{"mgmt forecast",#N/A,FALSE,"Mgmt Forecast";"dcf table",#N/A,FALSE,"Mgmt Forecast";"sensitivity",#N/A,FALSE,"Mgmt Forecast";"table inputs",#N/A,FALSE,"Mgmt Forecast";"calculations",#N/A,FALSE,"Mgmt Forecast"}</definedName>
    <definedName name="wrn.dcf." localSheetId="19" hidden="1">{"mgmt forecast",#N/A,FALSE,"Mgmt Forecast";"dcf table",#N/A,FALSE,"Mgmt Forecast";"sensitivity",#N/A,FALSE,"Mgmt Forecast";"table inputs",#N/A,FALSE,"Mgmt Forecast";"calculations",#N/A,FALSE,"Mgmt Forecast"}</definedName>
    <definedName name="wrn.dcf." localSheetId="17" hidden="1">{"mgmt forecast",#N/A,FALSE,"Mgmt Forecast";"dcf table",#N/A,FALSE,"Mgmt Forecast";"sensitivity",#N/A,FALSE,"Mgmt Forecast";"table inputs",#N/A,FALSE,"Mgmt Forecast";"calculations",#N/A,FALSE,"Mgmt Forecast"}</definedName>
    <definedName name="wrn.dcf." localSheetId="22" hidden="1">{"mgmt forecast",#N/A,FALSE,"Mgmt Forecast";"dcf table",#N/A,FALSE,"Mgmt Forecast";"sensitivity",#N/A,FALSE,"Mgmt Forecast";"table inputs",#N/A,FALSE,"Mgmt Forecast";"calculations",#N/A,FALSE,"Mgmt Forecast"}</definedName>
    <definedName name="wrn.dcf." localSheetId="10" hidden="1">{"mgmt forecast",#N/A,FALSE,"Mgmt Forecast";"dcf table",#N/A,FALSE,"Mgmt Forecast";"sensitivity",#N/A,FALSE,"Mgmt Forecast";"table inputs",#N/A,FALSE,"Mgmt Forecast";"calculations",#N/A,FALSE,"Mgmt Forecast"}</definedName>
    <definedName name="wrn.dcf." localSheetId="30" hidden="1">{"mgmt forecast",#N/A,FALSE,"Mgmt Forecast";"dcf table",#N/A,FALSE,"Mgmt Forecast";"sensitivity",#N/A,FALSE,"Mgmt Forecast";"table inputs",#N/A,FALSE,"Mgmt Forecast";"calculations",#N/A,FALSE,"Mgmt Forecast"}</definedName>
    <definedName name="wrn.dcf." localSheetId="0" hidden="1">{"mgmt forecast",#N/A,FALSE,"Mgmt Forecast";"dcf table",#N/A,FALSE,"Mgmt Forecast";"sensitivity",#N/A,FALSE,"Mgmt Forecast";"table inputs",#N/A,FALSE,"Mgmt Forecast";"calculations",#N/A,FALSE,"Mgmt Forecast"}</definedName>
    <definedName name="wrn.dcf." localSheetId="3" hidden="1">{"mgmt forecast",#N/A,FALSE,"Mgmt Forecast";"dcf table",#N/A,FALSE,"Mgmt Forecast";"sensitivity",#N/A,FALSE,"Mgmt Forecast";"table inputs",#N/A,FALSE,"Mgmt Forecast";"calculations",#N/A,FALSE,"Mgmt Forecast"}</definedName>
    <definedName name="wrn.dcf." localSheetId="4" hidden="1">{"mgmt forecast",#N/A,FALSE,"Mgmt Forecast";"dcf table",#N/A,FALSE,"Mgmt Forecast";"sensitivity",#N/A,FALSE,"Mgmt Forecast";"table inputs",#N/A,FALSE,"Mgmt Forecast";"calculations",#N/A,FALSE,"Mgmt Forecast"}</definedName>
    <definedName name="wrn.dcf." localSheetId="28" hidden="1">{"mgmt forecast",#N/A,FALSE,"Mgmt Forecast";"dcf table",#N/A,FALSE,"Mgmt Forecast";"sensitivity",#N/A,FALSE,"Mgmt Forecast";"table inputs",#N/A,FALSE,"Mgmt Forecast";"calculations",#N/A,FALSE,"Mgmt Forecast"}</definedName>
    <definedName name="wrn.dcf." localSheetId="33" hidden="1">{"mgmt forecast",#N/A,FALSE,"Mgmt Forecast";"dcf table",#N/A,FALSE,"Mgmt Forecast";"sensitivity",#N/A,FALSE,"Mgmt Forecast";"table inputs",#N/A,FALSE,"Mgmt Forecast";"calculations",#N/A,FALSE,"Mgmt Forecast"}</definedName>
    <definedName name="wrn.dcf." localSheetId="32" hidden="1">{"mgmt forecast",#N/A,FALSE,"Mgmt Forecast";"dcf table",#N/A,FALSE,"Mgmt Forecast";"sensitivity",#N/A,FALSE,"Mgmt Forecast";"table inputs",#N/A,FALSE,"Mgmt Forecast";"calculations",#N/A,FALSE,"Mgmt Forecast"}</definedName>
    <definedName name="wrn.dcf." localSheetId="7" hidden="1">{"mgmt forecast",#N/A,FALSE,"Mgmt Forecast";"dcf table",#N/A,FALSE,"Mgmt Forecast";"sensitivity",#N/A,FALSE,"Mgmt Forecast";"table inputs",#N/A,FALSE,"Mgmt Forecast";"calculations",#N/A,FALSE,"Mgmt Forecast"}</definedName>
    <definedName name="wrn.dcf." localSheetId="29" hidden="1">{"mgmt forecast",#N/A,FALSE,"Mgmt Forecast";"dcf table",#N/A,FALSE,"Mgmt Forecast";"sensitivity",#N/A,FALSE,"Mgmt Forecast";"table inputs",#N/A,FALSE,"Mgmt Forecast";"calculations",#N/A,FALSE,"Mgmt Forecast"}</definedName>
    <definedName name="wrn.dcf." localSheetId="1" hidden="1">{"mgmt forecast",#N/A,FALSE,"Mgmt Forecast";"dcf table",#N/A,FALSE,"Mgmt Forecast";"sensitivity",#N/A,FALSE,"Mgmt Forecast";"table inputs",#N/A,FALSE,"Mgmt Forecast";"calculations",#N/A,FALSE,"Mgmt Forecast"}</definedName>
    <definedName name="wrn.dcf." localSheetId="31" hidden="1">{"mgmt forecast",#N/A,FALSE,"Mgmt Forecast";"dcf table",#N/A,FALSE,"Mgmt Forecast";"sensitivity",#N/A,FALSE,"Mgmt Forecast";"table inputs",#N/A,FALSE,"Mgmt Forecast";"calculations",#N/A,FALSE,"Mgmt Forecast"}</definedName>
    <definedName name="wrn.dcf." hidden="1">{"mgmt forecast",#N/A,FALSE,"Mgmt Forecast";"dcf table",#N/A,FALSE,"Mgmt Forecast";"sensitivity",#N/A,FALSE,"Mgmt Forecast";"table inputs",#N/A,FALSE,"Mgmt Forecast";"calculations",#N/A,FALSE,"Mgmt Forecast"}</definedName>
    <definedName name="wrn.dcf2" localSheetId="12" hidden="1">{"mgmt forecast",#N/A,FALSE,"Mgmt Forecast";"dcf table",#N/A,FALSE,"Mgmt Forecast";"sensitivity",#N/A,FALSE,"Mgmt Forecast";"table inputs",#N/A,FALSE,"Mgmt Forecast";"calculations",#N/A,FALSE,"Mgmt Forecast"}</definedName>
    <definedName name="wrn.dcf2" localSheetId="18" hidden="1">{"mgmt forecast",#N/A,FALSE,"Mgmt Forecast";"dcf table",#N/A,FALSE,"Mgmt Forecast";"sensitivity",#N/A,FALSE,"Mgmt Forecast";"table inputs",#N/A,FALSE,"Mgmt Forecast";"calculations",#N/A,FALSE,"Mgmt Forecast"}</definedName>
    <definedName name="wrn.dcf2" localSheetId="19" hidden="1">{"mgmt forecast",#N/A,FALSE,"Mgmt Forecast";"dcf table",#N/A,FALSE,"Mgmt Forecast";"sensitivity",#N/A,FALSE,"Mgmt Forecast";"table inputs",#N/A,FALSE,"Mgmt Forecast";"calculations",#N/A,FALSE,"Mgmt Forecast"}</definedName>
    <definedName name="wrn.dcf2" localSheetId="17" hidden="1">{"mgmt forecast",#N/A,FALSE,"Mgmt Forecast";"dcf table",#N/A,FALSE,"Mgmt Forecast";"sensitivity",#N/A,FALSE,"Mgmt Forecast";"table inputs",#N/A,FALSE,"Mgmt Forecast";"calculations",#N/A,FALSE,"Mgmt Forecast"}</definedName>
    <definedName name="wrn.dcf2" localSheetId="22" hidden="1">{"mgmt forecast",#N/A,FALSE,"Mgmt Forecast";"dcf table",#N/A,FALSE,"Mgmt Forecast";"sensitivity",#N/A,FALSE,"Mgmt Forecast";"table inputs",#N/A,FALSE,"Mgmt Forecast";"calculations",#N/A,FALSE,"Mgmt Forecast"}</definedName>
    <definedName name="wrn.dcf2" localSheetId="10" hidden="1">{"mgmt forecast",#N/A,FALSE,"Mgmt Forecast";"dcf table",#N/A,FALSE,"Mgmt Forecast";"sensitivity",#N/A,FALSE,"Mgmt Forecast";"table inputs",#N/A,FALSE,"Mgmt Forecast";"calculations",#N/A,FALSE,"Mgmt Forecast"}</definedName>
    <definedName name="wrn.dcf2" localSheetId="30" hidden="1">{"mgmt forecast",#N/A,FALSE,"Mgmt Forecast";"dcf table",#N/A,FALSE,"Mgmt Forecast";"sensitivity",#N/A,FALSE,"Mgmt Forecast";"table inputs",#N/A,FALSE,"Mgmt Forecast";"calculations",#N/A,FALSE,"Mgmt Forecast"}</definedName>
    <definedName name="wrn.dcf2" localSheetId="0" hidden="1">{"mgmt forecast",#N/A,FALSE,"Mgmt Forecast";"dcf table",#N/A,FALSE,"Mgmt Forecast";"sensitivity",#N/A,FALSE,"Mgmt Forecast";"table inputs",#N/A,FALSE,"Mgmt Forecast";"calculations",#N/A,FALSE,"Mgmt Forecast"}</definedName>
    <definedName name="wrn.dcf2" localSheetId="3" hidden="1">{"mgmt forecast",#N/A,FALSE,"Mgmt Forecast";"dcf table",#N/A,FALSE,"Mgmt Forecast";"sensitivity",#N/A,FALSE,"Mgmt Forecast";"table inputs",#N/A,FALSE,"Mgmt Forecast";"calculations",#N/A,FALSE,"Mgmt Forecast"}</definedName>
    <definedName name="wrn.dcf2" localSheetId="4" hidden="1">{"mgmt forecast",#N/A,FALSE,"Mgmt Forecast";"dcf table",#N/A,FALSE,"Mgmt Forecast";"sensitivity",#N/A,FALSE,"Mgmt Forecast";"table inputs",#N/A,FALSE,"Mgmt Forecast";"calculations",#N/A,FALSE,"Mgmt Forecast"}</definedName>
    <definedName name="wrn.dcf2" localSheetId="28" hidden="1">{"mgmt forecast",#N/A,FALSE,"Mgmt Forecast";"dcf table",#N/A,FALSE,"Mgmt Forecast";"sensitivity",#N/A,FALSE,"Mgmt Forecast";"table inputs",#N/A,FALSE,"Mgmt Forecast";"calculations",#N/A,FALSE,"Mgmt Forecast"}</definedName>
    <definedName name="wrn.dcf2" localSheetId="33" hidden="1">{"mgmt forecast",#N/A,FALSE,"Mgmt Forecast";"dcf table",#N/A,FALSE,"Mgmt Forecast";"sensitivity",#N/A,FALSE,"Mgmt Forecast";"table inputs",#N/A,FALSE,"Mgmt Forecast";"calculations",#N/A,FALSE,"Mgmt Forecast"}</definedName>
    <definedName name="wrn.dcf2" localSheetId="32" hidden="1">{"mgmt forecast",#N/A,FALSE,"Mgmt Forecast";"dcf table",#N/A,FALSE,"Mgmt Forecast";"sensitivity",#N/A,FALSE,"Mgmt Forecast";"table inputs",#N/A,FALSE,"Mgmt Forecast";"calculations",#N/A,FALSE,"Mgmt Forecast"}</definedName>
    <definedName name="wrn.dcf2" localSheetId="7" hidden="1">{"mgmt forecast",#N/A,FALSE,"Mgmt Forecast";"dcf table",#N/A,FALSE,"Mgmt Forecast";"sensitivity",#N/A,FALSE,"Mgmt Forecast";"table inputs",#N/A,FALSE,"Mgmt Forecast";"calculations",#N/A,FALSE,"Mgmt Forecast"}</definedName>
    <definedName name="wrn.dcf2" localSheetId="29" hidden="1">{"mgmt forecast",#N/A,FALSE,"Mgmt Forecast";"dcf table",#N/A,FALSE,"Mgmt Forecast";"sensitivity",#N/A,FALSE,"Mgmt Forecast";"table inputs",#N/A,FALSE,"Mgmt Forecast";"calculations",#N/A,FALSE,"Mgmt Forecast"}</definedName>
    <definedName name="wrn.dcf2" localSheetId="1" hidden="1">{"mgmt forecast",#N/A,FALSE,"Mgmt Forecast";"dcf table",#N/A,FALSE,"Mgmt Forecast";"sensitivity",#N/A,FALSE,"Mgmt Forecast";"table inputs",#N/A,FALSE,"Mgmt Forecast";"calculations",#N/A,FALSE,"Mgmt Forecast"}</definedName>
    <definedName name="wrn.dcf2" localSheetId="31" hidden="1">{"mgmt forecast",#N/A,FALSE,"Mgmt Forecast";"dcf table",#N/A,FALSE,"Mgmt Forecast";"sensitivity",#N/A,FALSE,"Mgmt Forecast";"table inputs",#N/A,FALSE,"Mgmt Forecast";"calculations",#N/A,FALSE,"Mgmt Forecast"}</definedName>
    <definedName name="wrn.dcf2" hidden="1">{"mgmt forecast",#N/A,FALSE,"Mgmt Forecast";"dcf table",#N/A,FALSE,"Mgmt Forecast";"sensitivity",#N/A,FALSE,"Mgmt Forecast";"table inputs",#N/A,FALSE,"Mgmt Forecast";"calculations",#N/A,FALSE,"Mgmt Forecast"}</definedName>
    <definedName name="wrn.dcf3" localSheetId="12" hidden="1">{"mgmt forecast",#N/A,FALSE,"Mgmt Forecast";"dcf table",#N/A,FALSE,"Mgmt Forecast";"sensitivity",#N/A,FALSE,"Mgmt Forecast";"table inputs",#N/A,FALSE,"Mgmt Forecast";"calculations",#N/A,FALSE,"Mgmt Forecast"}</definedName>
    <definedName name="wrn.dcf3" localSheetId="18" hidden="1">{"mgmt forecast",#N/A,FALSE,"Mgmt Forecast";"dcf table",#N/A,FALSE,"Mgmt Forecast";"sensitivity",#N/A,FALSE,"Mgmt Forecast";"table inputs",#N/A,FALSE,"Mgmt Forecast";"calculations",#N/A,FALSE,"Mgmt Forecast"}</definedName>
    <definedName name="wrn.dcf3" localSheetId="19" hidden="1">{"mgmt forecast",#N/A,FALSE,"Mgmt Forecast";"dcf table",#N/A,FALSE,"Mgmt Forecast";"sensitivity",#N/A,FALSE,"Mgmt Forecast";"table inputs",#N/A,FALSE,"Mgmt Forecast";"calculations",#N/A,FALSE,"Mgmt Forecast"}</definedName>
    <definedName name="wrn.dcf3" localSheetId="17" hidden="1">{"mgmt forecast",#N/A,FALSE,"Mgmt Forecast";"dcf table",#N/A,FALSE,"Mgmt Forecast";"sensitivity",#N/A,FALSE,"Mgmt Forecast";"table inputs",#N/A,FALSE,"Mgmt Forecast";"calculations",#N/A,FALSE,"Mgmt Forecast"}</definedName>
    <definedName name="wrn.dcf3" localSheetId="22" hidden="1">{"mgmt forecast",#N/A,FALSE,"Mgmt Forecast";"dcf table",#N/A,FALSE,"Mgmt Forecast";"sensitivity",#N/A,FALSE,"Mgmt Forecast";"table inputs",#N/A,FALSE,"Mgmt Forecast";"calculations",#N/A,FALSE,"Mgmt Forecast"}</definedName>
    <definedName name="wrn.dcf3" localSheetId="10" hidden="1">{"mgmt forecast",#N/A,FALSE,"Mgmt Forecast";"dcf table",#N/A,FALSE,"Mgmt Forecast";"sensitivity",#N/A,FALSE,"Mgmt Forecast";"table inputs",#N/A,FALSE,"Mgmt Forecast";"calculations",#N/A,FALSE,"Mgmt Forecast"}</definedName>
    <definedName name="wrn.dcf3" localSheetId="30" hidden="1">{"mgmt forecast",#N/A,FALSE,"Mgmt Forecast";"dcf table",#N/A,FALSE,"Mgmt Forecast";"sensitivity",#N/A,FALSE,"Mgmt Forecast";"table inputs",#N/A,FALSE,"Mgmt Forecast";"calculations",#N/A,FALSE,"Mgmt Forecast"}</definedName>
    <definedName name="wrn.dcf3" localSheetId="0" hidden="1">{"mgmt forecast",#N/A,FALSE,"Mgmt Forecast";"dcf table",#N/A,FALSE,"Mgmt Forecast";"sensitivity",#N/A,FALSE,"Mgmt Forecast";"table inputs",#N/A,FALSE,"Mgmt Forecast";"calculations",#N/A,FALSE,"Mgmt Forecast"}</definedName>
    <definedName name="wrn.dcf3" localSheetId="3" hidden="1">{"mgmt forecast",#N/A,FALSE,"Mgmt Forecast";"dcf table",#N/A,FALSE,"Mgmt Forecast";"sensitivity",#N/A,FALSE,"Mgmt Forecast";"table inputs",#N/A,FALSE,"Mgmt Forecast";"calculations",#N/A,FALSE,"Mgmt Forecast"}</definedName>
    <definedName name="wrn.dcf3" localSheetId="4" hidden="1">{"mgmt forecast",#N/A,FALSE,"Mgmt Forecast";"dcf table",#N/A,FALSE,"Mgmt Forecast";"sensitivity",#N/A,FALSE,"Mgmt Forecast";"table inputs",#N/A,FALSE,"Mgmt Forecast";"calculations",#N/A,FALSE,"Mgmt Forecast"}</definedName>
    <definedName name="wrn.dcf3" localSheetId="28" hidden="1">{"mgmt forecast",#N/A,FALSE,"Mgmt Forecast";"dcf table",#N/A,FALSE,"Mgmt Forecast";"sensitivity",#N/A,FALSE,"Mgmt Forecast";"table inputs",#N/A,FALSE,"Mgmt Forecast";"calculations",#N/A,FALSE,"Mgmt Forecast"}</definedName>
    <definedName name="wrn.dcf3" localSheetId="33" hidden="1">{"mgmt forecast",#N/A,FALSE,"Mgmt Forecast";"dcf table",#N/A,FALSE,"Mgmt Forecast";"sensitivity",#N/A,FALSE,"Mgmt Forecast";"table inputs",#N/A,FALSE,"Mgmt Forecast";"calculations",#N/A,FALSE,"Mgmt Forecast"}</definedName>
    <definedName name="wrn.dcf3" localSheetId="32" hidden="1">{"mgmt forecast",#N/A,FALSE,"Mgmt Forecast";"dcf table",#N/A,FALSE,"Mgmt Forecast";"sensitivity",#N/A,FALSE,"Mgmt Forecast";"table inputs",#N/A,FALSE,"Mgmt Forecast";"calculations",#N/A,FALSE,"Mgmt Forecast"}</definedName>
    <definedName name="wrn.dcf3" localSheetId="7" hidden="1">{"mgmt forecast",#N/A,FALSE,"Mgmt Forecast";"dcf table",#N/A,FALSE,"Mgmt Forecast";"sensitivity",#N/A,FALSE,"Mgmt Forecast";"table inputs",#N/A,FALSE,"Mgmt Forecast";"calculations",#N/A,FALSE,"Mgmt Forecast"}</definedName>
    <definedName name="wrn.dcf3" localSheetId="29" hidden="1">{"mgmt forecast",#N/A,FALSE,"Mgmt Forecast";"dcf table",#N/A,FALSE,"Mgmt Forecast";"sensitivity",#N/A,FALSE,"Mgmt Forecast";"table inputs",#N/A,FALSE,"Mgmt Forecast";"calculations",#N/A,FALSE,"Mgmt Forecast"}</definedName>
    <definedName name="wrn.dcf3" localSheetId="1" hidden="1">{"mgmt forecast",#N/A,FALSE,"Mgmt Forecast";"dcf table",#N/A,FALSE,"Mgmt Forecast";"sensitivity",#N/A,FALSE,"Mgmt Forecast";"table inputs",#N/A,FALSE,"Mgmt Forecast";"calculations",#N/A,FALSE,"Mgmt Forecast"}</definedName>
    <definedName name="wrn.dcf3" localSheetId="31" hidden="1">{"mgmt forecast",#N/A,FALSE,"Mgmt Forecast";"dcf table",#N/A,FALSE,"Mgmt Forecast";"sensitivity",#N/A,FALSE,"Mgmt Forecast";"table inputs",#N/A,FALSE,"Mgmt Forecast";"calculations",#N/A,FALSE,"Mgmt Forecast"}</definedName>
    <definedName name="wrn.dcf3" hidden="1">{"mgmt forecast",#N/A,FALSE,"Mgmt Forecast";"dcf table",#N/A,FALSE,"Mgmt Forecast";"sensitivity",#N/A,FALSE,"Mgmt Forecast";"table inputs",#N/A,FALSE,"Mgmt Forecast";"calculations",#N/A,FALSE,"Mgmt Forecast"}</definedName>
    <definedName name="wrn.dcf4" localSheetId="12" hidden="1">{"mgmt forecast",#N/A,FALSE,"Mgmt Forecast";"dcf table",#N/A,FALSE,"Mgmt Forecast";"sensitivity",#N/A,FALSE,"Mgmt Forecast";"table inputs",#N/A,FALSE,"Mgmt Forecast";"calculations",#N/A,FALSE,"Mgmt Forecast"}</definedName>
    <definedName name="wrn.dcf4" localSheetId="18" hidden="1">{"mgmt forecast",#N/A,FALSE,"Mgmt Forecast";"dcf table",#N/A,FALSE,"Mgmt Forecast";"sensitivity",#N/A,FALSE,"Mgmt Forecast";"table inputs",#N/A,FALSE,"Mgmt Forecast";"calculations",#N/A,FALSE,"Mgmt Forecast"}</definedName>
    <definedName name="wrn.dcf4" localSheetId="19" hidden="1">{"mgmt forecast",#N/A,FALSE,"Mgmt Forecast";"dcf table",#N/A,FALSE,"Mgmt Forecast";"sensitivity",#N/A,FALSE,"Mgmt Forecast";"table inputs",#N/A,FALSE,"Mgmt Forecast";"calculations",#N/A,FALSE,"Mgmt Forecast"}</definedName>
    <definedName name="wrn.dcf4" localSheetId="17" hidden="1">{"mgmt forecast",#N/A,FALSE,"Mgmt Forecast";"dcf table",#N/A,FALSE,"Mgmt Forecast";"sensitivity",#N/A,FALSE,"Mgmt Forecast";"table inputs",#N/A,FALSE,"Mgmt Forecast";"calculations",#N/A,FALSE,"Mgmt Forecast"}</definedName>
    <definedName name="wrn.dcf4" localSheetId="22" hidden="1">{"mgmt forecast",#N/A,FALSE,"Mgmt Forecast";"dcf table",#N/A,FALSE,"Mgmt Forecast";"sensitivity",#N/A,FALSE,"Mgmt Forecast";"table inputs",#N/A,FALSE,"Mgmt Forecast";"calculations",#N/A,FALSE,"Mgmt Forecast"}</definedName>
    <definedName name="wrn.dcf4" localSheetId="10" hidden="1">{"mgmt forecast",#N/A,FALSE,"Mgmt Forecast";"dcf table",#N/A,FALSE,"Mgmt Forecast";"sensitivity",#N/A,FALSE,"Mgmt Forecast";"table inputs",#N/A,FALSE,"Mgmt Forecast";"calculations",#N/A,FALSE,"Mgmt Forecast"}</definedName>
    <definedName name="wrn.dcf4" localSheetId="30" hidden="1">{"mgmt forecast",#N/A,FALSE,"Mgmt Forecast";"dcf table",#N/A,FALSE,"Mgmt Forecast";"sensitivity",#N/A,FALSE,"Mgmt Forecast";"table inputs",#N/A,FALSE,"Mgmt Forecast";"calculations",#N/A,FALSE,"Mgmt Forecast"}</definedName>
    <definedName name="wrn.dcf4" localSheetId="0" hidden="1">{"mgmt forecast",#N/A,FALSE,"Mgmt Forecast";"dcf table",#N/A,FALSE,"Mgmt Forecast";"sensitivity",#N/A,FALSE,"Mgmt Forecast";"table inputs",#N/A,FALSE,"Mgmt Forecast";"calculations",#N/A,FALSE,"Mgmt Forecast"}</definedName>
    <definedName name="wrn.dcf4" localSheetId="3" hidden="1">{"mgmt forecast",#N/A,FALSE,"Mgmt Forecast";"dcf table",#N/A,FALSE,"Mgmt Forecast";"sensitivity",#N/A,FALSE,"Mgmt Forecast";"table inputs",#N/A,FALSE,"Mgmt Forecast";"calculations",#N/A,FALSE,"Mgmt Forecast"}</definedName>
    <definedName name="wrn.dcf4" localSheetId="4" hidden="1">{"mgmt forecast",#N/A,FALSE,"Mgmt Forecast";"dcf table",#N/A,FALSE,"Mgmt Forecast";"sensitivity",#N/A,FALSE,"Mgmt Forecast";"table inputs",#N/A,FALSE,"Mgmt Forecast";"calculations",#N/A,FALSE,"Mgmt Forecast"}</definedName>
    <definedName name="wrn.dcf4" localSheetId="28" hidden="1">{"mgmt forecast",#N/A,FALSE,"Mgmt Forecast";"dcf table",#N/A,FALSE,"Mgmt Forecast";"sensitivity",#N/A,FALSE,"Mgmt Forecast";"table inputs",#N/A,FALSE,"Mgmt Forecast";"calculations",#N/A,FALSE,"Mgmt Forecast"}</definedName>
    <definedName name="wrn.dcf4" localSheetId="33" hidden="1">{"mgmt forecast",#N/A,FALSE,"Mgmt Forecast";"dcf table",#N/A,FALSE,"Mgmt Forecast";"sensitivity",#N/A,FALSE,"Mgmt Forecast";"table inputs",#N/A,FALSE,"Mgmt Forecast";"calculations",#N/A,FALSE,"Mgmt Forecast"}</definedName>
    <definedName name="wrn.dcf4" localSheetId="32" hidden="1">{"mgmt forecast",#N/A,FALSE,"Mgmt Forecast";"dcf table",#N/A,FALSE,"Mgmt Forecast";"sensitivity",#N/A,FALSE,"Mgmt Forecast";"table inputs",#N/A,FALSE,"Mgmt Forecast";"calculations",#N/A,FALSE,"Mgmt Forecast"}</definedName>
    <definedName name="wrn.dcf4" localSheetId="7" hidden="1">{"mgmt forecast",#N/A,FALSE,"Mgmt Forecast";"dcf table",#N/A,FALSE,"Mgmt Forecast";"sensitivity",#N/A,FALSE,"Mgmt Forecast";"table inputs",#N/A,FALSE,"Mgmt Forecast";"calculations",#N/A,FALSE,"Mgmt Forecast"}</definedName>
    <definedName name="wrn.dcf4" localSheetId="29" hidden="1">{"mgmt forecast",#N/A,FALSE,"Mgmt Forecast";"dcf table",#N/A,FALSE,"Mgmt Forecast";"sensitivity",#N/A,FALSE,"Mgmt Forecast";"table inputs",#N/A,FALSE,"Mgmt Forecast";"calculations",#N/A,FALSE,"Mgmt Forecast"}</definedName>
    <definedName name="wrn.dcf4" localSheetId="1" hidden="1">{"mgmt forecast",#N/A,FALSE,"Mgmt Forecast";"dcf table",#N/A,FALSE,"Mgmt Forecast";"sensitivity",#N/A,FALSE,"Mgmt Forecast";"table inputs",#N/A,FALSE,"Mgmt Forecast";"calculations",#N/A,FALSE,"Mgmt Forecast"}</definedName>
    <definedName name="wrn.dcf4" localSheetId="31" hidden="1">{"mgmt forecast",#N/A,FALSE,"Mgmt Forecast";"dcf table",#N/A,FALSE,"Mgmt Forecast";"sensitivity",#N/A,FALSE,"Mgmt Forecast";"table inputs",#N/A,FALSE,"Mgmt Forecast";"calculations",#N/A,FALSE,"Mgmt Forecast"}</definedName>
    <definedName name="wrn.dcf4" hidden="1">{"mgmt forecast",#N/A,FALSE,"Mgmt Forecast";"dcf table",#N/A,FALSE,"Mgmt Forecast";"sensitivity",#N/A,FALSE,"Mgmt Forecast";"table inputs",#N/A,FALSE,"Mgmt Forecast";"calculations",#N/A,FALSE,"Mgmt Forecast"}</definedName>
    <definedName name="wrn.dcf5" localSheetId="12" hidden="1">{"mgmt forecast",#N/A,FALSE,"Mgmt Forecast";"dcf table",#N/A,FALSE,"Mgmt Forecast";"sensitivity",#N/A,FALSE,"Mgmt Forecast";"table inputs",#N/A,FALSE,"Mgmt Forecast";"calculations",#N/A,FALSE,"Mgmt Forecast"}</definedName>
    <definedName name="wrn.dcf5" localSheetId="18" hidden="1">{"mgmt forecast",#N/A,FALSE,"Mgmt Forecast";"dcf table",#N/A,FALSE,"Mgmt Forecast";"sensitivity",#N/A,FALSE,"Mgmt Forecast";"table inputs",#N/A,FALSE,"Mgmt Forecast";"calculations",#N/A,FALSE,"Mgmt Forecast"}</definedName>
    <definedName name="wrn.dcf5" localSheetId="19" hidden="1">{"mgmt forecast",#N/A,FALSE,"Mgmt Forecast";"dcf table",#N/A,FALSE,"Mgmt Forecast";"sensitivity",#N/A,FALSE,"Mgmt Forecast";"table inputs",#N/A,FALSE,"Mgmt Forecast";"calculations",#N/A,FALSE,"Mgmt Forecast"}</definedName>
    <definedName name="wrn.dcf5" localSheetId="17" hidden="1">{"mgmt forecast",#N/A,FALSE,"Mgmt Forecast";"dcf table",#N/A,FALSE,"Mgmt Forecast";"sensitivity",#N/A,FALSE,"Mgmt Forecast";"table inputs",#N/A,FALSE,"Mgmt Forecast";"calculations",#N/A,FALSE,"Mgmt Forecast"}</definedName>
    <definedName name="wrn.dcf5" localSheetId="22" hidden="1">{"mgmt forecast",#N/A,FALSE,"Mgmt Forecast";"dcf table",#N/A,FALSE,"Mgmt Forecast";"sensitivity",#N/A,FALSE,"Mgmt Forecast";"table inputs",#N/A,FALSE,"Mgmt Forecast";"calculations",#N/A,FALSE,"Mgmt Forecast"}</definedName>
    <definedName name="wrn.dcf5" localSheetId="10" hidden="1">{"mgmt forecast",#N/A,FALSE,"Mgmt Forecast";"dcf table",#N/A,FALSE,"Mgmt Forecast";"sensitivity",#N/A,FALSE,"Mgmt Forecast";"table inputs",#N/A,FALSE,"Mgmt Forecast";"calculations",#N/A,FALSE,"Mgmt Forecast"}</definedName>
    <definedName name="wrn.dcf5" localSheetId="30" hidden="1">{"mgmt forecast",#N/A,FALSE,"Mgmt Forecast";"dcf table",#N/A,FALSE,"Mgmt Forecast";"sensitivity",#N/A,FALSE,"Mgmt Forecast";"table inputs",#N/A,FALSE,"Mgmt Forecast";"calculations",#N/A,FALSE,"Mgmt Forecast"}</definedName>
    <definedName name="wrn.dcf5" localSheetId="0" hidden="1">{"mgmt forecast",#N/A,FALSE,"Mgmt Forecast";"dcf table",#N/A,FALSE,"Mgmt Forecast";"sensitivity",#N/A,FALSE,"Mgmt Forecast";"table inputs",#N/A,FALSE,"Mgmt Forecast";"calculations",#N/A,FALSE,"Mgmt Forecast"}</definedName>
    <definedName name="wrn.dcf5" localSheetId="3" hidden="1">{"mgmt forecast",#N/A,FALSE,"Mgmt Forecast";"dcf table",#N/A,FALSE,"Mgmt Forecast";"sensitivity",#N/A,FALSE,"Mgmt Forecast";"table inputs",#N/A,FALSE,"Mgmt Forecast";"calculations",#N/A,FALSE,"Mgmt Forecast"}</definedName>
    <definedName name="wrn.dcf5" localSheetId="4" hidden="1">{"mgmt forecast",#N/A,FALSE,"Mgmt Forecast";"dcf table",#N/A,FALSE,"Mgmt Forecast";"sensitivity",#N/A,FALSE,"Mgmt Forecast";"table inputs",#N/A,FALSE,"Mgmt Forecast";"calculations",#N/A,FALSE,"Mgmt Forecast"}</definedName>
    <definedName name="wrn.dcf5" localSheetId="28" hidden="1">{"mgmt forecast",#N/A,FALSE,"Mgmt Forecast";"dcf table",#N/A,FALSE,"Mgmt Forecast";"sensitivity",#N/A,FALSE,"Mgmt Forecast";"table inputs",#N/A,FALSE,"Mgmt Forecast";"calculations",#N/A,FALSE,"Mgmt Forecast"}</definedName>
    <definedName name="wrn.dcf5" localSheetId="33" hidden="1">{"mgmt forecast",#N/A,FALSE,"Mgmt Forecast";"dcf table",#N/A,FALSE,"Mgmt Forecast";"sensitivity",#N/A,FALSE,"Mgmt Forecast";"table inputs",#N/A,FALSE,"Mgmt Forecast";"calculations",#N/A,FALSE,"Mgmt Forecast"}</definedName>
    <definedName name="wrn.dcf5" localSheetId="32" hidden="1">{"mgmt forecast",#N/A,FALSE,"Mgmt Forecast";"dcf table",#N/A,FALSE,"Mgmt Forecast";"sensitivity",#N/A,FALSE,"Mgmt Forecast";"table inputs",#N/A,FALSE,"Mgmt Forecast";"calculations",#N/A,FALSE,"Mgmt Forecast"}</definedName>
    <definedName name="wrn.dcf5" localSheetId="7" hidden="1">{"mgmt forecast",#N/A,FALSE,"Mgmt Forecast";"dcf table",#N/A,FALSE,"Mgmt Forecast";"sensitivity",#N/A,FALSE,"Mgmt Forecast";"table inputs",#N/A,FALSE,"Mgmt Forecast";"calculations",#N/A,FALSE,"Mgmt Forecast"}</definedName>
    <definedName name="wrn.dcf5" localSheetId="29" hidden="1">{"mgmt forecast",#N/A,FALSE,"Mgmt Forecast";"dcf table",#N/A,FALSE,"Mgmt Forecast";"sensitivity",#N/A,FALSE,"Mgmt Forecast";"table inputs",#N/A,FALSE,"Mgmt Forecast";"calculations",#N/A,FALSE,"Mgmt Forecast"}</definedName>
    <definedName name="wrn.dcf5" localSheetId="1" hidden="1">{"mgmt forecast",#N/A,FALSE,"Mgmt Forecast";"dcf table",#N/A,FALSE,"Mgmt Forecast";"sensitivity",#N/A,FALSE,"Mgmt Forecast";"table inputs",#N/A,FALSE,"Mgmt Forecast";"calculations",#N/A,FALSE,"Mgmt Forecast"}</definedName>
    <definedName name="wrn.dcf5" localSheetId="31" hidden="1">{"mgmt forecast",#N/A,FALSE,"Mgmt Forecast";"dcf table",#N/A,FALSE,"Mgmt Forecast";"sensitivity",#N/A,FALSE,"Mgmt Forecast";"table inputs",#N/A,FALSE,"Mgmt Forecast";"calculations",#N/A,FALSE,"Mgmt Forecast"}</definedName>
    <definedName name="wrn.dcf5" hidden="1">{"mgmt forecast",#N/A,FALSE,"Mgmt Forecast";"dcf table",#N/A,FALSE,"Mgmt Forecast";"sensitivity",#N/A,FALSE,"Mgmt Forecast";"table inputs",#N/A,FALSE,"Mgmt Forecast";"calculations",#N/A,FALSE,"Mgmt Forecast"}</definedName>
    <definedName name="wrn.DebtGermanGAAP2000_2009." localSheetId="12" hidden="1">{"DebtGGAAP1",#N/A,FALSE,"P&amp;L G GAAP"}</definedName>
    <definedName name="wrn.DebtGermanGAAP2000_2009." localSheetId="18" hidden="1">{"DebtGGAAP1",#N/A,FALSE,"P&amp;L G GAAP"}</definedName>
    <definedName name="wrn.DebtGermanGAAP2000_2009." localSheetId="19" hidden="1">{"DebtGGAAP1",#N/A,FALSE,"P&amp;L G GAAP"}</definedName>
    <definedName name="wrn.DebtGermanGAAP2000_2009." localSheetId="17" hidden="1">{"DebtGGAAP1",#N/A,FALSE,"P&amp;L G GAAP"}</definedName>
    <definedName name="wrn.DebtGermanGAAP2000_2009." localSheetId="22" hidden="1">{"DebtGGAAP1",#N/A,FALSE,"P&amp;L G GAAP"}</definedName>
    <definedName name="wrn.DebtGermanGAAP2000_2009." localSheetId="10" hidden="1">{"DebtGGAAP1",#N/A,FALSE,"P&amp;L G GAAP"}</definedName>
    <definedName name="wrn.DebtGermanGAAP2000_2009." localSheetId="30" hidden="1">{"DebtGGAAP1",#N/A,FALSE,"P&amp;L G GAAP"}</definedName>
    <definedName name="wrn.DebtGermanGAAP2000_2009." localSheetId="0" hidden="1">{"DebtGGAAP1",#N/A,FALSE,"P&amp;L G GAAP"}</definedName>
    <definedName name="wrn.DebtGermanGAAP2000_2009." localSheetId="3" hidden="1">{"DebtGGAAP1",#N/A,FALSE,"P&amp;L G GAAP"}</definedName>
    <definedName name="wrn.DebtGermanGAAP2000_2009." localSheetId="4" hidden="1">{"DebtGGAAP1",#N/A,FALSE,"P&amp;L G GAAP"}</definedName>
    <definedName name="wrn.DebtGermanGAAP2000_2009." localSheetId="28" hidden="1">{"DebtGGAAP1",#N/A,FALSE,"P&amp;L G GAAP"}</definedName>
    <definedName name="wrn.DebtGermanGAAP2000_2009." localSheetId="33" hidden="1">{"DebtGGAAP1",#N/A,FALSE,"P&amp;L G GAAP"}</definedName>
    <definedName name="wrn.DebtGermanGAAP2000_2009." localSheetId="32" hidden="1">{"DebtGGAAP1",#N/A,FALSE,"P&amp;L G GAAP"}</definedName>
    <definedName name="wrn.DebtGermanGAAP2000_2009." localSheetId="7" hidden="1">{"DebtGGAAP1",#N/A,FALSE,"P&amp;L G GAAP"}</definedName>
    <definedName name="wrn.DebtGermanGAAP2000_2009." localSheetId="29" hidden="1">{"DebtGGAAP1",#N/A,FALSE,"P&amp;L G GAAP"}</definedName>
    <definedName name="wrn.DebtGermanGAAP2000_2009." localSheetId="1" hidden="1">{"DebtGGAAP1",#N/A,FALSE,"P&amp;L G GAAP"}</definedName>
    <definedName name="wrn.DebtGermanGAAP2000_2009." localSheetId="31" hidden="1">{"DebtGGAAP1",#N/A,FALSE,"P&amp;L G GAAP"}</definedName>
    <definedName name="wrn.DebtGermanGAAP2000_2009." hidden="1">{"DebtGGAAP1",#N/A,FALSE,"P&amp;L G GAAP"}</definedName>
    <definedName name="wrn.DebtGermanGAAP2010_2019." localSheetId="12" hidden="1">{"DebtGGAAP2",#N/A,FALSE,"P&amp;L G GAAP"}</definedName>
    <definedName name="wrn.DebtGermanGAAP2010_2019." localSheetId="18" hidden="1">{"DebtGGAAP2",#N/A,FALSE,"P&amp;L G GAAP"}</definedName>
    <definedName name="wrn.DebtGermanGAAP2010_2019." localSheetId="19" hidden="1">{"DebtGGAAP2",#N/A,FALSE,"P&amp;L G GAAP"}</definedName>
    <definedName name="wrn.DebtGermanGAAP2010_2019." localSheetId="17" hidden="1">{"DebtGGAAP2",#N/A,FALSE,"P&amp;L G GAAP"}</definedName>
    <definedName name="wrn.DebtGermanGAAP2010_2019." localSheetId="22" hidden="1">{"DebtGGAAP2",#N/A,FALSE,"P&amp;L G GAAP"}</definedName>
    <definedName name="wrn.DebtGermanGAAP2010_2019." localSheetId="10" hidden="1">{"DebtGGAAP2",#N/A,FALSE,"P&amp;L G GAAP"}</definedName>
    <definedName name="wrn.DebtGermanGAAP2010_2019." localSheetId="30" hidden="1">{"DebtGGAAP2",#N/A,FALSE,"P&amp;L G GAAP"}</definedName>
    <definedName name="wrn.DebtGermanGAAP2010_2019." localSheetId="0" hidden="1">{"DebtGGAAP2",#N/A,FALSE,"P&amp;L G GAAP"}</definedName>
    <definedName name="wrn.DebtGermanGAAP2010_2019." localSheetId="3" hidden="1">{"DebtGGAAP2",#N/A,FALSE,"P&amp;L G GAAP"}</definedName>
    <definedName name="wrn.DebtGermanGAAP2010_2019." localSheetId="4" hidden="1">{"DebtGGAAP2",#N/A,FALSE,"P&amp;L G GAAP"}</definedName>
    <definedName name="wrn.DebtGermanGAAP2010_2019." localSheetId="28" hidden="1">{"DebtGGAAP2",#N/A,FALSE,"P&amp;L G GAAP"}</definedName>
    <definedName name="wrn.DebtGermanGAAP2010_2019." localSheetId="33" hidden="1">{"DebtGGAAP2",#N/A,FALSE,"P&amp;L G GAAP"}</definedName>
    <definedName name="wrn.DebtGermanGAAP2010_2019." localSheetId="32" hidden="1">{"DebtGGAAP2",#N/A,FALSE,"P&amp;L G GAAP"}</definedName>
    <definedName name="wrn.DebtGermanGAAP2010_2019." localSheetId="7" hidden="1">{"DebtGGAAP2",#N/A,FALSE,"P&amp;L G GAAP"}</definedName>
    <definedName name="wrn.DebtGermanGAAP2010_2019." localSheetId="29" hidden="1">{"DebtGGAAP2",#N/A,FALSE,"P&amp;L G GAAP"}</definedName>
    <definedName name="wrn.DebtGermanGAAP2010_2019." localSheetId="1" hidden="1">{"DebtGGAAP2",#N/A,FALSE,"P&amp;L G GAAP"}</definedName>
    <definedName name="wrn.DebtGermanGAAP2010_2019." localSheetId="31" hidden="1">{"DebtGGAAP2",#N/A,FALSE,"P&amp;L G GAAP"}</definedName>
    <definedName name="wrn.DebtGermanGAAP2010_2019." hidden="1">{"DebtGGAAP2",#N/A,FALSE,"P&amp;L G GAAP"}</definedName>
    <definedName name="wrn.DebtUSGAAP2000_2009." localSheetId="12" hidden="1">{"DebtUSGAAP1",#N/A,FALSE,"P&amp;L US GAAP"}</definedName>
    <definedName name="wrn.DebtUSGAAP2000_2009." localSheetId="18" hidden="1">{"DebtUSGAAP1",#N/A,FALSE,"P&amp;L US GAAP"}</definedName>
    <definedName name="wrn.DebtUSGAAP2000_2009." localSheetId="19" hidden="1">{"DebtUSGAAP1",#N/A,FALSE,"P&amp;L US GAAP"}</definedName>
    <definedName name="wrn.DebtUSGAAP2000_2009." localSheetId="17" hidden="1">{"DebtUSGAAP1",#N/A,FALSE,"P&amp;L US GAAP"}</definedName>
    <definedName name="wrn.DebtUSGAAP2000_2009." localSheetId="22" hidden="1">{"DebtUSGAAP1",#N/A,FALSE,"P&amp;L US GAAP"}</definedName>
    <definedName name="wrn.DebtUSGAAP2000_2009." localSheetId="10" hidden="1">{"DebtUSGAAP1",#N/A,FALSE,"P&amp;L US GAAP"}</definedName>
    <definedName name="wrn.DebtUSGAAP2000_2009." localSheetId="30" hidden="1">{"DebtUSGAAP1",#N/A,FALSE,"P&amp;L US GAAP"}</definedName>
    <definedName name="wrn.DebtUSGAAP2000_2009." localSheetId="0" hidden="1">{"DebtUSGAAP1",#N/A,FALSE,"P&amp;L US GAAP"}</definedName>
    <definedName name="wrn.DebtUSGAAP2000_2009." localSheetId="3" hidden="1">{"DebtUSGAAP1",#N/A,FALSE,"P&amp;L US GAAP"}</definedName>
    <definedName name="wrn.DebtUSGAAP2000_2009." localSheetId="4" hidden="1">{"DebtUSGAAP1",#N/A,FALSE,"P&amp;L US GAAP"}</definedName>
    <definedName name="wrn.DebtUSGAAP2000_2009." localSheetId="28" hidden="1">{"DebtUSGAAP1",#N/A,FALSE,"P&amp;L US GAAP"}</definedName>
    <definedName name="wrn.DebtUSGAAP2000_2009." localSheetId="33" hidden="1">{"DebtUSGAAP1",#N/A,FALSE,"P&amp;L US GAAP"}</definedName>
    <definedName name="wrn.DebtUSGAAP2000_2009." localSheetId="32" hidden="1">{"DebtUSGAAP1",#N/A,FALSE,"P&amp;L US GAAP"}</definedName>
    <definedName name="wrn.DebtUSGAAP2000_2009." localSheetId="7" hidden="1">{"DebtUSGAAP1",#N/A,FALSE,"P&amp;L US GAAP"}</definedName>
    <definedName name="wrn.DebtUSGAAP2000_2009." localSheetId="29" hidden="1">{"DebtUSGAAP1",#N/A,FALSE,"P&amp;L US GAAP"}</definedName>
    <definedName name="wrn.DebtUSGAAP2000_2009." localSheetId="1" hidden="1">{"DebtUSGAAP1",#N/A,FALSE,"P&amp;L US GAAP"}</definedName>
    <definedName name="wrn.DebtUSGAAP2000_2009." localSheetId="31" hidden="1">{"DebtUSGAAP1",#N/A,FALSE,"P&amp;L US GAAP"}</definedName>
    <definedName name="wrn.DebtUSGAAP2000_2009." hidden="1">{"DebtUSGAAP1",#N/A,FALSE,"P&amp;L US GAAP"}</definedName>
    <definedName name="wrn.DebtUSGAAP2010_2019." localSheetId="12" hidden="1">{"DebtUSGAAP2",#N/A,FALSE,"P&amp;L US GAAP"}</definedName>
    <definedName name="wrn.DebtUSGAAP2010_2019." localSheetId="18" hidden="1">{"DebtUSGAAP2",#N/A,FALSE,"P&amp;L US GAAP"}</definedName>
    <definedName name="wrn.DebtUSGAAP2010_2019." localSheetId="19" hidden="1">{"DebtUSGAAP2",#N/A,FALSE,"P&amp;L US GAAP"}</definedName>
    <definedName name="wrn.DebtUSGAAP2010_2019." localSheetId="17" hidden="1">{"DebtUSGAAP2",#N/A,FALSE,"P&amp;L US GAAP"}</definedName>
    <definedName name="wrn.DebtUSGAAP2010_2019." localSheetId="22" hidden="1">{"DebtUSGAAP2",#N/A,FALSE,"P&amp;L US GAAP"}</definedName>
    <definedName name="wrn.DebtUSGAAP2010_2019." localSheetId="10" hidden="1">{"DebtUSGAAP2",#N/A,FALSE,"P&amp;L US GAAP"}</definedName>
    <definedName name="wrn.DebtUSGAAP2010_2019." localSheetId="30" hidden="1">{"DebtUSGAAP2",#N/A,FALSE,"P&amp;L US GAAP"}</definedName>
    <definedName name="wrn.DebtUSGAAP2010_2019." localSheetId="0" hidden="1">{"DebtUSGAAP2",#N/A,FALSE,"P&amp;L US GAAP"}</definedName>
    <definedName name="wrn.DebtUSGAAP2010_2019." localSheetId="3" hidden="1">{"DebtUSGAAP2",#N/A,FALSE,"P&amp;L US GAAP"}</definedName>
    <definedName name="wrn.DebtUSGAAP2010_2019." localSheetId="4" hidden="1">{"DebtUSGAAP2",#N/A,FALSE,"P&amp;L US GAAP"}</definedName>
    <definedName name="wrn.DebtUSGAAP2010_2019." localSheetId="28" hidden="1">{"DebtUSGAAP2",#N/A,FALSE,"P&amp;L US GAAP"}</definedName>
    <definedName name="wrn.DebtUSGAAP2010_2019." localSheetId="33" hidden="1">{"DebtUSGAAP2",#N/A,FALSE,"P&amp;L US GAAP"}</definedName>
    <definedName name="wrn.DebtUSGAAP2010_2019." localSheetId="32" hidden="1">{"DebtUSGAAP2",#N/A,FALSE,"P&amp;L US GAAP"}</definedName>
    <definedName name="wrn.DebtUSGAAP2010_2019." localSheetId="7" hidden="1">{"DebtUSGAAP2",#N/A,FALSE,"P&amp;L US GAAP"}</definedName>
    <definedName name="wrn.DebtUSGAAP2010_2019." localSheetId="29" hidden="1">{"DebtUSGAAP2",#N/A,FALSE,"P&amp;L US GAAP"}</definedName>
    <definedName name="wrn.DebtUSGAAP2010_2019." localSheetId="1" hidden="1">{"DebtUSGAAP2",#N/A,FALSE,"P&amp;L US GAAP"}</definedName>
    <definedName name="wrn.DebtUSGAAP2010_2019." localSheetId="31" hidden="1">{"DebtUSGAAP2",#N/A,FALSE,"P&amp;L US GAAP"}</definedName>
    <definedName name="wrn.DebtUSGAAP2010_2019." hidden="1">{"DebtUSGAAP2",#N/A,FALSE,"P&amp;L US GAAP"}</definedName>
    <definedName name="wrn.Detailed._.P._.and._.L." localSheetId="12" hidden="1">{"P and L Detail Page 1",#N/A,FALSE,"Data";"P and L Detail Page 2",#N/A,FALSE,"Data"}</definedName>
    <definedName name="wrn.Detailed._.P._.and._.L." localSheetId="18" hidden="1">{"P and L Detail Page 1",#N/A,FALSE,"Data";"P and L Detail Page 2",#N/A,FALSE,"Data"}</definedName>
    <definedName name="wrn.Detailed._.P._.and._.L." localSheetId="19" hidden="1">{"P and L Detail Page 1",#N/A,FALSE,"Data";"P and L Detail Page 2",#N/A,FALSE,"Data"}</definedName>
    <definedName name="wrn.Detailed._.P._.and._.L." localSheetId="17" hidden="1">{"P and L Detail Page 1",#N/A,FALSE,"Data";"P and L Detail Page 2",#N/A,FALSE,"Data"}</definedName>
    <definedName name="wrn.Detailed._.P._.and._.L." localSheetId="22" hidden="1">{"P and L Detail Page 1",#N/A,FALSE,"Data";"P and L Detail Page 2",#N/A,FALSE,"Data"}</definedName>
    <definedName name="wrn.Detailed._.P._.and._.L." localSheetId="10" hidden="1">{"P and L Detail Page 1",#N/A,FALSE,"Data";"P and L Detail Page 2",#N/A,FALSE,"Data"}</definedName>
    <definedName name="wrn.Detailed._.P._.and._.L." localSheetId="30" hidden="1">{"P and L Detail Page 1",#N/A,FALSE,"Data";"P and L Detail Page 2",#N/A,FALSE,"Data"}</definedName>
    <definedName name="wrn.Detailed._.P._.and._.L." localSheetId="0" hidden="1">{"P and L Detail Page 1",#N/A,FALSE,"Data";"P and L Detail Page 2",#N/A,FALSE,"Data"}</definedName>
    <definedName name="wrn.Detailed._.P._.and._.L." localSheetId="3" hidden="1">{"P and L Detail Page 1",#N/A,FALSE,"Data";"P and L Detail Page 2",#N/A,FALSE,"Data"}</definedName>
    <definedName name="wrn.Detailed._.P._.and._.L." localSheetId="4" hidden="1">{"P and L Detail Page 1",#N/A,FALSE,"Data";"P and L Detail Page 2",#N/A,FALSE,"Data"}</definedName>
    <definedName name="wrn.Detailed._.P._.and._.L." localSheetId="28" hidden="1">{"P and L Detail Page 1",#N/A,FALSE,"Data";"P and L Detail Page 2",#N/A,FALSE,"Data"}</definedName>
    <definedName name="wrn.Detailed._.P._.and._.L." localSheetId="33" hidden="1">{"P and L Detail Page 1",#N/A,FALSE,"Data";"P and L Detail Page 2",#N/A,FALSE,"Data"}</definedName>
    <definedName name="wrn.Detailed._.P._.and._.L." localSheetId="32" hidden="1">{"P and L Detail Page 1",#N/A,FALSE,"Data";"P and L Detail Page 2",#N/A,FALSE,"Data"}</definedName>
    <definedName name="wrn.Detailed._.P._.and._.L." localSheetId="7" hidden="1">{"P and L Detail Page 1",#N/A,FALSE,"Data";"P and L Detail Page 2",#N/A,FALSE,"Data"}</definedName>
    <definedName name="wrn.Detailed._.P._.and._.L." localSheetId="29" hidden="1">{"P and L Detail Page 1",#N/A,FALSE,"Data";"P and L Detail Page 2",#N/A,FALSE,"Data"}</definedName>
    <definedName name="wrn.Detailed._.P._.and._.L." localSheetId="1" hidden="1">{"P and L Detail Page 1",#N/A,FALSE,"Data";"P and L Detail Page 2",#N/A,FALSE,"Data"}</definedName>
    <definedName name="wrn.Detailed._.P._.and._.L." localSheetId="31" hidden="1">{"P and L Detail Page 1",#N/A,FALSE,"Data";"P and L Detail Page 2",#N/A,FALSE,"Data"}</definedName>
    <definedName name="wrn.Detailed._.P._.and._.L." hidden="1">{"P and L Detail Page 1",#N/A,FALSE,"Data";"P and L Detail Page 2",#N/A,FALSE,"Data"}</definedName>
    <definedName name="wrn.DLH_hele." localSheetId="12" hidden="1">{"Side 1",#N/A,FALSE,"Hovedark";"Side 2",#N/A,FALSE,"Hovedark";"Cash Flow",#N/A,FALSE,"Hovedark";"Breakdown",#N/A,FALSE,"Breakdown";"Valuation",#N/A,FALSE,"Valuation";"Bidrag",#N/A,FALSE,"Bidrag"}</definedName>
    <definedName name="wrn.DLH_hele." localSheetId="18" hidden="1">{"Side 1",#N/A,FALSE,"Hovedark";"Side 2",#N/A,FALSE,"Hovedark";"Cash Flow",#N/A,FALSE,"Hovedark";"Breakdown",#N/A,FALSE,"Breakdown";"Valuation",#N/A,FALSE,"Valuation";"Bidrag",#N/A,FALSE,"Bidrag"}</definedName>
    <definedName name="wrn.DLH_hele." localSheetId="19" hidden="1">{"Side 1",#N/A,FALSE,"Hovedark";"Side 2",#N/A,FALSE,"Hovedark";"Cash Flow",#N/A,FALSE,"Hovedark";"Breakdown",#N/A,FALSE,"Breakdown";"Valuation",#N/A,FALSE,"Valuation";"Bidrag",#N/A,FALSE,"Bidrag"}</definedName>
    <definedName name="wrn.DLH_hele." localSheetId="17" hidden="1">{"Side 1",#N/A,FALSE,"Hovedark";"Side 2",#N/A,FALSE,"Hovedark";"Cash Flow",#N/A,FALSE,"Hovedark";"Breakdown",#N/A,FALSE,"Breakdown";"Valuation",#N/A,FALSE,"Valuation";"Bidrag",#N/A,FALSE,"Bidrag"}</definedName>
    <definedName name="wrn.DLH_hele." localSheetId="22" hidden="1">{"Side 1",#N/A,FALSE,"Hovedark";"Side 2",#N/A,FALSE,"Hovedark";"Cash Flow",#N/A,FALSE,"Hovedark";"Breakdown",#N/A,FALSE,"Breakdown";"Valuation",#N/A,FALSE,"Valuation";"Bidrag",#N/A,FALSE,"Bidrag"}</definedName>
    <definedName name="wrn.DLH_hele." localSheetId="10" hidden="1">{"Side 1",#N/A,FALSE,"Hovedark";"Side 2",#N/A,FALSE,"Hovedark";"Cash Flow",#N/A,FALSE,"Hovedark";"Breakdown",#N/A,FALSE,"Breakdown";"Valuation",#N/A,FALSE,"Valuation";"Bidrag",#N/A,FALSE,"Bidrag"}</definedName>
    <definedName name="wrn.DLH_hele." localSheetId="30" hidden="1">{"Side 1",#N/A,FALSE,"Hovedark";"Side 2",#N/A,FALSE,"Hovedark";"Cash Flow",#N/A,FALSE,"Hovedark";"Breakdown",#N/A,FALSE,"Breakdown";"Valuation",#N/A,FALSE,"Valuation";"Bidrag",#N/A,FALSE,"Bidrag"}</definedName>
    <definedName name="wrn.DLH_hele." localSheetId="0" hidden="1">{"Side 1",#N/A,FALSE,"Hovedark";"Side 2",#N/A,FALSE,"Hovedark";"Cash Flow",#N/A,FALSE,"Hovedark";"Breakdown",#N/A,FALSE,"Breakdown";"Valuation",#N/A,FALSE,"Valuation";"Bidrag",#N/A,FALSE,"Bidrag"}</definedName>
    <definedName name="wrn.DLH_hele." localSheetId="3" hidden="1">{"Side 1",#N/A,FALSE,"Hovedark";"Side 2",#N/A,FALSE,"Hovedark";"Cash Flow",#N/A,FALSE,"Hovedark";"Breakdown",#N/A,FALSE,"Breakdown";"Valuation",#N/A,FALSE,"Valuation";"Bidrag",#N/A,FALSE,"Bidrag"}</definedName>
    <definedName name="wrn.DLH_hele." localSheetId="4" hidden="1">{"Side 1",#N/A,FALSE,"Hovedark";"Side 2",#N/A,FALSE,"Hovedark";"Cash Flow",#N/A,FALSE,"Hovedark";"Breakdown",#N/A,FALSE,"Breakdown";"Valuation",#N/A,FALSE,"Valuation";"Bidrag",#N/A,FALSE,"Bidrag"}</definedName>
    <definedName name="wrn.DLH_hele." localSheetId="28" hidden="1">{"Side 1",#N/A,FALSE,"Hovedark";"Side 2",#N/A,FALSE,"Hovedark";"Cash Flow",#N/A,FALSE,"Hovedark";"Breakdown",#N/A,FALSE,"Breakdown";"Valuation",#N/A,FALSE,"Valuation";"Bidrag",#N/A,FALSE,"Bidrag"}</definedName>
    <definedName name="wrn.DLH_hele." localSheetId="33" hidden="1">{"Side 1",#N/A,FALSE,"Hovedark";"Side 2",#N/A,FALSE,"Hovedark";"Cash Flow",#N/A,FALSE,"Hovedark";"Breakdown",#N/A,FALSE,"Breakdown";"Valuation",#N/A,FALSE,"Valuation";"Bidrag",#N/A,FALSE,"Bidrag"}</definedName>
    <definedName name="wrn.DLH_hele." localSheetId="32" hidden="1">{"Side 1",#N/A,FALSE,"Hovedark";"Side 2",#N/A,FALSE,"Hovedark";"Cash Flow",#N/A,FALSE,"Hovedark";"Breakdown",#N/A,FALSE,"Breakdown";"Valuation",#N/A,FALSE,"Valuation";"Bidrag",#N/A,FALSE,"Bidrag"}</definedName>
    <definedName name="wrn.DLH_hele." localSheetId="7" hidden="1">{"Side 1",#N/A,FALSE,"Hovedark";"Side 2",#N/A,FALSE,"Hovedark";"Cash Flow",#N/A,FALSE,"Hovedark";"Breakdown",#N/A,FALSE,"Breakdown";"Valuation",#N/A,FALSE,"Valuation";"Bidrag",#N/A,FALSE,"Bidrag"}</definedName>
    <definedName name="wrn.DLH_hele." localSheetId="29" hidden="1">{"Side 1",#N/A,FALSE,"Hovedark";"Side 2",#N/A,FALSE,"Hovedark";"Cash Flow",#N/A,FALSE,"Hovedark";"Breakdown",#N/A,FALSE,"Breakdown";"Valuation",#N/A,FALSE,"Valuation";"Bidrag",#N/A,FALSE,"Bidrag"}</definedName>
    <definedName name="wrn.DLH_hele." localSheetId="1" hidden="1">{"Side 1",#N/A,FALSE,"Hovedark";"Side 2",#N/A,FALSE,"Hovedark";"Cash Flow",#N/A,FALSE,"Hovedark";"Breakdown",#N/A,FALSE,"Breakdown";"Valuation",#N/A,FALSE,"Valuation";"Bidrag",#N/A,FALSE,"Bidrag"}</definedName>
    <definedName name="wrn.DLH_hele." localSheetId="31" hidden="1">{"Side 1",#N/A,FALSE,"Hovedark";"Side 2",#N/A,FALSE,"Hovedark";"Cash Flow",#N/A,FALSE,"Hovedark";"Breakdown",#N/A,FALSE,"Breakdown";"Valuation",#N/A,FALSE,"Valuation";"Bidrag",#N/A,FALSE,"Bidrag"}</definedName>
    <definedName name="wrn.DLH_hele." hidden="1">{"Side 1",#N/A,FALSE,"Hovedark";"Side 2",#N/A,FALSE,"Hovedark";"Cash Flow",#N/A,FALSE,"Hovedark";"Breakdown",#N/A,FALSE,"Breakdown";"Valuation",#N/A,FALSE,"Valuation";"Bidrag",#N/A,FALSE,"Bidrag"}</definedName>
    <definedName name="wrn.Earnings._.Model." localSheetId="12"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arnings._.Model." localSheetId="18"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arnings._.Model." localSheetId="19"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arnings._.Model." localSheetId="17"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arnings._.Model." localSheetId="22"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arnings._.Model." localSheetId="10"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arnings._.Model." localSheetId="30"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arnings._.Model." localSheetId="0"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arnings._.Model." localSheetId="3"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arnings._.Model." localSheetId="4"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arnings._.Model." localSheetId="28"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arnings._.Model." localSheetId="33"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arnings._.Model." localSheetId="32"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arnings._.Model." localSheetId="7"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arnings._.Model." localSheetId="29"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arnings._.Model." localSheetId="1"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arnings._.Model." localSheetId="31"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mployee._.Efficiency." localSheetId="12" hidden="1">{"Employee Efficiency",#N/A,FALSE,"Benchmarking"}</definedName>
    <definedName name="wrn.Employee._.Efficiency." localSheetId="18" hidden="1">{"Employee Efficiency",#N/A,FALSE,"Benchmarking"}</definedName>
    <definedName name="wrn.Employee._.Efficiency." localSheetId="19" hidden="1">{"Employee Efficiency",#N/A,FALSE,"Benchmarking"}</definedName>
    <definedName name="wrn.Employee._.Efficiency." localSheetId="17" hidden="1">{"Employee Efficiency",#N/A,FALSE,"Benchmarking"}</definedName>
    <definedName name="wrn.Employee._.Efficiency." localSheetId="22" hidden="1">{"Employee Efficiency",#N/A,FALSE,"Benchmarking"}</definedName>
    <definedName name="wrn.Employee._.Efficiency." localSheetId="10" hidden="1">{"Employee Efficiency",#N/A,FALSE,"Benchmarking"}</definedName>
    <definedName name="wrn.Employee._.Efficiency." localSheetId="30" hidden="1">{"Employee Efficiency",#N/A,FALSE,"Benchmarking"}</definedName>
    <definedName name="wrn.Employee._.Efficiency." localSheetId="0" hidden="1">{"Employee Efficiency",#N/A,FALSE,"Benchmarking"}</definedName>
    <definedName name="wrn.Employee._.Efficiency." localSheetId="3" hidden="1">{"Employee Efficiency",#N/A,FALSE,"Benchmarking"}</definedName>
    <definedName name="wrn.Employee._.Efficiency." localSheetId="4" hidden="1">{"Employee Efficiency",#N/A,FALSE,"Benchmarking"}</definedName>
    <definedName name="wrn.Employee._.Efficiency." localSheetId="28" hidden="1">{"Employee Efficiency",#N/A,FALSE,"Benchmarking"}</definedName>
    <definedName name="wrn.Employee._.Efficiency." localSheetId="33" hidden="1">{"Employee Efficiency",#N/A,FALSE,"Benchmarking"}</definedName>
    <definedName name="wrn.Employee._.Efficiency." localSheetId="32" hidden="1">{"Employee Efficiency",#N/A,FALSE,"Benchmarking"}</definedName>
    <definedName name="wrn.Employee._.Efficiency." localSheetId="7" hidden="1">{"Employee Efficiency",#N/A,FALSE,"Benchmarking"}</definedName>
    <definedName name="wrn.Employee._.Efficiency." localSheetId="29" hidden="1">{"Employee Efficiency",#N/A,FALSE,"Benchmarking"}</definedName>
    <definedName name="wrn.Employee._.Efficiency." localSheetId="1" hidden="1">{"Employee Efficiency",#N/A,FALSE,"Benchmarking"}</definedName>
    <definedName name="wrn.Employee._.Efficiency." localSheetId="31" hidden="1">{"Employee Efficiency",#N/A,FALSE,"Benchmarking"}</definedName>
    <definedName name="wrn.Employee._.Efficiency." hidden="1">{"Employee Efficiency",#N/A,FALSE,"Benchmarking"}</definedName>
    <definedName name="wrn.Europe." localSheetId="12"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 localSheetId="18"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 localSheetId="19"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 localSheetId="17"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 localSheetId="22"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 localSheetId="10"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 localSheetId="30"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 localSheetId="0"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 localSheetId="3"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 localSheetId="4"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 localSheetId="28"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 localSheetId="33"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 localSheetId="32"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 localSheetId="7"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 localSheetId="29"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 localSheetId="1"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 localSheetId="31"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rything." localSheetId="12"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localSheetId="18"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localSheetId="19"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localSheetId="17"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localSheetId="22"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localSheetId="10"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localSheetId="30"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localSheetId="0"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localSheetId="3"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localSheetId="4"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localSheetId="28"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localSheetId="33"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localSheetId="32"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localSheetId="7"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localSheetId="29"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localSheetId="1"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localSheetId="31"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Final." localSheetId="12" hidden="1">{#N/A,#N/A,TRUE,"Caps1-5";#N/A,#N/A,TRUE,"Cap6";#N/A,#N/A,TRUE,"Caps7-8";#N/A,#N/A,TRUE,"Cap9-Resumo";#N/A,#N/A,TRUE,"Cap9-Det-2000";#N/A,#N/A,TRUE,"Cap9-Det-2001";#N/A,#N/A,TRUE,"Cap10";#N/A,#N/A,TRUE,"Cap11"}</definedName>
    <definedName name="wrn.Final." localSheetId="18" hidden="1">{#N/A,#N/A,TRUE,"Caps1-5";#N/A,#N/A,TRUE,"Cap6";#N/A,#N/A,TRUE,"Caps7-8";#N/A,#N/A,TRUE,"Cap9-Resumo";#N/A,#N/A,TRUE,"Cap9-Det-2000";#N/A,#N/A,TRUE,"Cap9-Det-2001";#N/A,#N/A,TRUE,"Cap10";#N/A,#N/A,TRUE,"Cap11"}</definedName>
    <definedName name="wrn.Final." localSheetId="19" hidden="1">{#N/A,#N/A,TRUE,"Caps1-5";#N/A,#N/A,TRUE,"Cap6";#N/A,#N/A,TRUE,"Caps7-8";#N/A,#N/A,TRUE,"Cap9-Resumo";#N/A,#N/A,TRUE,"Cap9-Det-2000";#N/A,#N/A,TRUE,"Cap9-Det-2001";#N/A,#N/A,TRUE,"Cap10";#N/A,#N/A,TRUE,"Cap11"}</definedName>
    <definedName name="wrn.Final." localSheetId="17" hidden="1">{#N/A,#N/A,TRUE,"Caps1-5";#N/A,#N/A,TRUE,"Cap6";#N/A,#N/A,TRUE,"Caps7-8";#N/A,#N/A,TRUE,"Cap9-Resumo";#N/A,#N/A,TRUE,"Cap9-Det-2000";#N/A,#N/A,TRUE,"Cap9-Det-2001";#N/A,#N/A,TRUE,"Cap10";#N/A,#N/A,TRUE,"Cap11"}</definedName>
    <definedName name="wrn.Final." localSheetId="22" hidden="1">{#N/A,#N/A,TRUE,"Caps1-5";#N/A,#N/A,TRUE,"Cap6";#N/A,#N/A,TRUE,"Caps7-8";#N/A,#N/A,TRUE,"Cap9-Resumo";#N/A,#N/A,TRUE,"Cap9-Det-2000";#N/A,#N/A,TRUE,"Cap9-Det-2001";#N/A,#N/A,TRUE,"Cap10";#N/A,#N/A,TRUE,"Cap11"}</definedName>
    <definedName name="wrn.Final." localSheetId="10" hidden="1">{#N/A,#N/A,TRUE,"Caps1-5";#N/A,#N/A,TRUE,"Cap6";#N/A,#N/A,TRUE,"Caps7-8";#N/A,#N/A,TRUE,"Cap9-Resumo";#N/A,#N/A,TRUE,"Cap9-Det-2000";#N/A,#N/A,TRUE,"Cap9-Det-2001";#N/A,#N/A,TRUE,"Cap10";#N/A,#N/A,TRUE,"Cap11"}</definedName>
    <definedName name="wrn.Final." localSheetId="30" hidden="1">{#N/A,#N/A,TRUE,"Caps1-5";#N/A,#N/A,TRUE,"Cap6";#N/A,#N/A,TRUE,"Caps7-8";#N/A,#N/A,TRUE,"Cap9-Resumo";#N/A,#N/A,TRUE,"Cap9-Det-2000";#N/A,#N/A,TRUE,"Cap9-Det-2001";#N/A,#N/A,TRUE,"Cap10";#N/A,#N/A,TRUE,"Cap11"}</definedName>
    <definedName name="wrn.Final." localSheetId="0" hidden="1">{#N/A,#N/A,TRUE,"Caps1-5";#N/A,#N/A,TRUE,"Cap6";#N/A,#N/A,TRUE,"Caps7-8";#N/A,#N/A,TRUE,"Cap9-Resumo";#N/A,#N/A,TRUE,"Cap9-Det-2000";#N/A,#N/A,TRUE,"Cap9-Det-2001";#N/A,#N/A,TRUE,"Cap10";#N/A,#N/A,TRUE,"Cap11"}</definedName>
    <definedName name="wrn.Final." localSheetId="3" hidden="1">{#N/A,#N/A,TRUE,"Caps1-5";#N/A,#N/A,TRUE,"Cap6";#N/A,#N/A,TRUE,"Caps7-8";#N/A,#N/A,TRUE,"Cap9-Resumo";#N/A,#N/A,TRUE,"Cap9-Det-2000";#N/A,#N/A,TRUE,"Cap9-Det-2001";#N/A,#N/A,TRUE,"Cap10";#N/A,#N/A,TRUE,"Cap11"}</definedName>
    <definedName name="wrn.Final." localSheetId="4" hidden="1">{#N/A,#N/A,TRUE,"Caps1-5";#N/A,#N/A,TRUE,"Cap6";#N/A,#N/A,TRUE,"Caps7-8";#N/A,#N/A,TRUE,"Cap9-Resumo";#N/A,#N/A,TRUE,"Cap9-Det-2000";#N/A,#N/A,TRUE,"Cap9-Det-2001";#N/A,#N/A,TRUE,"Cap10";#N/A,#N/A,TRUE,"Cap11"}</definedName>
    <definedName name="wrn.Final." localSheetId="28" hidden="1">{#N/A,#N/A,TRUE,"Caps1-5";#N/A,#N/A,TRUE,"Cap6";#N/A,#N/A,TRUE,"Caps7-8";#N/A,#N/A,TRUE,"Cap9-Resumo";#N/A,#N/A,TRUE,"Cap9-Det-2000";#N/A,#N/A,TRUE,"Cap9-Det-2001";#N/A,#N/A,TRUE,"Cap10";#N/A,#N/A,TRUE,"Cap11"}</definedName>
    <definedName name="wrn.Final." localSheetId="33" hidden="1">{#N/A,#N/A,TRUE,"Caps1-5";#N/A,#N/A,TRUE,"Cap6";#N/A,#N/A,TRUE,"Caps7-8";#N/A,#N/A,TRUE,"Cap9-Resumo";#N/A,#N/A,TRUE,"Cap9-Det-2000";#N/A,#N/A,TRUE,"Cap9-Det-2001";#N/A,#N/A,TRUE,"Cap10";#N/A,#N/A,TRUE,"Cap11"}</definedName>
    <definedName name="wrn.Final." localSheetId="32" hidden="1">{#N/A,#N/A,TRUE,"Caps1-5";#N/A,#N/A,TRUE,"Cap6";#N/A,#N/A,TRUE,"Caps7-8";#N/A,#N/A,TRUE,"Cap9-Resumo";#N/A,#N/A,TRUE,"Cap9-Det-2000";#N/A,#N/A,TRUE,"Cap9-Det-2001";#N/A,#N/A,TRUE,"Cap10";#N/A,#N/A,TRUE,"Cap11"}</definedName>
    <definedName name="wrn.Final." localSheetId="7" hidden="1">{#N/A,#N/A,TRUE,"Caps1-5";#N/A,#N/A,TRUE,"Cap6";#N/A,#N/A,TRUE,"Caps7-8";#N/A,#N/A,TRUE,"Cap9-Resumo";#N/A,#N/A,TRUE,"Cap9-Det-2000";#N/A,#N/A,TRUE,"Cap9-Det-2001";#N/A,#N/A,TRUE,"Cap10";#N/A,#N/A,TRUE,"Cap11"}</definedName>
    <definedName name="wrn.Final." localSheetId="29" hidden="1">{#N/A,#N/A,TRUE,"Caps1-5";#N/A,#N/A,TRUE,"Cap6";#N/A,#N/A,TRUE,"Caps7-8";#N/A,#N/A,TRUE,"Cap9-Resumo";#N/A,#N/A,TRUE,"Cap9-Det-2000";#N/A,#N/A,TRUE,"Cap9-Det-2001";#N/A,#N/A,TRUE,"Cap10";#N/A,#N/A,TRUE,"Cap11"}</definedName>
    <definedName name="wrn.Final." localSheetId="1" hidden="1">{#N/A,#N/A,TRUE,"Caps1-5";#N/A,#N/A,TRUE,"Cap6";#N/A,#N/A,TRUE,"Caps7-8";#N/A,#N/A,TRUE,"Cap9-Resumo";#N/A,#N/A,TRUE,"Cap9-Det-2000";#N/A,#N/A,TRUE,"Cap9-Det-2001";#N/A,#N/A,TRUE,"Cap10";#N/A,#N/A,TRUE,"Cap11"}</definedName>
    <definedName name="wrn.Final." localSheetId="31" hidden="1">{#N/A,#N/A,TRUE,"Caps1-5";#N/A,#N/A,TRUE,"Cap6";#N/A,#N/A,TRUE,"Caps7-8";#N/A,#N/A,TRUE,"Cap9-Resumo";#N/A,#N/A,TRUE,"Cap9-Det-2000";#N/A,#N/A,TRUE,"Cap9-Det-2001";#N/A,#N/A,TRUE,"Cap10";#N/A,#N/A,TRUE,"Cap11"}</definedName>
    <definedName name="wrn.Final." hidden="1">{#N/A,#N/A,TRUE,"Caps1-5";#N/A,#N/A,TRUE,"Cap6";#N/A,#N/A,TRUE,"Caps7-8";#N/A,#N/A,TRUE,"Cap9-Resumo";#N/A,#N/A,TRUE,"Cap9-Det-2000";#N/A,#N/A,TRUE,"Cap9-Det-2001";#N/A,#N/A,TRUE,"Cap10";#N/A,#N/A,TRUE,"Cap11"}</definedName>
    <definedName name="wrn.Financial._.Output." localSheetId="12" hidden="1">{"P and L",#N/A,FALSE,"Financial Output";"Cashflow",#N/A,FALSE,"Financial Output";"Balance Sheet",#N/A,FALSE,"Financial Output"}</definedName>
    <definedName name="wrn.Financial._.Output." localSheetId="18" hidden="1">{"P and L",#N/A,FALSE,"Financial Output";"Cashflow",#N/A,FALSE,"Financial Output";"Balance Sheet",#N/A,FALSE,"Financial Output"}</definedName>
    <definedName name="wrn.Financial._.Output." localSheetId="19" hidden="1">{"P and L",#N/A,FALSE,"Financial Output";"Cashflow",#N/A,FALSE,"Financial Output";"Balance Sheet",#N/A,FALSE,"Financial Output"}</definedName>
    <definedName name="wrn.Financial._.Output." localSheetId="17" hidden="1">{"P and L",#N/A,FALSE,"Financial Output";"Cashflow",#N/A,FALSE,"Financial Output";"Balance Sheet",#N/A,FALSE,"Financial Output"}</definedName>
    <definedName name="wrn.Financial._.Output." localSheetId="22" hidden="1">{"P and L",#N/A,FALSE,"Financial Output";"Cashflow",#N/A,FALSE,"Financial Output";"Balance Sheet",#N/A,FALSE,"Financial Output"}</definedName>
    <definedName name="wrn.Financial._.Output." localSheetId="10" hidden="1">{"P and L",#N/A,FALSE,"Financial Output";"Cashflow",#N/A,FALSE,"Financial Output";"Balance Sheet",#N/A,FALSE,"Financial Output"}</definedName>
    <definedName name="wrn.Financial._.Output." localSheetId="30" hidden="1">{"P and L",#N/A,FALSE,"Financial Output";"Cashflow",#N/A,FALSE,"Financial Output";"Balance Sheet",#N/A,FALSE,"Financial Output"}</definedName>
    <definedName name="wrn.Financial._.Output." localSheetId="0" hidden="1">{"P and L",#N/A,FALSE,"Financial Output";"Cashflow",#N/A,FALSE,"Financial Output";"Balance Sheet",#N/A,FALSE,"Financial Output"}</definedName>
    <definedName name="wrn.Financial._.Output." localSheetId="3" hidden="1">{"P and L",#N/A,FALSE,"Financial Output";"Cashflow",#N/A,FALSE,"Financial Output";"Balance Sheet",#N/A,FALSE,"Financial Output"}</definedName>
    <definedName name="wrn.Financial._.Output." localSheetId="4" hidden="1">{"P and L",#N/A,FALSE,"Financial Output";"Cashflow",#N/A,FALSE,"Financial Output";"Balance Sheet",#N/A,FALSE,"Financial Output"}</definedName>
    <definedName name="wrn.Financial._.Output." localSheetId="28" hidden="1">{"P and L",#N/A,FALSE,"Financial Output";"Cashflow",#N/A,FALSE,"Financial Output";"Balance Sheet",#N/A,FALSE,"Financial Output"}</definedName>
    <definedName name="wrn.Financial._.Output." localSheetId="33" hidden="1">{"P and L",#N/A,FALSE,"Financial Output";"Cashflow",#N/A,FALSE,"Financial Output";"Balance Sheet",#N/A,FALSE,"Financial Output"}</definedName>
    <definedName name="wrn.Financial._.Output." localSheetId="32" hidden="1">{"P and L",#N/A,FALSE,"Financial Output";"Cashflow",#N/A,FALSE,"Financial Output";"Balance Sheet",#N/A,FALSE,"Financial Output"}</definedName>
    <definedName name="wrn.Financial._.Output." localSheetId="7" hidden="1">{"P and L",#N/A,FALSE,"Financial Output";"Cashflow",#N/A,FALSE,"Financial Output";"Balance Sheet",#N/A,FALSE,"Financial Output"}</definedName>
    <definedName name="wrn.Financial._.Output." localSheetId="29" hidden="1">{"P and L",#N/A,FALSE,"Financial Output";"Cashflow",#N/A,FALSE,"Financial Output";"Balance Sheet",#N/A,FALSE,"Financial Output"}</definedName>
    <definedName name="wrn.Financial._.Output." localSheetId="1" hidden="1">{"P and L",#N/A,FALSE,"Financial Output";"Cashflow",#N/A,FALSE,"Financial Output";"Balance Sheet",#N/A,FALSE,"Financial Output"}</definedName>
    <definedName name="wrn.Financial._.Output." localSheetId="31" hidden="1">{"P and L",#N/A,FALSE,"Financial Output";"Cashflow",#N/A,FALSE,"Financial Output";"Balance Sheet",#N/A,FALSE,"Financial Output"}</definedName>
    <definedName name="wrn.Financial._.Output." hidden="1">{"P and L",#N/A,FALSE,"Financial Output";"Cashflow",#N/A,FALSE,"Financial Output";"Balance Sheet",#N/A,FALSE,"Financial Output"}</definedName>
    <definedName name="wrn.finmodel." localSheetId="12" hidden="1">{#N/A,#N/A,FALSE,"Fin Model"}</definedName>
    <definedName name="wrn.finmodel." localSheetId="18" hidden="1">{#N/A,#N/A,FALSE,"Fin Model"}</definedName>
    <definedName name="wrn.finmodel." localSheetId="19" hidden="1">{#N/A,#N/A,FALSE,"Fin Model"}</definedName>
    <definedName name="wrn.finmodel." localSheetId="17" hidden="1">{#N/A,#N/A,FALSE,"Fin Model"}</definedName>
    <definedName name="wrn.finmodel." localSheetId="22" hidden="1">{#N/A,#N/A,FALSE,"Fin Model"}</definedName>
    <definedName name="wrn.finmodel." localSheetId="10" hidden="1">{#N/A,#N/A,FALSE,"Fin Model"}</definedName>
    <definedName name="wrn.finmodel." localSheetId="30" hidden="1">{#N/A,#N/A,FALSE,"Fin Model"}</definedName>
    <definedName name="wrn.finmodel." localSheetId="0" hidden="1">{#N/A,#N/A,FALSE,"Fin Model"}</definedName>
    <definedName name="wrn.finmodel." localSheetId="3" hidden="1">{#N/A,#N/A,FALSE,"Fin Model"}</definedName>
    <definedName name="wrn.finmodel." localSheetId="4" hidden="1">{#N/A,#N/A,FALSE,"Fin Model"}</definedName>
    <definedName name="wrn.finmodel." localSheetId="28" hidden="1">{#N/A,#N/A,FALSE,"Fin Model"}</definedName>
    <definedName name="wrn.finmodel." localSheetId="33" hidden="1">{#N/A,#N/A,FALSE,"Fin Model"}</definedName>
    <definedName name="wrn.finmodel." localSheetId="32" hidden="1">{#N/A,#N/A,FALSE,"Fin Model"}</definedName>
    <definedName name="wrn.finmodel." localSheetId="7" hidden="1">{#N/A,#N/A,FALSE,"Fin Model"}</definedName>
    <definedName name="wrn.finmodel." localSheetId="29" hidden="1">{#N/A,#N/A,FALSE,"Fin Model"}</definedName>
    <definedName name="wrn.finmodel." localSheetId="1" hidden="1">{#N/A,#N/A,FALSE,"Fin Model"}</definedName>
    <definedName name="wrn.finmodel." localSheetId="31" hidden="1">{#N/A,#N/A,FALSE,"Fin Model"}</definedName>
    <definedName name="wrn.finmodel." hidden="1">{#N/A,#N/A,FALSE,"Fin Model"}</definedName>
    <definedName name="wrn.FinStatementsGGAAP." localSheetId="12" hidden="1">{"PLGGAAP1",#N/A,TRUE,"P&amp;L G GAAP";"PLGGAAP2",#N/A,TRUE,"P&amp;L G GAAP";"PLGGAAP3",#N/A,TRUE,"P&amp;L G GAAP";"PLGGAAP4",#N/A,TRUE,"P&amp;L G GAAP";"CFGGAAP1a",#N/A,TRUE,"P&amp;L G GAAP";"CFGGAAP2a",#N/A,TRUE,"P&amp;L G GAAP";"WCGGAAP1",#N/A,TRUE,"P&amp;L G GAAP";"WCGGAAP2",#N/A,TRUE,"P&amp;L G GAAP";"BSGGAAP1",#N/A,TRUE,"P&amp;L G GAAP";"BSGGAAP2",#N/A,TRUE,"P&amp;L G GAAP";"DebtGGAAP1",#N/A,TRUE,"P&amp;L G GAAP";"DebtGGAAP2",#N/A,TRUE,"P&amp;L G GAAP"}</definedName>
    <definedName name="wrn.FinStatementsGGAAP." localSheetId="18" hidden="1">{"PLGGAAP1",#N/A,TRUE,"P&amp;L G GAAP";"PLGGAAP2",#N/A,TRUE,"P&amp;L G GAAP";"PLGGAAP3",#N/A,TRUE,"P&amp;L G GAAP";"PLGGAAP4",#N/A,TRUE,"P&amp;L G GAAP";"CFGGAAP1a",#N/A,TRUE,"P&amp;L G GAAP";"CFGGAAP2a",#N/A,TRUE,"P&amp;L G GAAP";"WCGGAAP1",#N/A,TRUE,"P&amp;L G GAAP";"WCGGAAP2",#N/A,TRUE,"P&amp;L G GAAP";"BSGGAAP1",#N/A,TRUE,"P&amp;L G GAAP";"BSGGAAP2",#N/A,TRUE,"P&amp;L G GAAP";"DebtGGAAP1",#N/A,TRUE,"P&amp;L G GAAP";"DebtGGAAP2",#N/A,TRUE,"P&amp;L G GAAP"}</definedName>
    <definedName name="wrn.FinStatementsGGAAP." localSheetId="19" hidden="1">{"PLGGAAP1",#N/A,TRUE,"P&amp;L G GAAP";"PLGGAAP2",#N/A,TRUE,"P&amp;L G GAAP";"PLGGAAP3",#N/A,TRUE,"P&amp;L G GAAP";"PLGGAAP4",#N/A,TRUE,"P&amp;L G GAAP";"CFGGAAP1a",#N/A,TRUE,"P&amp;L G GAAP";"CFGGAAP2a",#N/A,TRUE,"P&amp;L G GAAP";"WCGGAAP1",#N/A,TRUE,"P&amp;L G GAAP";"WCGGAAP2",#N/A,TRUE,"P&amp;L G GAAP";"BSGGAAP1",#N/A,TRUE,"P&amp;L G GAAP";"BSGGAAP2",#N/A,TRUE,"P&amp;L G GAAP";"DebtGGAAP1",#N/A,TRUE,"P&amp;L G GAAP";"DebtGGAAP2",#N/A,TRUE,"P&amp;L G GAAP"}</definedName>
    <definedName name="wrn.FinStatementsGGAAP." localSheetId="17" hidden="1">{"PLGGAAP1",#N/A,TRUE,"P&amp;L G GAAP";"PLGGAAP2",#N/A,TRUE,"P&amp;L G GAAP";"PLGGAAP3",#N/A,TRUE,"P&amp;L G GAAP";"PLGGAAP4",#N/A,TRUE,"P&amp;L G GAAP";"CFGGAAP1a",#N/A,TRUE,"P&amp;L G GAAP";"CFGGAAP2a",#N/A,TRUE,"P&amp;L G GAAP";"WCGGAAP1",#N/A,TRUE,"P&amp;L G GAAP";"WCGGAAP2",#N/A,TRUE,"P&amp;L G GAAP";"BSGGAAP1",#N/A,TRUE,"P&amp;L G GAAP";"BSGGAAP2",#N/A,TRUE,"P&amp;L G GAAP";"DebtGGAAP1",#N/A,TRUE,"P&amp;L G GAAP";"DebtGGAAP2",#N/A,TRUE,"P&amp;L G GAAP"}</definedName>
    <definedName name="wrn.FinStatementsGGAAP." localSheetId="22" hidden="1">{"PLGGAAP1",#N/A,TRUE,"P&amp;L G GAAP";"PLGGAAP2",#N/A,TRUE,"P&amp;L G GAAP";"PLGGAAP3",#N/A,TRUE,"P&amp;L G GAAP";"PLGGAAP4",#N/A,TRUE,"P&amp;L G GAAP";"CFGGAAP1a",#N/A,TRUE,"P&amp;L G GAAP";"CFGGAAP2a",#N/A,TRUE,"P&amp;L G GAAP";"WCGGAAP1",#N/A,TRUE,"P&amp;L G GAAP";"WCGGAAP2",#N/A,TRUE,"P&amp;L G GAAP";"BSGGAAP1",#N/A,TRUE,"P&amp;L G GAAP";"BSGGAAP2",#N/A,TRUE,"P&amp;L G GAAP";"DebtGGAAP1",#N/A,TRUE,"P&amp;L G GAAP";"DebtGGAAP2",#N/A,TRUE,"P&amp;L G GAAP"}</definedName>
    <definedName name="wrn.FinStatementsGGAAP." localSheetId="10" hidden="1">{"PLGGAAP1",#N/A,TRUE,"P&amp;L G GAAP";"PLGGAAP2",#N/A,TRUE,"P&amp;L G GAAP";"PLGGAAP3",#N/A,TRUE,"P&amp;L G GAAP";"PLGGAAP4",#N/A,TRUE,"P&amp;L G GAAP";"CFGGAAP1a",#N/A,TRUE,"P&amp;L G GAAP";"CFGGAAP2a",#N/A,TRUE,"P&amp;L G GAAP";"WCGGAAP1",#N/A,TRUE,"P&amp;L G GAAP";"WCGGAAP2",#N/A,TRUE,"P&amp;L G GAAP";"BSGGAAP1",#N/A,TRUE,"P&amp;L G GAAP";"BSGGAAP2",#N/A,TRUE,"P&amp;L G GAAP";"DebtGGAAP1",#N/A,TRUE,"P&amp;L G GAAP";"DebtGGAAP2",#N/A,TRUE,"P&amp;L G GAAP"}</definedName>
    <definedName name="wrn.FinStatementsGGAAP." localSheetId="30" hidden="1">{"PLGGAAP1",#N/A,TRUE,"P&amp;L G GAAP";"PLGGAAP2",#N/A,TRUE,"P&amp;L G GAAP";"PLGGAAP3",#N/A,TRUE,"P&amp;L G GAAP";"PLGGAAP4",#N/A,TRUE,"P&amp;L G GAAP";"CFGGAAP1a",#N/A,TRUE,"P&amp;L G GAAP";"CFGGAAP2a",#N/A,TRUE,"P&amp;L G GAAP";"WCGGAAP1",#N/A,TRUE,"P&amp;L G GAAP";"WCGGAAP2",#N/A,TRUE,"P&amp;L G GAAP";"BSGGAAP1",#N/A,TRUE,"P&amp;L G GAAP";"BSGGAAP2",#N/A,TRUE,"P&amp;L G GAAP";"DebtGGAAP1",#N/A,TRUE,"P&amp;L G GAAP";"DebtGGAAP2",#N/A,TRUE,"P&amp;L G GAAP"}</definedName>
    <definedName name="wrn.FinStatementsGGAAP." localSheetId="0" hidden="1">{"PLGGAAP1",#N/A,TRUE,"P&amp;L G GAAP";"PLGGAAP2",#N/A,TRUE,"P&amp;L G GAAP";"PLGGAAP3",#N/A,TRUE,"P&amp;L G GAAP";"PLGGAAP4",#N/A,TRUE,"P&amp;L G GAAP";"CFGGAAP1a",#N/A,TRUE,"P&amp;L G GAAP";"CFGGAAP2a",#N/A,TRUE,"P&amp;L G GAAP";"WCGGAAP1",#N/A,TRUE,"P&amp;L G GAAP";"WCGGAAP2",#N/A,TRUE,"P&amp;L G GAAP";"BSGGAAP1",#N/A,TRUE,"P&amp;L G GAAP";"BSGGAAP2",#N/A,TRUE,"P&amp;L G GAAP";"DebtGGAAP1",#N/A,TRUE,"P&amp;L G GAAP";"DebtGGAAP2",#N/A,TRUE,"P&amp;L G GAAP"}</definedName>
    <definedName name="wrn.FinStatementsGGAAP." localSheetId="3" hidden="1">{"PLGGAAP1",#N/A,TRUE,"P&amp;L G GAAP";"PLGGAAP2",#N/A,TRUE,"P&amp;L G GAAP";"PLGGAAP3",#N/A,TRUE,"P&amp;L G GAAP";"PLGGAAP4",#N/A,TRUE,"P&amp;L G GAAP";"CFGGAAP1a",#N/A,TRUE,"P&amp;L G GAAP";"CFGGAAP2a",#N/A,TRUE,"P&amp;L G GAAP";"WCGGAAP1",#N/A,TRUE,"P&amp;L G GAAP";"WCGGAAP2",#N/A,TRUE,"P&amp;L G GAAP";"BSGGAAP1",#N/A,TRUE,"P&amp;L G GAAP";"BSGGAAP2",#N/A,TRUE,"P&amp;L G GAAP";"DebtGGAAP1",#N/A,TRUE,"P&amp;L G GAAP";"DebtGGAAP2",#N/A,TRUE,"P&amp;L G GAAP"}</definedName>
    <definedName name="wrn.FinStatementsGGAAP." localSheetId="4" hidden="1">{"PLGGAAP1",#N/A,TRUE,"P&amp;L G GAAP";"PLGGAAP2",#N/A,TRUE,"P&amp;L G GAAP";"PLGGAAP3",#N/A,TRUE,"P&amp;L G GAAP";"PLGGAAP4",#N/A,TRUE,"P&amp;L G GAAP";"CFGGAAP1a",#N/A,TRUE,"P&amp;L G GAAP";"CFGGAAP2a",#N/A,TRUE,"P&amp;L G GAAP";"WCGGAAP1",#N/A,TRUE,"P&amp;L G GAAP";"WCGGAAP2",#N/A,TRUE,"P&amp;L G GAAP";"BSGGAAP1",#N/A,TRUE,"P&amp;L G GAAP";"BSGGAAP2",#N/A,TRUE,"P&amp;L G GAAP";"DebtGGAAP1",#N/A,TRUE,"P&amp;L G GAAP";"DebtGGAAP2",#N/A,TRUE,"P&amp;L G GAAP"}</definedName>
    <definedName name="wrn.FinStatementsGGAAP." localSheetId="28" hidden="1">{"PLGGAAP1",#N/A,TRUE,"P&amp;L G GAAP";"PLGGAAP2",#N/A,TRUE,"P&amp;L G GAAP";"PLGGAAP3",#N/A,TRUE,"P&amp;L G GAAP";"PLGGAAP4",#N/A,TRUE,"P&amp;L G GAAP";"CFGGAAP1a",#N/A,TRUE,"P&amp;L G GAAP";"CFGGAAP2a",#N/A,TRUE,"P&amp;L G GAAP";"WCGGAAP1",#N/A,TRUE,"P&amp;L G GAAP";"WCGGAAP2",#N/A,TRUE,"P&amp;L G GAAP";"BSGGAAP1",#N/A,TRUE,"P&amp;L G GAAP";"BSGGAAP2",#N/A,TRUE,"P&amp;L G GAAP";"DebtGGAAP1",#N/A,TRUE,"P&amp;L G GAAP";"DebtGGAAP2",#N/A,TRUE,"P&amp;L G GAAP"}</definedName>
    <definedName name="wrn.FinStatementsGGAAP." localSheetId="33" hidden="1">{"PLGGAAP1",#N/A,TRUE,"P&amp;L G GAAP";"PLGGAAP2",#N/A,TRUE,"P&amp;L G GAAP";"PLGGAAP3",#N/A,TRUE,"P&amp;L G GAAP";"PLGGAAP4",#N/A,TRUE,"P&amp;L G GAAP";"CFGGAAP1a",#N/A,TRUE,"P&amp;L G GAAP";"CFGGAAP2a",#N/A,TRUE,"P&amp;L G GAAP";"WCGGAAP1",#N/A,TRUE,"P&amp;L G GAAP";"WCGGAAP2",#N/A,TRUE,"P&amp;L G GAAP";"BSGGAAP1",#N/A,TRUE,"P&amp;L G GAAP";"BSGGAAP2",#N/A,TRUE,"P&amp;L G GAAP";"DebtGGAAP1",#N/A,TRUE,"P&amp;L G GAAP";"DebtGGAAP2",#N/A,TRUE,"P&amp;L G GAAP"}</definedName>
    <definedName name="wrn.FinStatementsGGAAP." localSheetId="32" hidden="1">{"PLGGAAP1",#N/A,TRUE,"P&amp;L G GAAP";"PLGGAAP2",#N/A,TRUE,"P&amp;L G GAAP";"PLGGAAP3",#N/A,TRUE,"P&amp;L G GAAP";"PLGGAAP4",#N/A,TRUE,"P&amp;L G GAAP";"CFGGAAP1a",#N/A,TRUE,"P&amp;L G GAAP";"CFGGAAP2a",#N/A,TRUE,"P&amp;L G GAAP";"WCGGAAP1",#N/A,TRUE,"P&amp;L G GAAP";"WCGGAAP2",#N/A,TRUE,"P&amp;L G GAAP";"BSGGAAP1",#N/A,TRUE,"P&amp;L G GAAP";"BSGGAAP2",#N/A,TRUE,"P&amp;L G GAAP";"DebtGGAAP1",#N/A,TRUE,"P&amp;L G GAAP";"DebtGGAAP2",#N/A,TRUE,"P&amp;L G GAAP"}</definedName>
    <definedName name="wrn.FinStatementsGGAAP." localSheetId="7" hidden="1">{"PLGGAAP1",#N/A,TRUE,"P&amp;L G GAAP";"PLGGAAP2",#N/A,TRUE,"P&amp;L G GAAP";"PLGGAAP3",#N/A,TRUE,"P&amp;L G GAAP";"PLGGAAP4",#N/A,TRUE,"P&amp;L G GAAP";"CFGGAAP1a",#N/A,TRUE,"P&amp;L G GAAP";"CFGGAAP2a",#N/A,TRUE,"P&amp;L G GAAP";"WCGGAAP1",#N/A,TRUE,"P&amp;L G GAAP";"WCGGAAP2",#N/A,TRUE,"P&amp;L G GAAP";"BSGGAAP1",#N/A,TRUE,"P&amp;L G GAAP";"BSGGAAP2",#N/A,TRUE,"P&amp;L G GAAP";"DebtGGAAP1",#N/A,TRUE,"P&amp;L G GAAP";"DebtGGAAP2",#N/A,TRUE,"P&amp;L G GAAP"}</definedName>
    <definedName name="wrn.FinStatementsGGAAP." localSheetId="29" hidden="1">{"PLGGAAP1",#N/A,TRUE,"P&amp;L G GAAP";"PLGGAAP2",#N/A,TRUE,"P&amp;L G GAAP";"PLGGAAP3",#N/A,TRUE,"P&amp;L G GAAP";"PLGGAAP4",#N/A,TRUE,"P&amp;L G GAAP";"CFGGAAP1a",#N/A,TRUE,"P&amp;L G GAAP";"CFGGAAP2a",#N/A,TRUE,"P&amp;L G GAAP";"WCGGAAP1",#N/A,TRUE,"P&amp;L G GAAP";"WCGGAAP2",#N/A,TRUE,"P&amp;L G GAAP";"BSGGAAP1",#N/A,TRUE,"P&amp;L G GAAP";"BSGGAAP2",#N/A,TRUE,"P&amp;L G GAAP";"DebtGGAAP1",#N/A,TRUE,"P&amp;L G GAAP";"DebtGGAAP2",#N/A,TRUE,"P&amp;L G GAAP"}</definedName>
    <definedName name="wrn.FinStatementsGGAAP." localSheetId="1" hidden="1">{"PLGGAAP1",#N/A,TRUE,"P&amp;L G GAAP";"PLGGAAP2",#N/A,TRUE,"P&amp;L G GAAP";"PLGGAAP3",#N/A,TRUE,"P&amp;L G GAAP";"PLGGAAP4",#N/A,TRUE,"P&amp;L G GAAP";"CFGGAAP1a",#N/A,TRUE,"P&amp;L G GAAP";"CFGGAAP2a",#N/A,TRUE,"P&amp;L G GAAP";"WCGGAAP1",#N/A,TRUE,"P&amp;L G GAAP";"WCGGAAP2",#N/A,TRUE,"P&amp;L G GAAP";"BSGGAAP1",#N/A,TRUE,"P&amp;L G GAAP";"BSGGAAP2",#N/A,TRUE,"P&amp;L G GAAP";"DebtGGAAP1",#N/A,TRUE,"P&amp;L G GAAP";"DebtGGAAP2",#N/A,TRUE,"P&amp;L G GAAP"}</definedName>
    <definedName name="wrn.FinStatementsGGAAP." localSheetId="31" hidden="1">{"PLGGAAP1",#N/A,TRUE,"P&amp;L G GAAP";"PLGGAAP2",#N/A,TRUE,"P&amp;L G GAAP";"PLGGAAP3",#N/A,TRUE,"P&amp;L G GAAP";"PLGGAAP4",#N/A,TRUE,"P&amp;L G GAAP";"CFGGAAP1a",#N/A,TRUE,"P&amp;L G GAAP";"CFGGAAP2a",#N/A,TRUE,"P&amp;L G GAAP";"WCGGAAP1",#N/A,TRUE,"P&amp;L G GAAP";"WCGGAAP2",#N/A,TRUE,"P&amp;L G GAAP";"BSGGAAP1",#N/A,TRUE,"P&amp;L G GAAP";"BSGGAAP2",#N/A,TRUE,"P&amp;L G GAAP";"DebtGGAAP1",#N/A,TRUE,"P&amp;L G GAAP";"DebtGGAAP2",#N/A,TRUE,"P&amp;L G GAAP"}</definedName>
    <definedName name="wrn.FinStatementsGGAAP." hidden="1">{"PLGGAAP1",#N/A,TRUE,"P&amp;L G GAAP";"PLGGAAP2",#N/A,TRUE,"P&amp;L G GAAP";"PLGGAAP3",#N/A,TRUE,"P&amp;L G GAAP";"PLGGAAP4",#N/A,TRUE,"P&amp;L G GAAP";"CFGGAAP1a",#N/A,TRUE,"P&amp;L G GAAP";"CFGGAAP2a",#N/A,TRUE,"P&amp;L G GAAP";"WCGGAAP1",#N/A,TRUE,"P&amp;L G GAAP";"WCGGAAP2",#N/A,TRUE,"P&amp;L G GAAP";"BSGGAAP1",#N/A,TRUE,"P&amp;L G GAAP";"BSGGAAP2",#N/A,TRUE,"P&amp;L G GAAP";"DebtGGAAP1",#N/A,TRUE,"P&amp;L G GAAP";"DebtGGAAP2",#N/A,TRUE,"P&amp;L G GAAP"}</definedName>
    <definedName name="wrn.FinStatementsUSGAAP." localSheetId="12" hidden="1">{"PLUSGAAP1",#N/A,TRUE,"P&amp;L US GAAP";"PLUSGAAP2",#N/A,TRUE,"P&amp;L US GAAP";"PLUSGAAP3",#N/A,TRUE,"P&amp;L US GAAP";"PLUSGAAP4",#N/A,TRUE,"P&amp;L US GAAP";"CFUSGAAP1a",#N/A,TRUE,"P&amp;L US GAAP";"CFUSGAAP2a",#N/A,TRUE,"P&amp;L US GAAP";"WCUSGAAP1",#N/A,TRUE,"P&amp;L US GAAP";"WCUSGAAP2",#N/A,TRUE,"P&amp;L US GAAP";"BSUSGAAP1",#N/A,TRUE,"P&amp;L US GAAP";"BSUSGAAP2",#N/A,TRUE,"P&amp;L US GAAP";"DebtUSGAAP1",#N/A,TRUE,"P&amp;L US GAAP";"DebtUSGAAP2",#N/A,TRUE,"P&amp;L US GAAP"}</definedName>
    <definedName name="wrn.FinStatementsUSGAAP." localSheetId="18" hidden="1">{"PLUSGAAP1",#N/A,TRUE,"P&amp;L US GAAP";"PLUSGAAP2",#N/A,TRUE,"P&amp;L US GAAP";"PLUSGAAP3",#N/A,TRUE,"P&amp;L US GAAP";"PLUSGAAP4",#N/A,TRUE,"P&amp;L US GAAP";"CFUSGAAP1a",#N/A,TRUE,"P&amp;L US GAAP";"CFUSGAAP2a",#N/A,TRUE,"P&amp;L US GAAP";"WCUSGAAP1",#N/A,TRUE,"P&amp;L US GAAP";"WCUSGAAP2",#N/A,TRUE,"P&amp;L US GAAP";"BSUSGAAP1",#N/A,TRUE,"P&amp;L US GAAP";"BSUSGAAP2",#N/A,TRUE,"P&amp;L US GAAP";"DebtUSGAAP1",#N/A,TRUE,"P&amp;L US GAAP";"DebtUSGAAP2",#N/A,TRUE,"P&amp;L US GAAP"}</definedName>
    <definedName name="wrn.FinStatementsUSGAAP." localSheetId="19" hidden="1">{"PLUSGAAP1",#N/A,TRUE,"P&amp;L US GAAP";"PLUSGAAP2",#N/A,TRUE,"P&amp;L US GAAP";"PLUSGAAP3",#N/A,TRUE,"P&amp;L US GAAP";"PLUSGAAP4",#N/A,TRUE,"P&amp;L US GAAP";"CFUSGAAP1a",#N/A,TRUE,"P&amp;L US GAAP";"CFUSGAAP2a",#N/A,TRUE,"P&amp;L US GAAP";"WCUSGAAP1",#N/A,TRUE,"P&amp;L US GAAP";"WCUSGAAP2",#N/A,TRUE,"P&amp;L US GAAP";"BSUSGAAP1",#N/A,TRUE,"P&amp;L US GAAP";"BSUSGAAP2",#N/A,TRUE,"P&amp;L US GAAP";"DebtUSGAAP1",#N/A,TRUE,"P&amp;L US GAAP";"DebtUSGAAP2",#N/A,TRUE,"P&amp;L US GAAP"}</definedName>
    <definedName name="wrn.FinStatementsUSGAAP." localSheetId="17" hidden="1">{"PLUSGAAP1",#N/A,TRUE,"P&amp;L US GAAP";"PLUSGAAP2",#N/A,TRUE,"P&amp;L US GAAP";"PLUSGAAP3",#N/A,TRUE,"P&amp;L US GAAP";"PLUSGAAP4",#N/A,TRUE,"P&amp;L US GAAP";"CFUSGAAP1a",#N/A,TRUE,"P&amp;L US GAAP";"CFUSGAAP2a",#N/A,TRUE,"P&amp;L US GAAP";"WCUSGAAP1",#N/A,TRUE,"P&amp;L US GAAP";"WCUSGAAP2",#N/A,TRUE,"P&amp;L US GAAP";"BSUSGAAP1",#N/A,TRUE,"P&amp;L US GAAP";"BSUSGAAP2",#N/A,TRUE,"P&amp;L US GAAP";"DebtUSGAAP1",#N/A,TRUE,"P&amp;L US GAAP";"DebtUSGAAP2",#N/A,TRUE,"P&amp;L US GAAP"}</definedName>
    <definedName name="wrn.FinStatementsUSGAAP." localSheetId="22" hidden="1">{"PLUSGAAP1",#N/A,TRUE,"P&amp;L US GAAP";"PLUSGAAP2",#N/A,TRUE,"P&amp;L US GAAP";"PLUSGAAP3",#N/A,TRUE,"P&amp;L US GAAP";"PLUSGAAP4",#N/A,TRUE,"P&amp;L US GAAP";"CFUSGAAP1a",#N/A,TRUE,"P&amp;L US GAAP";"CFUSGAAP2a",#N/A,TRUE,"P&amp;L US GAAP";"WCUSGAAP1",#N/A,TRUE,"P&amp;L US GAAP";"WCUSGAAP2",#N/A,TRUE,"P&amp;L US GAAP";"BSUSGAAP1",#N/A,TRUE,"P&amp;L US GAAP";"BSUSGAAP2",#N/A,TRUE,"P&amp;L US GAAP";"DebtUSGAAP1",#N/A,TRUE,"P&amp;L US GAAP";"DebtUSGAAP2",#N/A,TRUE,"P&amp;L US GAAP"}</definedName>
    <definedName name="wrn.FinStatementsUSGAAP." localSheetId="10" hidden="1">{"PLUSGAAP1",#N/A,TRUE,"P&amp;L US GAAP";"PLUSGAAP2",#N/A,TRUE,"P&amp;L US GAAP";"PLUSGAAP3",#N/A,TRUE,"P&amp;L US GAAP";"PLUSGAAP4",#N/A,TRUE,"P&amp;L US GAAP";"CFUSGAAP1a",#N/A,TRUE,"P&amp;L US GAAP";"CFUSGAAP2a",#N/A,TRUE,"P&amp;L US GAAP";"WCUSGAAP1",#N/A,TRUE,"P&amp;L US GAAP";"WCUSGAAP2",#N/A,TRUE,"P&amp;L US GAAP";"BSUSGAAP1",#N/A,TRUE,"P&amp;L US GAAP";"BSUSGAAP2",#N/A,TRUE,"P&amp;L US GAAP";"DebtUSGAAP1",#N/A,TRUE,"P&amp;L US GAAP";"DebtUSGAAP2",#N/A,TRUE,"P&amp;L US GAAP"}</definedName>
    <definedName name="wrn.FinStatementsUSGAAP." localSheetId="30" hidden="1">{"PLUSGAAP1",#N/A,TRUE,"P&amp;L US GAAP";"PLUSGAAP2",#N/A,TRUE,"P&amp;L US GAAP";"PLUSGAAP3",#N/A,TRUE,"P&amp;L US GAAP";"PLUSGAAP4",#N/A,TRUE,"P&amp;L US GAAP";"CFUSGAAP1a",#N/A,TRUE,"P&amp;L US GAAP";"CFUSGAAP2a",#N/A,TRUE,"P&amp;L US GAAP";"WCUSGAAP1",#N/A,TRUE,"P&amp;L US GAAP";"WCUSGAAP2",#N/A,TRUE,"P&amp;L US GAAP";"BSUSGAAP1",#N/A,TRUE,"P&amp;L US GAAP";"BSUSGAAP2",#N/A,TRUE,"P&amp;L US GAAP";"DebtUSGAAP1",#N/A,TRUE,"P&amp;L US GAAP";"DebtUSGAAP2",#N/A,TRUE,"P&amp;L US GAAP"}</definedName>
    <definedName name="wrn.FinStatementsUSGAAP." localSheetId="0" hidden="1">{"PLUSGAAP1",#N/A,TRUE,"P&amp;L US GAAP";"PLUSGAAP2",#N/A,TRUE,"P&amp;L US GAAP";"PLUSGAAP3",#N/A,TRUE,"P&amp;L US GAAP";"PLUSGAAP4",#N/A,TRUE,"P&amp;L US GAAP";"CFUSGAAP1a",#N/A,TRUE,"P&amp;L US GAAP";"CFUSGAAP2a",#N/A,TRUE,"P&amp;L US GAAP";"WCUSGAAP1",#N/A,TRUE,"P&amp;L US GAAP";"WCUSGAAP2",#N/A,TRUE,"P&amp;L US GAAP";"BSUSGAAP1",#N/A,TRUE,"P&amp;L US GAAP";"BSUSGAAP2",#N/A,TRUE,"P&amp;L US GAAP";"DebtUSGAAP1",#N/A,TRUE,"P&amp;L US GAAP";"DebtUSGAAP2",#N/A,TRUE,"P&amp;L US GAAP"}</definedName>
    <definedName name="wrn.FinStatementsUSGAAP." localSheetId="3" hidden="1">{"PLUSGAAP1",#N/A,TRUE,"P&amp;L US GAAP";"PLUSGAAP2",#N/A,TRUE,"P&amp;L US GAAP";"PLUSGAAP3",#N/A,TRUE,"P&amp;L US GAAP";"PLUSGAAP4",#N/A,TRUE,"P&amp;L US GAAP";"CFUSGAAP1a",#N/A,TRUE,"P&amp;L US GAAP";"CFUSGAAP2a",#N/A,TRUE,"P&amp;L US GAAP";"WCUSGAAP1",#N/A,TRUE,"P&amp;L US GAAP";"WCUSGAAP2",#N/A,TRUE,"P&amp;L US GAAP";"BSUSGAAP1",#N/A,TRUE,"P&amp;L US GAAP";"BSUSGAAP2",#N/A,TRUE,"P&amp;L US GAAP";"DebtUSGAAP1",#N/A,TRUE,"P&amp;L US GAAP";"DebtUSGAAP2",#N/A,TRUE,"P&amp;L US GAAP"}</definedName>
    <definedName name="wrn.FinStatementsUSGAAP." localSheetId="4" hidden="1">{"PLUSGAAP1",#N/A,TRUE,"P&amp;L US GAAP";"PLUSGAAP2",#N/A,TRUE,"P&amp;L US GAAP";"PLUSGAAP3",#N/A,TRUE,"P&amp;L US GAAP";"PLUSGAAP4",#N/A,TRUE,"P&amp;L US GAAP";"CFUSGAAP1a",#N/A,TRUE,"P&amp;L US GAAP";"CFUSGAAP2a",#N/A,TRUE,"P&amp;L US GAAP";"WCUSGAAP1",#N/A,TRUE,"P&amp;L US GAAP";"WCUSGAAP2",#N/A,TRUE,"P&amp;L US GAAP";"BSUSGAAP1",#N/A,TRUE,"P&amp;L US GAAP";"BSUSGAAP2",#N/A,TRUE,"P&amp;L US GAAP";"DebtUSGAAP1",#N/A,TRUE,"P&amp;L US GAAP";"DebtUSGAAP2",#N/A,TRUE,"P&amp;L US GAAP"}</definedName>
    <definedName name="wrn.FinStatementsUSGAAP." localSheetId="28" hidden="1">{"PLUSGAAP1",#N/A,TRUE,"P&amp;L US GAAP";"PLUSGAAP2",#N/A,TRUE,"P&amp;L US GAAP";"PLUSGAAP3",#N/A,TRUE,"P&amp;L US GAAP";"PLUSGAAP4",#N/A,TRUE,"P&amp;L US GAAP";"CFUSGAAP1a",#N/A,TRUE,"P&amp;L US GAAP";"CFUSGAAP2a",#N/A,TRUE,"P&amp;L US GAAP";"WCUSGAAP1",#N/A,TRUE,"P&amp;L US GAAP";"WCUSGAAP2",#N/A,TRUE,"P&amp;L US GAAP";"BSUSGAAP1",#N/A,TRUE,"P&amp;L US GAAP";"BSUSGAAP2",#N/A,TRUE,"P&amp;L US GAAP";"DebtUSGAAP1",#N/A,TRUE,"P&amp;L US GAAP";"DebtUSGAAP2",#N/A,TRUE,"P&amp;L US GAAP"}</definedName>
    <definedName name="wrn.FinStatementsUSGAAP." localSheetId="33" hidden="1">{"PLUSGAAP1",#N/A,TRUE,"P&amp;L US GAAP";"PLUSGAAP2",#N/A,TRUE,"P&amp;L US GAAP";"PLUSGAAP3",#N/A,TRUE,"P&amp;L US GAAP";"PLUSGAAP4",#N/A,TRUE,"P&amp;L US GAAP";"CFUSGAAP1a",#N/A,TRUE,"P&amp;L US GAAP";"CFUSGAAP2a",#N/A,TRUE,"P&amp;L US GAAP";"WCUSGAAP1",#N/A,TRUE,"P&amp;L US GAAP";"WCUSGAAP2",#N/A,TRUE,"P&amp;L US GAAP";"BSUSGAAP1",#N/A,TRUE,"P&amp;L US GAAP";"BSUSGAAP2",#N/A,TRUE,"P&amp;L US GAAP";"DebtUSGAAP1",#N/A,TRUE,"P&amp;L US GAAP";"DebtUSGAAP2",#N/A,TRUE,"P&amp;L US GAAP"}</definedName>
    <definedName name="wrn.FinStatementsUSGAAP." localSheetId="32" hidden="1">{"PLUSGAAP1",#N/A,TRUE,"P&amp;L US GAAP";"PLUSGAAP2",#N/A,TRUE,"P&amp;L US GAAP";"PLUSGAAP3",#N/A,TRUE,"P&amp;L US GAAP";"PLUSGAAP4",#N/A,TRUE,"P&amp;L US GAAP";"CFUSGAAP1a",#N/A,TRUE,"P&amp;L US GAAP";"CFUSGAAP2a",#N/A,TRUE,"P&amp;L US GAAP";"WCUSGAAP1",#N/A,TRUE,"P&amp;L US GAAP";"WCUSGAAP2",#N/A,TRUE,"P&amp;L US GAAP";"BSUSGAAP1",#N/A,TRUE,"P&amp;L US GAAP";"BSUSGAAP2",#N/A,TRUE,"P&amp;L US GAAP";"DebtUSGAAP1",#N/A,TRUE,"P&amp;L US GAAP";"DebtUSGAAP2",#N/A,TRUE,"P&amp;L US GAAP"}</definedName>
    <definedName name="wrn.FinStatementsUSGAAP." localSheetId="7" hidden="1">{"PLUSGAAP1",#N/A,TRUE,"P&amp;L US GAAP";"PLUSGAAP2",#N/A,TRUE,"P&amp;L US GAAP";"PLUSGAAP3",#N/A,TRUE,"P&amp;L US GAAP";"PLUSGAAP4",#N/A,TRUE,"P&amp;L US GAAP";"CFUSGAAP1a",#N/A,TRUE,"P&amp;L US GAAP";"CFUSGAAP2a",#N/A,TRUE,"P&amp;L US GAAP";"WCUSGAAP1",#N/A,TRUE,"P&amp;L US GAAP";"WCUSGAAP2",#N/A,TRUE,"P&amp;L US GAAP";"BSUSGAAP1",#N/A,TRUE,"P&amp;L US GAAP";"BSUSGAAP2",#N/A,TRUE,"P&amp;L US GAAP";"DebtUSGAAP1",#N/A,TRUE,"P&amp;L US GAAP";"DebtUSGAAP2",#N/A,TRUE,"P&amp;L US GAAP"}</definedName>
    <definedName name="wrn.FinStatementsUSGAAP." localSheetId="29" hidden="1">{"PLUSGAAP1",#N/A,TRUE,"P&amp;L US GAAP";"PLUSGAAP2",#N/A,TRUE,"P&amp;L US GAAP";"PLUSGAAP3",#N/A,TRUE,"P&amp;L US GAAP";"PLUSGAAP4",#N/A,TRUE,"P&amp;L US GAAP";"CFUSGAAP1a",#N/A,TRUE,"P&amp;L US GAAP";"CFUSGAAP2a",#N/A,TRUE,"P&amp;L US GAAP";"WCUSGAAP1",#N/A,TRUE,"P&amp;L US GAAP";"WCUSGAAP2",#N/A,TRUE,"P&amp;L US GAAP";"BSUSGAAP1",#N/A,TRUE,"P&amp;L US GAAP";"BSUSGAAP2",#N/A,TRUE,"P&amp;L US GAAP";"DebtUSGAAP1",#N/A,TRUE,"P&amp;L US GAAP";"DebtUSGAAP2",#N/A,TRUE,"P&amp;L US GAAP"}</definedName>
    <definedName name="wrn.FinStatementsUSGAAP." localSheetId="1" hidden="1">{"PLUSGAAP1",#N/A,TRUE,"P&amp;L US GAAP";"PLUSGAAP2",#N/A,TRUE,"P&amp;L US GAAP";"PLUSGAAP3",#N/A,TRUE,"P&amp;L US GAAP";"PLUSGAAP4",#N/A,TRUE,"P&amp;L US GAAP";"CFUSGAAP1a",#N/A,TRUE,"P&amp;L US GAAP";"CFUSGAAP2a",#N/A,TRUE,"P&amp;L US GAAP";"WCUSGAAP1",#N/A,TRUE,"P&amp;L US GAAP";"WCUSGAAP2",#N/A,TRUE,"P&amp;L US GAAP";"BSUSGAAP1",#N/A,TRUE,"P&amp;L US GAAP";"BSUSGAAP2",#N/A,TRUE,"P&amp;L US GAAP";"DebtUSGAAP1",#N/A,TRUE,"P&amp;L US GAAP";"DebtUSGAAP2",#N/A,TRUE,"P&amp;L US GAAP"}</definedName>
    <definedName name="wrn.FinStatementsUSGAAP." localSheetId="31" hidden="1">{"PLUSGAAP1",#N/A,TRUE,"P&amp;L US GAAP";"PLUSGAAP2",#N/A,TRUE,"P&amp;L US GAAP";"PLUSGAAP3",#N/A,TRUE,"P&amp;L US GAAP";"PLUSGAAP4",#N/A,TRUE,"P&amp;L US GAAP";"CFUSGAAP1a",#N/A,TRUE,"P&amp;L US GAAP";"CFUSGAAP2a",#N/A,TRUE,"P&amp;L US GAAP";"WCUSGAAP1",#N/A,TRUE,"P&amp;L US GAAP";"WCUSGAAP2",#N/A,TRUE,"P&amp;L US GAAP";"BSUSGAAP1",#N/A,TRUE,"P&amp;L US GAAP";"BSUSGAAP2",#N/A,TRUE,"P&amp;L US GAAP";"DebtUSGAAP1",#N/A,TRUE,"P&amp;L US GAAP";"DebtUSGAAP2",#N/A,TRUE,"P&amp;L US GAAP"}</definedName>
    <definedName name="wrn.FinStatementsUSGAAP." hidden="1">{"PLUSGAAP1",#N/A,TRUE,"P&amp;L US GAAP";"PLUSGAAP2",#N/A,TRUE,"P&amp;L US GAAP";"PLUSGAAP3",#N/A,TRUE,"P&amp;L US GAAP";"PLUSGAAP4",#N/A,TRUE,"P&amp;L US GAAP";"CFUSGAAP1a",#N/A,TRUE,"P&amp;L US GAAP";"CFUSGAAP2a",#N/A,TRUE,"P&amp;L US GAAP";"WCUSGAAP1",#N/A,TRUE,"P&amp;L US GAAP";"WCUSGAAP2",#N/A,TRUE,"P&amp;L US GAAP";"BSUSGAAP1",#N/A,TRUE,"P&amp;L US GAAP";"BSUSGAAP2",#N/A,TRUE,"P&amp;L US GAAP";"DebtUSGAAP1",#N/A,TRUE,"P&amp;L US GAAP";"DebtUSGAAP2",#N/A,TRUE,"P&amp;L US GAAP"}</definedName>
    <definedName name="wrn.Five._.Year._.Record." localSheetId="12" hidden="1">{"Five Year Record",#N/A,FALSE,"Front and Back"}</definedName>
    <definedName name="wrn.Five._.Year._.Record." localSheetId="18" hidden="1">{"Five Year Record",#N/A,FALSE,"Front and Back"}</definedName>
    <definedName name="wrn.Five._.Year._.Record." localSheetId="19" hidden="1">{"Five Year Record",#N/A,FALSE,"Front and Back"}</definedName>
    <definedName name="wrn.Five._.Year._.Record." localSheetId="17" hidden="1">{"Five Year Record",#N/A,FALSE,"Front and Back"}</definedName>
    <definedName name="wrn.Five._.Year._.Record." localSheetId="22" hidden="1">{"Five Year Record",#N/A,FALSE,"Front and Back"}</definedName>
    <definedName name="wrn.Five._.Year._.Record." localSheetId="10" hidden="1">{"Five Year Record",#N/A,FALSE,"Front and Back"}</definedName>
    <definedName name="wrn.Five._.Year._.Record." localSheetId="30" hidden="1">{"Five Year Record",#N/A,FALSE,"Front and Back"}</definedName>
    <definedName name="wrn.Five._.Year._.Record." localSheetId="0" hidden="1">{"Five Year Record",#N/A,FALSE,"Front and Back"}</definedName>
    <definedName name="wrn.Five._.Year._.Record." localSheetId="3" hidden="1">{"Five Year Record",#N/A,FALSE,"Front and Back"}</definedName>
    <definedName name="wrn.Five._.Year._.Record." localSheetId="4" hidden="1">{"Five Year Record",#N/A,FALSE,"Front and Back"}</definedName>
    <definedName name="wrn.Five._.Year._.Record." localSheetId="28" hidden="1">{"Five Year Record",#N/A,FALSE,"Front and Back"}</definedName>
    <definedName name="wrn.Five._.Year._.Record." localSheetId="33" hidden="1">{"Five Year Record",#N/A,FALSE,"Front and Back"}</definedName>
    <definedName name="wrn.Five._.Year._.Record." localSheetId="32" hidden="1">{"Five Year Record",#N/A,FALSE,"Front and Back"}</definedName>
    <definedName name="wrn.Five._.Year._.Record." localSheetId="7" hidden="1">{"Five Year Record",#N/A,FALSE,"Front and Back"}</definedName>
    <definedName name="wrn.Five._.Year._.Record." localSheetId="29" hidden="1">{"Five Year Record",#N/A,FALSE,"Front and Back"}</definedName>
    <definedName name="wrn.Five._.Year._.Record." localSheetId="1" hidden="1">{"Five Year Record",#N/A,FALSE,"Front and Back"}</definedName>
    <definedName name="wrn.Five._.Year._.Record." localSheetId="31" hidden="1">{"Five Year Record",#N/A,FALSE,"Front and Back"}</definedName>
    <definedName name="wrn.Five._.Year._.Record." hidden="1">{"Five Year Record",#N/A,FALSE,"Front and Back"}</definedName>
    <definedName name="wrn.Flugger." localSheetId="12" hidden="1">{"Res_og_nøgle",#N/A,FALSE,"Hovedark";"Balance",#N/A,FALSE,"Hovedark";"Bagside_DK",#N/A,FALSE,"Bagside"}</definedName>
    <definedName name="wrn.Flugger." localSheetId="18" hidden="1">{"Res_og_nøgle",#N/A,FALSE,"Hovedark";"Balance",#N/A,FALSE,"Hovedark";"Bagside_DK",#N/A,FALSE,"Bagside"}</definedName>
    <definedName name="wrn.Flugger." localSheetId="19" hidden="1">{"Res_og_nøgle",#N/A,FALSE,"Hovedark";"Balance",#N/A,FALSE,"Hovedark";"Bagside_DK",#N/A,FALSE,"Bagside"}</definedName>
    <definedName name="wrn.Flugger." localSheetId="17" hidden="1">{"Res_og_nøgle",#N/A,FALSE,"Hovedark";"Balance",#N/A,FALSE,"Hovedark";"Bagside_DK",#N/A,FALSE,"Bagside"}</definedName>
    <definedName name="wrn.Flugger." localSheetId="22" hidden="1">{"Res_og_nøgle",#N/A,FALSE,"Hovedark";"Balance",#N/A,FALSE,"Hovedark";"Bagside_DK",#N/A,FALSE,"Bagside"}</definedName>
    <definedName name="wrn.Flugger." localSheetId="10" hidden="1">{"Res_og_nøgle",#N/A,FALSE,"Hovedark";"Balance",#N/A,FALSE,"Hovedark";"Bagside_DK",#N/A,FALSE,"Bagside"}</definedName>
    <definedName name="wrn.Flugger." localSheetId="30" hidden="1">{"Res_og_nøgle",#N/A,FALSE,"Hovedark";"Balance",#N/A,FALSE,"Hovedark";"Bagside_DK",#N/A,FALSE,"Bagside"}</definedName>
    <definedName name="wrn.Flugger." localSheetId="0" hidden="1">{"Res_og_nøgle",#N/A,FALSE,"Hovedark";"Balance",#N/A,FALSE,"Hovedark";"Bagside_DK",#N/A,FALSE,"Bagside"}</definedName>
    <definedName name="wrn.Flugger." localSheetId="3" hidden="1">{"Res_og_nøgle",#N/A,FALSE,"Hovedark";"Balance",#N/A,FALSE,"Hovedark";"Bagside_DK",#N/A,FALSE,"Bagside"}</definedName>
    <definedName name="wrn.Flugger." localSheetId="4" hidden="1">{"Res_og_nøgle",#N/A,FALSE,"Hovedark";"Balance",#N/A,FALSE,"Hovedark";"Bagside_DK",#N/A,FALSE,"Bagside"}</definedName>
    <definedName name="wrn.Flugger." localSheetId="28" hidden="1">{"Res_og_nøgle",#N/A,FALSE,"Hovedark";"Balance",#N/A,FALSE,"Hovedark";"Bagside_DK",#N/A,FALSE,"Bagside"}</definedName>
    <definedName name="wrn.Flugger." localSheetId="33" hidden="1">{"Res_og_nøgle",#N/A,FALSE,"Hovedark";"Balance",#N/A,FALSE,"Hovedark";"Bagside_DK",#N/A,FALSE,"Bagside"}</definedName>
    <definedName name="wrn.Flugger." localSheetId="32" hidden="1">{"Res_og_nøgle",#N/A,FALSE,"Hovedark";"Balance",#N/A,FALSE,"Hovedark";"Bagside_DK",#N/A,FALSE,"Bagside"}</definedName>
    <definedName name="wrn.Flugger." localSheetId="7" hidden="1">{"Res_og_nøgle",#N/A,FALSE,"Hovedark";"Balance",#N/A,FALSE,"Hovedark";"Bagside_DK",#N/A,FALSE,"Bagside"}</definedName>
    <definedName name="wrn.Flugger." localSheetId="29" hidden="1">{"Res_og_nøgle",#N/A,FALSE,"Hovedark";"Balance",#N/A,FALSE,"Hovedark";"Bagside_DK",#N/A,FALSE,"Bagside"}</definedName>
    <definedName name="wrn.Flugger." localSheetId="1" hidden="1">{"Res_og_nøgle",#N/A,FALSE,"Hovedark";"Balance",#N/A,FALSE,"Hovedark";"Bagside_DK",#N/A,FALSE,"Bagside"}</definedName>
    <definedName name="wrn.Flugger." localSheetId="31" hidden="1">{"Res_og_nøgle",#N/A,FALSE,"Hovedark";"Balance",#N/A,FALSE,"Hovedark";"Bagside_DK",#N/A,FALSE,"Bagside"}</definedName>
    <definedName name="wrn.Flugger." hidden="1">{"Res_og_nøgle",#N/A,FALSE,"Hovedark";"Balance",#N/A,FALSE,"Hovedark";"Bagside_DK",#N/A,FALSE,"Bagside"}</definedName>
    <definedName name="wrn.Front._.Page." localSheetId="12" hidden="1">{"Front Page",#N/A,FALSE,"Front and Back"}</definedName>
    <definedName name="wrn.Front._.Page." localSheetId="18" hidden="1">{"Front Page",#N/A,FALSE,"Front and Back"}</definedName>
    <definedName name="wrn.Front._.Page." localSheetId="19" hidden="1">{"Front Page",#N/A,FALSE,"Front and Back"}</definedName>
    <definedName name="wrn.Front._.Page." localSheetId="17" hidden="1">{"Front Page",#N/A,FALSE,"Front and Back"}</definedName>
    <definedName name="wrn.Front._.Page." localSheetId="22" hidden="1">{"Front Page",#N/A,FALSE,"Front and Back"}</definedName>
    <definedName name="wrn.Front._.Page." localSheetId="10" hidden="1">{"Front Page",#N/A,FALSE,"Front and Back"}</definedName>
    <definedName name="wrn.Front._.Page." localSheetId="30" hidden="1">{"Front Page",#N/A,FALSE,"Front and Back"}</definedName>
    <definedName name="wrn.Front._.Page." localSheetId="0" hidden="1">{"Front Page",#N/A,FALSE,"Front and Back"}</definedName>
    <definedName name="wrn.Front._.Page." localSheetId="3" hidden="1">{"Front Page",#N/A,FALSE,"Front and Back"}</definedName>
    <definedName name="wrn.Front._.Page." localSheetId="4" hidden="1">{"Front Page",#N/A,FALSE,"Front and Back"}</definedName>
    <definedName name="wrn.Front._.Page." localSheetId="28" hidden="1">{"Front Page",#N/A,FALSE,"Front and Back"}</definedName>
    <definedName name="wrn.Front._.Page." localSheetId="33" hidden="1">{"Front Page",#N/A,FALSE,"Front and Back"}</definedName>
    <definedName name="wrn.Front._.Page." localSheetId="32" hidden="1">{"Front Page",#N/A,FALSE,"Front and Back"}</definedName>
    <definedName name="wrn.Front._.Page." localSheetId="7" hidden="1">{"Front Page",#N/A,FALSE,"Front and Back"}</definedName>
    <definedName name="wrn.Front._.Page." localSheetId="29" hidden="1">{"Front Page",#N/A,FALSE,"Front and Back"}</definedName>
    <definedName name="wrn.Front._.Page." localSheetId="1" hidden="1">{"Front Page",#N/A,FALSE,"Front and Back"}</definedName>
    <definedName name="wrn.Front._.Page." localSheetId="31" hidden="1">{"Front Page",#N/A,FALSE,"Front and Back"}</definedName>
    <definedName name="wrn.Front._.Page." hidden="1">{"Front Page",#N/A,FALSE,"Front and Back"}</definedName>
    <definedName name="wrn.Front_Page." localSheetId="12" hidden="1">{"Front_Page",#N/A,FALSE,"Front Page"}</definedName>
    <definedName name="wrn.Front_Page." localSheetId="18" hidden="1">{"Front_Page",#N/A,FALSE,"Front Page"}</definedName>
    <definedName name="wrn.Front_Page." localSheetId="19" hidden="1">{"Front_Page",#N/A,FALSE,"Front Page"}</definedName>
    <definedName name="wrn.Front_Page." localSheetId="17" hidden="1">{"Front_Page",#N/A,FALSE,"Front Page"}</definedName>
    <definedName name="wrn.Front_Page." localSheetId="22" hidden="1">{"Front_Page",#N/A,FALSE,"Front Page"}</definedName>
    <definedName name="wrn.Front_Page." localSheetId="10" hidden="1">{"Front_Page",#N/A,FALSE,"Front Page"}</definedName>
    <definedName name="wrn.Front_Page." localSheetId="30" hidden="1">{"Front_Page",#N/A,FALSE,"Front Page"}</definedName>
    <definedName name="wrn.Front_Page." localSheetId="0" hidden="1">{"Front_Page",#N/A,FALSE,"Front Page"}</definedName>
    <definedName name="wrn.Front_Page." localSheetId="3" hidden="1">{"Front_Page",#N/A,FALSE,"Front Page"}</definedName>
    <definedName name="wrn.Front_Page." localSheetId="4" hidden="1">{"Front_Page",#N/A,FALSE,"Front Page"}</definedName>
    <definedName name="wrn.Front_Page." localSheetId="28" hidden="1">{"Front_Page",#N/A,FALSE,"Front Page"}</definedName>
    <definedName name="wrn.Front_Page." localSheetId="33" hidden="1">{"Front_Page",#N/A,FALSE,"Front Page"}</definedName>
    <definedName name="wrn.Front_Page." localSheetId="32" hidden="1">{"Front_Page",#N/A,FALSE,"Front Page"}</definedName>
    <definedName name="wrn.Front_Page." localSheetId="7" hidden="1">{"Front_Page",#N/A,FALSE,"Front Page"}</definedName>
    <definedName name="wrn.Front_Page." localSheetId="29" hidden="1">{"Front_Page",#N/A,FALSE,"Front Page"}</definedName>
    <definedName name="wrn.Front_Page." localSheetId="1" hidden="1">{"Front_Page",#N/A,FALSE,"Front Page"}</definedName>
    <definedName name="wrn.Front_Page." localSheetId="31" hidden="1">{"Front_Page",#N/A,FALSE,"Front Page"}</definedName>
    <definedName name="wrn.Front_Page." hidden="1">{"Front_Page",#N/A,FALSE,"Front Page"}</definedName>
    <definedName name="wrn.Full._.model." localSheetId="12" hidden="1">{"landexbravo",#N/A,FALSE,"Land (ex Bravo)";"Schenker_HO",#N/A,FALSE,"Schenker HO";"Landincbravo",#N/A,FALSE,"Land + Bravo";"Logistics",#N/A,FALSE,"Logistics";"Airandsea",#N/A,FALSE,"Air &amp; Sea";"Schenkgroup",#N/A,FALSE,"Schenker Group";"RaabKarcher",#N/A,FALSE,"Raab Karcher";"Brenntag",#N/A,FALSE,"Brenntag";"Interfer",#N/A,FALSE,"Interfer";"F_S",#N/A,FALSE,"F&amp;S";"Full_line",#N/A,FALSE,"Wholesale";"Auto_S",#N/A,FALSE,"Auto_S";"Otherco",#N/A,FALSE,"Other co";"Centraladmin",#N/A,FALSE,"Central Ad";"Consol_adj",#N/A,FALSE,"Consol adj";"Summary98",#N/A,FALSE,"Summary";"Bravo",#N/A,FALSE,"Bravo";"Offerletter",#N/A,FALSE,"Offer letter 1";"Front sheet",#N/A,FALSE,"Comments"}</definedName>
    <definedName name="wrn.Full._.model." localSheetId="18" hidden="1">{"landexbravo",#N/A,FALSE,"Land (ex Bravo)";"Schenker_HO",#N/A,FALSE,"Schenker HO";"Landincbravo",#N/A,FALSE,"Land + Bravo";"Logistics",#N/A,FALSE,"Logistics";"Airandsea",#N/A,FALSE,"Air &amp; Sea";"Schenkgroup",#N/A,FALSE,"Schenker Group";"RaabKarcher",#N/A,FALSE,"Raab Karcher";"Brenntag",#N/A,FALSE,"Brenntag";"Interfer",#N/A,FALSE,"Interfer";"F_S",#N/A,FALSE,"F&amp;S";"Full_line",#N/A,FALSE,"Wholesale";"Auto_S",#N/A,FALSE,"Auto_S";"Otherco",#N/A,FALSE,"Other co";"Centraladmin",#N/A,FALSE,"Central Ad";"Consol_adj",#N/A,FALSE,"Consol adj";"Summary98",#N/A,FALSE,"Summary";"Bravo",#N/A,FALSE,"Bravo";"Offerletter",#N/A,FALSE,"Offer letter 1";"Front sheet",#N/A,FALSE,"Comments"}</definedName>
    <definedName name="wrn.Full._.model." localSheetId="19" hidden="1">{"landexbravo",#N/A,FALSE,"Land (ex Bravo)";"Schenker_HO",#N/A,FALSE,"Schenker HO";"Landincbravo",#N/A,FALSE,"Land + Bravo";"Logistics",#N/A,FALSE,"Logistics";"Airandsea",#N/A,FALSE,"Air &amp; Sea";"Schenkgroup",#N/A,FALSE,"Schenker Group";"RaabKarcher",#N/A,FALSE,"Raab Karcher";"Brenntag",#N/A,FALSE,"Brenntag";"Interfer",#N/A,FALSE,"Interfer";"F_S",#N/A,FALSE,"F&amp;S";"Full_line",#N/A,FALSE,"Wholesale";"Auto_S",#N/A,FALSE,"Auto_S";"Otherco",#N/A,FALSE,"Other co";"Centraladmin",#N/A,FALSE,"Central Ad";"Consol_adj",#N/A,FALSE,"Consol adj";"Summary98",#N/A,FALSE,"Summary";"Bravo",#N/A,FALSE,"Bravo";"Offerletter",#N/A,FALSE,"Offer letter 1";"Front sheet",#N/A,FALSE,"Comments"}</definedName>
    <definedName name="wrn.Full._.model." localSheetId="17" hidden="1">{"landexbravo",#N/A,FALSE,"Land (ex Bravo)";"Schenker_HO",#N/A,FALSE,"Schenker HO";"Landincbravo",#N/A,FALSE,"Land + Bravo";"Logistics",#N/A,FALSE,"Logistics";"Airandsea",#N/A,FALSE,"Air &amp; Sea";"Schenkgroup",#N/A,FALSE,"Schenker Group";"RaabKarcher",#N/A,FALSE,"Raab Karcher";"Brenntag",#N/A,FALSE,"Brenntag";"Interfer",#N/A,FALSE,"Interfer";"F_S",#N/A,FALSE,"F&amp;S";"Full_line",#N/A,FALSE,"Wholesale";"Auto_S",#N/A,FALSE,"Auto_S";"Otherco",#N/A,FALSE,"Other co";"Centraladmin",#N/A,FALSE,"Central Ad";"Consol_adj",#N/A,FALSE,"Consol adj";"Summary98",#N/A,FALSE,"Summary";"Bravo",#N/A,FALSE,"Bravo";"Offerletter",#N/A,FALSE,"Offer letter 1";"Front sheet",#N/A,FALSE,"Comments"}</definedName>
    <definedName name="wrn.Full._.model." localSheetId="22" hidden="1">{"landexbravo",#N/A,FALSE,"Land (ex Bravo)";"Schenker_HO",#N/A,FALSE,"Schenker HO";"Landincbravo",#N/A,FALSE,"Land + Bravo";"Logistics",#N/A,FALSE,"Logistics";"Airandsea",#N/A,FALSE,"Air &amp; Sea";"Schenkgroup",#N/A,FALSE,"Schenker Group";"RaabKarcher",#N/A,FALSE,"Raab Karcher";"Brenntag",#N/A,FALSE,"Brenntag";"Interfer",#N/A,FALSE,"Interfer";"F_S",#N/A,FALSE,"F&amp;S";"Full_line",#N/A,FALSE,"Wholesale";"Auto_S",#N/A,FALSE,"Auto_S";"Otherco",#N/A,FALSE,"Other co";"Centraladmin",#N/A,FALSE,"Central Ad";"Consol_adj",#N/A,FALSE,"Consol adj";"Summary98",#N/A,FALSE,"Summary";"Bravo",#N/A,FALSE,"Bravo";"Offerletter",#N/A,FALSE,"Offer letter 1";"Front sheet",#N/A,FALSE,"Comments"}</definedName>
    <definedName name="wrn.Full._.model." localSheetId="10" hidden="1">{"landexbravo",#N/A,FALSE,"Land (ex Bravo)";"Schenker_HO",#N/A,FALSE,"Schenker HO";"Landincbravo",#N/A,FALSE,"Land + Bravo";"Logistics",#N/A,FALSE,"Logistics";"Airandsea",#N/A,FALSE,"Air &amp; Sea";"Schenkgroup",#N/A,FALSE,"Schenker Group";"RaabKarcher",#N/A,FALSE,"Raab Karcher";"Brenntag",#N/A,FALSE,"Brenntag";"Interfer",#N/A,FALSE,"Interfer";"F_S",#N/A,FALSE,"F&amp;S";"Full_line",#N/A,FALSE,"Wholesale";"Auto_S",#N/A,FALSE,"Auto_S";"Otherco",#N/A,FALSE,"Other co";"Centraladmin",#N/A,FALSE,"Central Ad";"Consol_adj",#N/A,FALSE,"Consol adj";"Summary98",#N/A,FALSE,"Summary";"Bravo",#N/A,FALSE,"Bravo";"Offerletter",#N/A,FALSE,"Offer letter 1";"Front sheet",#N/A,FALSE,"Comments"}</definedName>
    <definedName name="wrn.Full._.model." localSheetId="30" hidden="1">{"landexbravo",#N/A,FALSE,"Land (ex Bravo)";"Schenker_HO",#N/A,FALSE,"Schenker HO";"Landincbravo",#N/A,FALSE,"Land + Bravo";"Logistics",#N/A,FALSE,"Logistics";"Airandsea",#N/A,FALSE,"Air &amp; Sea";"Schenkgroup",#N/A,FALSE,"Schenker Group";"RaabKarcher",#N/A,FALSE,"Raab Karcher";"Brenntag",#N/A,FALSE,"Brenntag";"Interfer",#N/A,FALSE,"Interfer";"F_S",#N/A,FALSE,"F&amp;S";"Full_line",#N/A,FALSE,"Wholesale";"Auto_S",#N/A,FALSE,"Auto_S";"Otherco",#N/A,FALSE,"Other co";"Centraladmin",#N/A,FALSE,"Central Ad";"Consol_adj",#N/A,FALSE,"Consol adj";"Summary98",#N/A,FALSE,"Summary";"Bravo",#N/A,FALSE,"Bravo";"Offerletter",#N/A,FALSE,"Offer letter 1";"Front sheet",#N/A,FALSE,"Comments"}</definedName>
    <definedName name="wrn.Full._.model." localSheetId="0" hidden="1">{"landexbravo",#N/A,FALSE,"Land (ex Bravo)";"Schenker_HO",#N/A,FALSE,"Schenker HO";"Landincbravo",#N/A,FALSE,"Land + Bravo";"Logistics",#N/A,FALSE,"Logistics";"Airandsea",#N/A,FALSE,"Air &amp; Sea";"Schenkgroup",#N/A,FALSE,"Schenker Group";"RaabKarcher",#N/A,FALSE,"Raab Karcher";"Brenntag",#N/A,FALSE,"Brenntag";"Interfer",#N/A,FALSE,"Interfer";"F_S",#N/A,FALSE,"F&amp;S";"Full_line",#N/A,FALSE,"Wholesale";"Auto_S",#N/A,FALSE,"Auto_S";"Otherco",#N/A,FALSE,"Other co";"Centraladmin",#N/A,FALSE,"Central Ad";"Consol_adj",#N/A,FALSE,"Consol adj";"Summary98",#N/A,FALSE,"Summary";"Bravo",#N/A,FALSE,"Bravo";"Offerletter",#N/A,FALSE,"Offer letter 1";"Front sheet",#N/A,FALSE,"Comments"}</definedName>
    <definedName name="wrn.Full._.model." localSheetId="3" hidden="1">{"landexbravo",#N/A,FALSE,"Land (ex Bravo)";"Schenker_HO",#N/A,FALSE,"Schenker HO";"Landincbravo",#N/A,FALSE,"Land + Bravo";"Logistics",#N/A,FALSE,"Logistics";"Airandsea",#N/A,FALSE,"Air &amp; Sea";"Schenkgroup",#N/A,FALSE,"Schenker Group";"RaabKarcher",#N/A,FALSE,"Raab Karcher";"Brenntag",#N/A,FALSE,"Brenntag";"Interfer",#N/A,FALSE,"Interfer";"F_S",#N/A,FALSE,"F&amp;S";"Full_line",#N/A,FALSE,"Wholesale";"Auto_S",#N/A,FALSE,"Auto_S";"Otherco",#N/A,FALSE,"Other co";"Centraladmin",#N/A,FALSE,"Central Ad";"Consol_adj",#N/A,FALSE,"Consol adj";"Summary98",#N/A,FALSE,"Summary";"Bravo",#N/A,FALSE,"Bravo";"Offerletter",#N/A,FALSE,"Offer letter 1";"Front sheet",#N/A,FALSE,"Comments"}</definedName>
    <definedName name="wrn.Full._.model." localSheetId="4" hidden="1">{"landexbravo",#N/A,FALSE,"Land (ex Bravo)";"Schenker_HO",#N/A,FALSE,"Schenker HO";"Landincbravo",#N/A,FALSE,"Land + Bravo";"Logistics",#N/A,FALSE,"Logistics";"Airandsea",#N/A,FALSE,"Air &amp; Sea";"Schenkgroup",#N/A,FALSE,"Schenker Group";"RaabKarcher",#N/A,FALSE,"Raab Karcher";"Brenntag",#N/A,FALSE,"Brenntag";"Interfer",#N/A,FALSE,"Interfer";"F_S",#N/A,FALSE,"F&amp;S";"Full_line",#N/A,FALSE,"Wholesale";"Auto_S",#N/A,FALSE,"Auto_S";"Otherco",#N/A,FALSE,"Other co";"Centraladmin",#N/A,FALSE,"Central Ad";"Consol_adj",#N/A,FALSE,"Consol adj";"Summary98",#N/A,FALSE,"Summary";"Bravo",#N/A,FALSE,"Bravo";"Offerletter",#N/A,FALSE,"Offer letter 1";"Front sheet",#N/A,FALSE,"Comments"}</definedName>
    <definedName name="wrn.Full._.model." localSheetId="28" hidden="1">{"landexbravo",#N/A,FALSE,"Land (ex Bravo)";"Schenker_HO",#N/A,FALSE,"Schenker HO";"Landincbravo",#N/A,FALSE,"Land + Bravo";"Logistics",#N/A,FALSE,"Logistics";"Airandsea",#N/A,FALSE,"Air &amp; Sea";"Schenkgroup",#N/A,FALSE,"Schenker Group";"RaabKarcher",#N/A,FALSE,"Raab Karcher";"Brenntag",#N/A,FALSE,"Brenntag";"Interfer",#N/A,FALSE,"Interfer";"F_S",#N/A,FALSE,"F&amp;S";"Full_line",#N/A,FALSE,"Wholesale";"Auto_S",#N/A,FALSE,"Auto_S";"Otherco",#N/A,FALSE,"Other co";"Centraladmin",#N/A,FALSE,"Central Ad";"Consol_adj",#N/A,FALSE,"Consol adj";"Summary98",#N/A,FALSE,"Summary";"Bravo",#N/A,FALSE,"Bravo";"Offerletter",#N/A,FALSE,"Offer letter 1";"Front sheet",#N/A,FALSE,"Comments"}</definedName>
    <definedName name="wrn.Full._.model." localSheetId="33" hidden="1">{"landexbravo",#N/A,FALSE,"Land (ex Bravo)";"Schenker_HO",#N/A,FALSE,"Schenker HO";"Landincbravo",#N/A,FALSE,"Land + Bravo";"Logistics",#N/A,FALSE,"Logistics";"Airandsea",#N/A,FALSE,"Air &amp; Sea";"Schenkgroup",#N/A,FALSE,"Schenker Group";"RaabKarcher",#N/A,FALSE,"Raab Karcher";"Brenntag",#N/A,FALSE,"Brenntag";"Interfer",#N/A,FALSE,"Interfer";"F_S",#N/A,FALSE,"F&amp;S";"Full_line",#N/A,FALSE,"Wholesale";"Auto_S",#N/A,FALSE,"Auto_S";"Otherco",#N/A,FALSE,"Other co";"Centraladmin",#N/A,FALSE,"Central Ad";"Consol_adj",#N/A,FALSE,"Consol adj";"Summary98",#N/A,FALSE,"Summary";"Bravo",#N/A,FALSE,"Bravo";"Offerletter",#N/A,FALSE,"Offer letter 1";"Front sheet",#N/A,FALSE,"Comments"}</definedName>
    <definedName name="wrn.Full._.model." localSheetId="32" hidden="1">{"landexbravo",#N/A,FALSE,"Land (ex Bravo)";"Schenker_HO",#N/A,FALSE,"Schenker HO";"Landincbravo",#N/A,FALSE,"Land + Bravo";"Logistics",#N/A,FALSE,"Logistics";"Airandsea",#N/A,FALSE,"Air &amp; Sea";"Schenkgroup",#N/A,FALSE,"Schenker Group";"RaabKarcher",#N/A,FALSE,"Raab Karcher";"Brenntag",#N/A,FALSE,"Brenntag";"Interfer",#N/A,FALSE,"Interfer";"F_S",#N/A,FALSE,"F&amp;S";"Full_line",#N/A,FALSE,"Wholesale";"Auto_S",#N/A,FALSE,"Auto_S";"Otherco",#N/A,FALSE,"Other co";"Centraladmin",#N/A,FALSE,"Central Ad";"Consol_adj",#N/A,FALSE,"Consol adj";"Summary98",#N/A,FALSE,"Summary";"Bravo",#N/A,FALSE,"Bravo";"Offerletter",#N/A,FALSE,"Offer letter 1";"Front sheet",#N/A,FALSE,"Comments"}</definedName>
    <definedName name="wrn.Full._.model." localSheetId="7" hidden="1">{"landexbravo",#N/A,FALSE,"Land (ex Bravo)";"Schenker_HO",#N/A,FALSE,"Schenker HO";"Landincbravo",#N/A,FALSE,"Land + Bravo";"Logistics",#N/A,FALSE,"Logistics";"Airandsea",#N/A,FALSE,"Air &amp; Sea";"Schenkgroup",#N/A,FALSE,"Schenker Group";"RaabKarcher",#N/A,FALSE,"Raab Karcher";"Brenntag",#N/A,FALSE,"Brenntag";"Interfer",#N/A,FALSE,"Interfer";"F_S",#N/A,FALSE,"F&amp;S";"Full_line",#N/A,FALSE,"Wholesale";"Auto_S",#N/A,FALSE,"Auto_S";"Otherco",#N/A,FALSE,"Other co";"Centraladmin",#N/A,FALSE,"Central Ad";"Consol_adj",#N/A,FALSE,"Consol adj";"Summary98",#N/A,FALSE,"Summary";"Bravo",#N/A,FALSE,"Bravo";"Offerletter",#N/A,FALSE,"Offer letter 1";"Front sheet",#N/A,FALSE,"Comments"}</definedName>
    <definedName name="wrn.Full._.model." localSheetId="29" hidden="1">{"landexbravo",#N/A,FALSE,"Land (ex Bravo)";"Schenker_HO",#N/A,FALSE,"Schenker HO";"Landincbravo",#N/A,FALSE,"Land + Bravo";"Logistics",#N/A,FALSE,"Logistics";"Airandsea",#N/A,FALSE,"Air &amp; Sea";"Schenkgroup",#N/A,FALSE,"Schenker Group";"RaabKarcher",#N/A,FALSE,"Raab Karcher";"Brenntag",#N/A,FALSE,"Brenntag";"Interfer",#N/A,FALSE,"Interfer";"F_S",#N/A,FALSE,"F&amp;S";"Full_line",#N/A,FALSE,"Wholesale";"Auto_S",#N/A,FALSE,"Auto_S";"Otherco",#N/A,FALSE,"Other co";"Centraladmin",#N/A,FALSE,"Central Ad";"Consol_adj",#N/A,FALSE,"Consol adj";"Summary98",#N/A,FALSE,"Summary";"Bravo",#N/A,FALSE,"Bravo";"Offerletter",#N/A,FALSE,"Offer letter 1";"Front sheet",#N/A,FALSE,"Comments"}</definedName>
    <definedName name="wrn.Full._.model." localSheetId="1" hidden="1">{"landexbravo",#N/A,FALSE,"Land (ex Bravo)";"Schenker_HO",#N/A,FALSE,"Schenker HO";"Landincbravo",#N/A,FALSE,"Land + Bravo";"Logistics",#N/A,FALSE,"Logistics";"Airandsea",#N/A,FALSE,"Air &amp; Sea";"Schenkgroup",#N/A,FALSE,"Schenker Group";"RaabKarcher",#N/A,FALSE,"Raab Karcher";"Brenntag",#N/A,FALSE,"Brenntag";"Interfer",#N/A,FALSE,"Interfer";"F_S",#N/A,FALSE,"F&amp;S";"Full_line",#N/A,FALSE,"Wholesale";"Auto_S",#N/A,FALSE,"Auto_S";"Otherco",#N/A,FALSE,"Other co";"Centraladmin",#N/A,FALSE,"Central Ad";"Consol_adj",#N/A,FALSE,"Consol adj";"Summary98",#N/A,FALSE,"Summary";"Bravo",#N/A,FALSE,"Bravo";"Offerletter",#N/A,FALSE,"Offer letter 1";"Front sheet",#N/A,FALSE,"Comments"}</definedName>
    <definedName name="wrn.Full._.model." localSheetId="31" hidden="1">{"landexbravo",#N/A,FALSE,"Land (ex Bravo)";"Schenker_HO",#N/A,FALSE,"Schenker HO";"Landincbravo",#N/A,FALSE,"Land + Bravo";"Logistics",#N/A,FALSE,"Logistics";"Airandsea",#N/A,FALSE,"Air &amp; Sea";"Schenkgroup",#N/A,FALSE,"Schenker Group";"RaabKarcher",#N/A,FALSE,"Raab Karcher";"Brenntag",#N/A,FALSE,"Brenntag";"Interfer",#N/A,FALSE,"Interfer";"F_S",#N/A,FALSE,"F&amp;S";"Full_line",#N/A,FALSE,"Wholesale";"Auto_S",#N/A,FALSE,"Auto_S";"Otherco",#N/A,FALSE,"Other co";"Centraladmin",#N/A,FALSE,"Central Ad";"Consol_adj",#N/A,FALSE,"Consol adj";"Summary98",#N/A,FALSE,"Summary";"Bravo",#N/A,FALSE,"Bravo";"Offerletter",#N/A,FALSE,"Offer letter 1";"Front sheet",#N/A,FALSE,"Comments"}</definedName>
    <definedName name="wrn.Full._.model." hidden="1">{"landexbravo",#N/A,FALSE,"Land (ex Bravo)";"Schenker_HO",#N/A,FALSE,"Schenker HO";"Landincbravo",#N/A,FALSE,"Land + Bravo";"Logistics",#N/A,FALSE,"Logistics";"Airandsea",#N/A,FALSE,"Air &amp; Sea";"Schenkgroup",#N/A,FALSE,"Schenker Group";"RaabKarcher",#N/A,FALSE,"Raab Karcher";"Brenntag",#N/A,FALSE,"Brenntag";"Interfer",#N/A,FALSE,"Interfer";"F_S",#N/A,FALSE,"F&amp;S";"Full_line",#N/A,FALSE,"Wholesale";"Auto_S",#N/A,FALSE,"Auto_S";"Otherco",#N/A,FALSE,"Other co";"Centraladmin",#N/A,FALSE,"Central Ad";"Consol_adj",#N/A,FALSE,"Consol adj";"Summary98",#N/A,FALSE,"Summary";"Bravo",#N/A,FALSE,"Bravo";"Offerletter",#N/A,FALSE,"Offer letter 1";"Front sheet",#N/A,FALSE,"Comments"}</definedName>
    <definedName name="wrn.Full._.Print._.Out." localSheetId="12"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Print._.Out." localSheetId="18"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Print._.Out." localSheetId="19"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Print._.Out." localSheetId="17"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Print._.Out." localSheetId="22"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Print._.Out." localSheetId="10"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Print._.Out." localSheetId="30"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Print._.Out." localSheetId="0"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Print._.Out." localSheetId="3"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Print._.Out." localSheetId="4"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Print._.Out." localSheetId="28"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Print._.Out." localSheetId="33"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Print._.Out." localSheetId="32"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Print._.Out." localSheetId="7"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Print._.Out." localSheetId="29"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Print._.Out." localSheetId="1"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Print._.Out." localSheetId="31"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Print._.Out."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General_Model_Assumptions." localSheetId="12" hidden="1">{#N/A,#N/A,FALSE,"GenAssump"}</definedName>
    <definedName name="wrn.General_Model_Assumptions." localSheetId="18" hidden="1">{#N/A,#N/A,FALSE,"GenAssump"}</definedName>
    <definedName name="wrn.General_Model_Assumptions." localSheetId="19" hidden="1">{#N/A,#N/A,FALSE,"GenAssump"}</definedName>
    <definedName name="wrn.General_Model_Assumptions." localSheetId="17" hidden="1">{#N/A,#N/A,FALSE,"GenAssump"}</definedName>
    <definedName name="wrn.General_Model_Assumptions." localSheetId="22" hidden="1">{#N/A,#N/A,FALSE,"GenAssump"}</definedName>
    <definedName name="wrn.General_Model_Assumptions." localSheetId="10" hidden="1">{#N/A,#N/A,FALSE,"GenAssump"}</definedName>
    <definedName name="wrn.General_Model_Assumptions." localSheetId="30" hidden="1">{#N/A,#N/A,FALSE,"GenAssump"}</definedName>
    <definedName name="wrn.General_Model_Assumptions." localSheetId="0" hidden="1">{#N/A,#N/A,FALSE,"GenAssump"}</definedName>
    <definedName name="wrn.General_Model_Assumptions." localSheetId="3" hidden="1">{#N/A,#N/A,FALSE,"GenAssump"}</definedName>
    <definedName name="wrn.General_Model_Assumptions." localSheetId="4" hidden="1">{#N/A,#N/A,FALSE,"GenAssump"}</definedName>
    <definedName name="wrn.General_Model_Assumptions." localSheetId="28" hidden="1">{#N/A,#N/A,FALSE,"GenAssump"}</definedName>
    <definedName name="wrn.General_Model_Assumptions." localSheetId="33" hidden="1">{#N/A,#N/A,FALSE,"GenAssump"}</definedName>
    <definedName name="wrn.General_Model_Assumptions." localSheetId="32" hidden="1">{#N/A,#N/A,FALSE,"GenAssump"}</definedName>
    <definedName name="wrn.General_Model_Assumptions." localSheetId="7" hidden="1">{#N/A,#N/A,FALSE,"GenAssump"}</definedName>
    <definedName name="wrn.General_Model_Assumptions." localSheetId="29" hidden="1">{#N/A,#N/A,FALSE,"GenAssump"}</definedName>
    <definedName name="wrn.General_Model_Assumptions." localSheetId="1" hidden="1">{#N/A,#N/A,FALSE,"GenAssump"}</definedName>
    <definedName name="wrn.General_Model_Assumptions." localSheetId="31" hidden="1">{#N/A,#N/A,FALSE,"GenAssump"}</definedName>
    <definedName name="wrn.General_Model_Assumptions." hidden="1">{#N/A,#N/A,FALSE,"GenAssump"}</definedName>
    <definedName name="wrn.Geographic._.Trends." localSheetId="12" hidden="1">{"Geographic P1",#N/A,FALSE,"Division &amp; Geog"}</definedName>
    <definedName name="wrn.Geographic._.Trends." localSheetId="18" hidden="1">{"Geographic P1",#N/A,FALSE,"Division &amp; Geog"}</definedName>
    <definedName name="wrn.Geographic._.Trends." localSheetId="19" hidden="1">{"Geographic P1",#N/A,FALSE,"Division &amp; Geog"}</definedName>
    <definedName name="wrn.Geographic._.Trends." localSheetId="17" hidden="1">{"Geographic P1",#N/A,FALSE,"Division &amp; Geog"}</definedName>
    <definedName name="wrn.Geographic._.Trends." localSheetId="22" hidden="1">{"Geographic P1",#N/A,FALSE,"Division &amp; Geog"}</definedName>
    <definedName name="wrn.Geographic._.Trends." localSheetId="10" hidden="1">{"Geographic P1",#N/A,FALSE,"Division &amp; Geog"}</definedName>
    <definedName name="wrn.Geographic._.Trends." localSheetId="30" hidden="1">{"Geographic P1",#N/A,FALSE,"Division &amp; Geog"}</definedName>
    <definedName name="wrn.Geographic._.Trends." localSheetId="0" hidden="1">{"Geographic P1",#N/A,FALSE,"Division &amp; Geog"}</definedName>
    <definedName name="wrn.Geographic._.Trends." localSheetId="3" hidden="1">{"Geographic P1",#N/A,FALSE,"Division &amp; Geog"}</definedName>
    <definedName name="wrn.Geographic._.Trends." localSheetId="4" hidden="1">{"Geographic P1",#N/A,FALSE,"Division &amp; Geog"}</definedName>
    <definedName name="wrn.Geographic._.Trends." localSheetId="28" hidden="1">{"Geographic P1",#N/A,FALSE,"Division &amp; Geog"}</definedName>
    <definedName name="wrn.Geographic._.Trends." localSheetId="33" hidden="1">{"Geographic P1",#N/A,FALSE,"Division &amp; Geog"}</definedName>
    <definedName name="wrn.Geographic._.Trends." localSheetId="32" hidden="1">{"Geographic P1",#N/A,FALSE,"Division &amp; Geog"}</definedName>
    <definedName name="wrn.Geographic._.Trends." localSheetId="7" hidden="1">{"Geographic P1",#N/A,FALSE,"Division &amp; Geog"}</definedName>
    <definedName name="wrn.Geographic._.Trends." localSheetId="29" hidden="1">{"Geographic P1",#N/A,FALSE,"Division &amp; Geog"}</definedName>
    <definedName name="wrn.Geographic._.Trends." localSheetId="1" hidden="1">{"Geographic P1",#N/A,FALSE,"Division &amp; Geog"}</definedName>
    <definedName name="wrn.Geographic._.Trends." localSheetId="31" hidden="1">{"Geographic P1",#N/A,FALSE,"Division &amp; Geog"}</definedName>
    <definedName name="wrn.Geographic._.Trends." hidden="1">{"Geographic P1",#N/A,FALSE,"Division &amp; Geog"}</definedName>
    <definedName name="wrn.Hele." localSheetId="12" hidden="1">{"Side 1",#N/A,FALSE,"Hovedark";"Side 2",#N/A,FALSE,"Hovedark";"Cash Flow",#N/A,FALSE,"Hovedark";"Kvartaler",#N/A,FALSE,"Kvartaler";"Div_1",#N/A,FALSE,"Divisioner";"Div_2",#N/A,FALSE,"Divisioner";"Aggregeret",#N/A,FALSE,"Divisioner";"Oppsummering",#N/A,FALSE,"Divisioner";"Produkter",#N/A,FALSE,"Produkter";"Bakside",#N/A,FALSE,"Bagside"}</definedName>
    <definedName name="wrn.Hele." localSheetId="18" hidden="1">{"Side 1",#N/A,FALSE,"Hovedark";"Side 2",#N/A,FALSE,"Hovedark";"Cash Flow",#N/A,FALSE,"Hovedark";"Kvartaler",#N/A,FALSE,"Kvartaler";"Div_1",#N/A,FALSE,"Divisioner";"Div_2",#N/A,FALSE,"Divisioner";"Aggregeret",#N/A,FALSE,"Divisioner";"Oppsummering",#N/A,FALSE,"Divisioner";"Produkter",#N/A,FALSE,"Produkter";"Bakside",#N/A,FALSE,"Bagside"}</definedName>
    <definedName name="wrn.Hele." localSheetId="19" hidden="1">{"Side 1",#N/A,FALSE,"Hovedark";"Side 2",#N/A,FALSE,"Hovedark";"Cash Flow",#N/A,FALSE,"Hovedark";"Kvartaler",#N/A,FALSE,"Kvartaler";"Div_1",#N/A,FALSE,"Divisioner";"Div_2",#N/A,FALSE,"Divisioner";"Aggregeret",#N/A,FALSE,"Divisioner";"Oppsummering",#N/A,FALSE,"Divisioner";"Produkter",#N/A,FALSE,"Produkter";"Bakside",#N/A,FALSE,"Bagside"}</definedName>
    <definedName name="wrn.Hele." localSheetId="17" hidden="1">{"Side 1",#N/A,FALSE,"Hovedark";"Side 2",#N/A,FALSE,"Hovedark";"Cash Flow",#N/A,FALSE,"Hovedark";"Kvartaler",#N/A,FALSE,"Kvartaler";"Div_1",#N/A,FALSE,"Divisioner";"Div_2",#N/A,FALSE,"Divisioner";"Aggregeret",#N/A,FALSE,"Divisioner";"Oppsummering",#N/A,FALSE,"Divisioner";"Produkter",#N/A,FALSE,"Produkter";"Bakside",#N/A,FALSE,"Bagside"}</definedName>
    <definedName name="wrn.Hele." localSheetId="22" hidden="1">{"Side 1",#N/A,FALSE,"Hovedark";"Side 2",#N/A,FALSE,"Hovedark";"Cash Flow",#N/A,FALSE,"Hovedark";"Kvartaler",#N/A,FALSE,"Kvartaler";"Div_1",#N/A,FALSE,"Divisioner";"Div_2",#N/A,FALSE,"Divisioner";"Aggregeret",#N/A,FALSE,"Divisioner";"Oppsummering",#N/A,FALSE,"Divisioner";"Produkter",#N/A,FALSE,"Produkter";"Bakside",#N/A,FALSE,"Bagside"}</definedName>
    <definedName name="wrn.Hele." localSheetId="10" hidden="1">{"Side 1",#N/A,FALSE,"Hovedark";"Side 2",#N/A,FALSE,"Hovedark";"Cash Flow",#N/A,FALSE,"Hovedark";"Kvartaler",#N/A,FALSE,"Kvartaler";"Div_1",#N/A,FALSE,"Divisioner";"Div_2",#N/A,FALSE,"Divisioner";"Aggregeret",#N/A,FALSE,"Divisioner";"Oppsummering",#N/A,FALSE,"Divisioner";"Produkter",#N/A,FALSE,"Produkter";"Bakside",#N/A,FALSE,"Bagside"}</definedName>
    <definedName name="wrn.Hele." localSheetId="30" hidden="1">{"Side 1",#N/A,FALSE,"Hovedark";"Side 2",#N/A,FALSE,"Hovedark";"Cash Flow",#N/A,FALSE,"Hovedark";"Kvartaler",#N/A,FALSE,"Kvartaler";"Div_1",#N/A,FALSE,"Divisioner";"Div_2",#N/A,FALSE,"Divisioner";"Aggregeret",#N/A,FALSE,"Divisioner";"Oppsummering",#N/A,FALSE,"Divisioner";"Produkter",#N/A,FALSE,"Produkter";"Bakside",#N/A,FALSE,"Bagside"}</definedName>
    <definedName name="wrn.Hele." localSheetId="0" hidden="1">{"Side 1",#N/A,FALSE,"Hovedark";"Side 2",#N/A,FALSE,"Hovedark";"Cash Flow",#N/A,FALSE,"Hovedark";"Kvartaler",#N/A,FALSE,"Kvartaler";"Div_1",#N/A,FALSE,"Divisioner";"Div_2",#N/A,FALSE,"Divisioner";"Aggregeret",#N/A,FALSE,"Divisioner";"Oppsummering",#N/A,FALSE,"Divisioner";"Produkter",#N/A,FALSE,"Produkter";"Bakside",#N/A,FALSE,"Bagside"}</definedName>
    <definedName name="wrn.Hele." localSheetId="3" hidden="1">{"Side 1",#N/A,FALSE,"Hovedark";"Side 2",#N/A,FALSE,"Hovedark";"Cash Flow",#N/A,FALSE,"Hovedark";"Kvartaler",#N/A,FALSE,"Kvartaler";"Div_1",#N/A,FALSE,"Divisioner";"Div_2",#N/A,FALSE,"Divisioner";"Aggregeret",#N/A,FALSE,"Divisioner";"Oppsummering",#N/A,FALSE,"Divisioner";"Produkter",#N/A,FALSE,"Produkter";"Bakside",#N/A,FALSE,"Bagside"}</definedName>
    <definedName name="wrn.Hele." localSheetId="4" hidden="1">{"Side 1",#N/A,FALSE,"Hovedark";"Side 2",#N/A,FALSE,"Hovedark";"Cash Flow",#N/A,FALSE,"Hovedark";"Kvartaler",#N/A,FALSE,"Kvartaler";"Div_1",#N/A,FALSE,"Divisioner";"Div_2",#N/A,FALSE,"Divisioner";"Aggregeret",#N/A,FALSE,"Divisioner";"Oppsummering",#N/A,FALSE,"Divisioner";"Produkter",#N/A,FALSE,"Produkter";"Bakside",#N/A,FALSE,"Bagside"}</definedName>
    <definedName name="wrn.Hele." localSheetId="28" hidden="1">{"Side 1",#N/A,FALSE,"Hovedark";"Side 2",#N/A,FALSE,"Hovedark";"Cash Flow",#N/A,FALSE,"Hovedark";"Kvartaler",#N/A,FALSE,"Kvartaler";"Div_1",#N/A,FALSE,"Divisioner";"Div_2",#N/A,FALSE,"Divisioner";"Aggregeret",#N/A,FALSE,"Divisioner";"Oppsummering",#N/A,FALSE,"Divisioner";"Produkter",#N/A,FALSE,"Produkter";"Bakside",#N/A,FALSE,"Bagside"}</definedName>
    <definedName name="wrn.Hele." localSheetId="33" hidden="1">{"Side 1",#N/A,FALSE,"Hovedark";"Side 2",#N/A,FALSE,"Hovedark";"Cash Flow",#N/A,FALSE,"Hovedark";"Kvartaler",#N/A,FALSE,"Kvartaler";"Div_1",#N/A,FALSE,"Divisioner";"Div_2",#N/A,FALSE,"Divisioner";"Aggregeret",#N/A,FALSE,"Divisioner";"Oppsummering",#N/A,FALSE,"Divisioner";"Produkter",#N/A,FALSE,"Produkter";"Bakside",#N/A,FALSE,"Bagside"}</definedName>
    <definedName name="wrn.Hele." localSheetId="32" hidden="1">{"Side 1",#N/A,FALSE,"Hovedark";"Side 2",#N/A,FALSE,"Hovedark";"Cash Flow",#N/A,FALSE,"Hovedark";"Kvartaler",#N/A,FALSE,"Kvartaler";"Div_1",#N/A,FALSE,"Divisioner";"Div_2",#N/A,FALSE,"Divisioner";"Aggregeret",#N/A,FALSE,"Divisioner";"Oppsummering",#N/A,FALSE,"Divisioner";"Produkter",#N/A,FALSE,"Produkter";"Bakside",#N/A,FALSE,"Bagside"}</definedName>
    <definedName name="wrn.Hele." localSheetId="7" hidden="1">{"Side 1",#N/A,FALSE,"Hovedark";"Side 2",#N/A,FALSE,"Hovedark";"Cash Flow",#N/A,FALSE,"Hovedark";"Kvartaler",#N/A,FALSE,"Kvartaler";"Div_1",#N/A,FALSE,"Divisioner";"Div_2",#N/A,FALSE,"Divisioner";"Aggregeret",#N/A,FALSE,"Divisioner";"Oppsummering",#N/A,FALSE,"Divisioner";"Produkter",#N/A,FALSE,"Produkter";"Bakside",#N/A,FALSE,"Bagside"}</definedName>
    <definedName name="wrn.Hele." localSheetId="29" hidden="1">{"Side 1",#N/A,FALSE,"Hovedark";"Side 2",#N/A,FALSE,"Hovedark";"Cash Flow",#N/A,FALSE,"Hovedark";"Kvartaler",#N/A,FALSE,"Kvartaler";"Div_1",#N/A,FALSE,"Divisioner";"Div_2",#N/A,FALSE,"Divisioner";"Aggregeret",#N/A,FALSE,"Divisioner";"Oppsummering",#N/A,FALSE,"Divisioner";"Produkter",#N/A,FALSE,"Produkter";"Bakside",#N/A,FALSE,"Bagside"}</definedName>
    <definedName name="wrn.Hele." localSheetId="1" hidden="1">{"Side 1",#N/A,FALSE,"Hovedark";"Side 2",#N/A,FALSE,"Hovedark";"Cash Flow",#N/A,FALSE,"Hovedark";"Kvartaler",#N/A,FALSE,"Kvartaler";"Div_1",#N/A,FALSE,"Divisioner";"Div_2",#N/A,FALSE,"Divisioner";"Aggregeret",#N/A,FALSE,"Divisioner";"Oppsummering",#N/A,FALSE,"Divisioner";"Produkter",#N/A,FALSE,"Produkter";"Bakside",#N/A,FALSE,"Bagside"}</definedName>
    <definedName name="wrn.Hele." localSheetId="31" hidden="1">{"Side 1",#N/A,FALSE,"Hovedark";"Side 2",#N/A,FALSE,"Hovedark";"Cash Flow",#N/A,FALSE,"Hovedark";"Kvartaler",#N/A,FALSE,"Kvartaler";"Div_1",#N/A,FALSE,"Divisioner";"Div_2",#N/A,FALSE,"Divisioner";"Aggregeret",#N/A,FALSE,"Divisioner";"Oppsummering",#N/A,FALSE,"Divisioner";"Produkter",#N/A,FALSE,"Produkter";"Bakside",#N/A,FALSE,"Bagside"}</definedName>
    <definedName name="wrn.Hele." hidden="1">{"Side 1",#N/A,FALSE,"Hovedark";"Side 2",#N/A,FALSE,"Hovedark";"Cash Flow",#N/A,FALSE,"Hovedark";"Kvartaler",#N/A,FALSE,"Kvartaler";"Div_1",#N/A,FALSE,"Divisioner";"Div_2",#N/A,FALSE,"Divisioner";"Aggregeret",#N/A,FALSE,"Divisioner";"Oppsummering",#N/A,FALSE,"Divisioner";"Produkter",#N/A,FALSE,"Produkter";"Bakside",#N/A,FALSE,"Bagside"}</definedName>
    <definedName name="wrn.Income._.Statement." localSheetId="12" hidden="1">{#N/A,#N/A,FALSE,"Report Print"}</definedName>
    <definedName name="wrn.Income._.Statement." localSheetId="18" hidden="1">{#N/A,#N/A,FALSE,"Report Print"}</definedName>
    <definedName name="wrn.Income._.Statement." localSheetId="19" hidden="1">{#N/A,#N/A,FALSE,"Report Print"}</definedName>
    <definedName name="wrn.Income._.Statement." localSheetId="17" hidden="1">{#N/A,#N/A,FALSE,"Report Print"}</definedName>
    <definedName name="wrn.Income._.Statement." localSheetId="22" hidden="1">{#N/A,#N/A,FALSE,"Report Print"}</definedName>
    <definedName name="wrn.Income._.Statement." localSheetId="10" hidden="1">{#N/A,#N/A,FALSE,"Report Print"}</definedName>
    <definedName name="wrn.Income._.Statement." localSheetId="30" hidden="1">{#N/A,#N/A,FALSE,"Report Print"}</definedName>
    <definedName name="wrn.Income._.Statement." localSheetId="0" hidden="1">{#N/A,#N/A,FALSE,"Report Print"}</definedName>
    <definedName name="wrn.Income._.Statement." localSheetId="3" hidden="1">{#N/A,#N/A,FALSE,"Report Print"}</definedName>
    <definedName name="wrn.Income._.Statement." localSheetId="4" hidden="1">{#N/A,#N/A,FALSE,"Report Print"}</definedName>
    <definedName name="wrn.Income._.Statement." localSheetId="28" hidden="1">{#N/A,#N/A,FALSE,"Report Print"}</definedName>
    <definedName name="wrn.Income._.Statement." localSheetId="33" hidden="1">{#N/A,#N/A,FALSE,"Report Print"}</definedName>
    <definedName name="wrn.Income._.Statement." localSheetId="32" hidden="1">{#N/A,#N/A,FALSE,"Report Print"}</definedName>
    <definedName name="wrn.Income._.Statement." localSheetId="7" hidden="1">{#N/A,#N/A,FALSE,"Report Print"}</definedName>
    <definedName name="wrn.Income._.Statement." localSheetId="29" hidden="1">{#N/A,#N/A,FALSE,"Report Print"}</definedName>
    <definedName name="wrn.Income._.Statement." localSheetId="1" hidden="1">{#N/A,#N/A,FALSE,"Report Print"}</definedName>
    <definedName name="wrn.Income._.Statement." localSheetId="31" hidden="1">{#N/A,#N/A,FALSE,"Report Print"}</definedName>
    <definedName name="wrn.Income._.Statement." hidden="1">{#N/A,#N/A,FALSE,"Report Print"}</definedName>
    <definedName name="wrn.Informes." localSheetId="12" hidden="1">{#N/A,#N/A,FALSE,"CN Oficial RESUMIDA EXCanon";#N/A,#N/A,FALSE,"CN Oficial";#N/A,#N/A,FALSE,"CA Oficial";#N/A,#N/A,FALSE,"PLANTILLA";#N/A,#N/A,FALSE,"BAL";#N/A,#N/A,FALSE,"PT_Finanzas";#N/A,#N/A,FALSE,"INVERSIONES BIEN"}</definedName>
    <definedName name="wrn.Informes." localSheetId="18" hidden="1">{#N/A,#N/A,FALSE,"CN Oficial RESUMIDA EXCanon";#N/A,#N/A,FALSE,"CN Oficial";#N/A,#N/A,FALSE,"CA Oficial";#N/A,#N/A,FALSE,"PLANTILLA";#N/A,#N/A,FALSE,"BAL";#N/A,#N/A,FALSE,"PT_Finanzas";#N/A,#N/A,FALSE,"INVERSIONES BIEN"}</definedName>
    <definedName name="wrn.Informes." localSheetId="19" hidden="1">{#N/A,#N/A,FALSE,"CN Oficial RESUMIDA EXCanon";#N/A,#N/A,FALSE,"CN Oficial";#N/A,#N/A,FALSE,"CA Oficial";#N/A,#N/A,FALSE,"PLANTILLA";#N/A,#N/A,FALSE,"BAL";#N/A,#N/A,FALSE,"PT_Finanzas";#N/A,#N/A,FALSE,"INVERSIONES BIEN"}</definedName>
    <definedName name="wrn.Informes." localSheetId="17" hidden="1">{#N/A,#N/A,FALSE,"CN Oficial RESUMIDA EXCanon";#N/A,#N/A,FALSE,"CN Oficial";#N/A,#N/A,FALSE,"CA Oficial";#N/A,#N/A,FALSE,"PLANTILLA";#N/A,#N/A,FALSE,"BAL";#N/A,#N/A,FALSE,"PT_Finanzas";#N/A,#N/A,FALSE,"INVERSIONES BIEN"}</definedName>
    <definedName name="wrn.Informes." localSheetId="22" hidden="1">{#N/A,#N/A,FALSE,"CN Oficial RESUMIDA EXCanon";#N/A,#N/A,FALSE,"CN Oficial";#N/A,#N/A,FALSE,"CA Oficial";#N/A,#N/A,FALSE,"PLANTILLA";#N/A,#N/A,FALSE,"BAL";#N/A,#N/A,FALSE,"PT_Finanzas";#N/A,#N/A,FALSE,"INVERSIONES BIEN"}</definedName>
    <definedName name="wrn.Informes." localSheetId="10" hidden="1">{#N/A,#N/A,FALSE,"CN Oficial RESUMIDA EXCanon";#N/A,#N/A,FALSE,"CN Oficial";#N/A,#N/A,FALSE,"CA Oficial";#N/A,#N/A,FALSE,"PLANTILLA";#N/A,#N/A,FALSE,"BAL";#N/A,#N/A,FALSE,"PT_Finanzas";#N/A,#N/A,FALSE,"INVERSIONES BIEN"}</definedName>
    <definedName name="wrn.Informes." localSheetId="30" hidden="1">{#N/A,#N/A,FALSE,"CN Oficial RESUMIDA EXCanon";#N/A,#N/A,FALSE,"CN Oficial";#N/A,#N/A,FALSE,"CA Oficial";#N/A,#N/A,FALSE,"PLANTILLA";#N/A,#N/A,FALSE,"BAL";#N/A,#N/A,FALSE,"PT_Finanzas";#N/A,#N/A,FALSE,"INVERSIONES BIEN"}</definedName>
    <definedName name="wrn.Informes." localSheetId="0" hidden="1">{#N/A,#N/A,FALSE,"CN Oficial RESUMIDA EXCanon";#N/A,#N/A,FALSE,"CN Oficial";#N/A,#N/A,FALSE,"CA Oficial";#N/A,#N/A,FALSE,"PLANTILLA";#N/A,#N/A,FALSE,"BAL";#N/A,#N/A,FALSE,"PT_Finanzas";#N/A,#N/A,FALSE,"INVERSIONES BIEN"}</definedName>
    <definedName name="wrn.Informes." localSheetId="3" hidden="1">{#N/A,#N/A,FALSE,"CN Oficial RESUMIDA EXCanon";#N/A,#N/A,FALSE,"CN Oficial";#N/A,#N/A,FALSE,"CA Oficial";#N/A,#N/A,FALSE,"PLANTILLA";#N/A,#N/A,FALSE,"BAL";#N/A,#N/A,FALSE,"PT_Finanzas";#N/A,#N/A,FALSE,"INVERSIONES BIEN"}</definedName>
    <definedName name="wrn.Informes." localSheetId="4" hidden="1">{#N/A,#N/A,FALSE,"CN Oficial RESUMIDA EXCanon";#N/A,#N/A,FALSE,"CN Oficial";#N/A,#N/A,FALSE,"CA Oficial";#N/A,#N/A,FALSE,"PLANTILLA";#N/A,#N/A,FALSE,"BAL";#N/A,#N/A,FALSE,"PT_Finanzas";#N/A,#N/A,FALSE,"INVERSIONES BIEN"}</definedName>
    <definedName name="wrn.Informes." localSheetId="28" hidden="1">{#N/A,#N/A,FALSE,"CN Oficial RESUMIDA EXCanon";#N/A,#N/A,FALSE,"CN Oficial";#N/A,#N/A,FALSE,"CA Oficial";#N/A,#N/A,FALSE,"PLANTILLA";#N/A,#N/A,FALSE,"BAL";#N/A,#N/A,FALSE,"PT_Finanzas";#N/A,#N/A,FALSE,"INVERSIONES BIEN"}</definedName>
    <definedName name="wrn.Informes." localSheetId="33" hidden="1">{#N/A,#N/A,FALSE,"CN Oficial RESUMIDA EXCanon";#N/A,#N/A,FALSE,"CN Oficial";#N/A,#N/A,FALSE,"CA Oficial";#N/A,#N/A,FALSE,"PLANTILLA";#N/A,#N/A,FALSE,"BAL";#N/A,#N/A,FALSE,"PT_Finanzas";#N/A,#N/A,FALSE,"INVERSIONES BIEN"}</definedName>
    <definedName name="wrn.Informes." localSheetId="32" hidden="1">{#N/A,#N/A,FALSE,"CN Oficial RESUMIDA EXCanon";#N/A,#N/A,FALSE,"CN Oficial";#N/A,#N/A,FALSE,"CA Oficial";#N/A,#N/A,FALSE,"PLANTILLA";#N/A,#N/A,FALSE,"BAL";#N/A,#N/A,FALSE,"PT_Finanzas";#N/A,#N/A,FALSE,"INVERSIONES BIEN"}</definedName>
    <definedName name="wrn.Informes." localSheetId="7" hidden="1">{#N/A,#N/A,FALSE,"CN Oficial RESUMIDA EXCanon";#N/A,#N/A,FALSE,"CN Oficial";#N/A,#N/A,FALSE,"CA Oficial";#N/A,#N/A,FALSE,"PLANTILLA";#N/A,#N/A,FALSE,"BAL";#N/A,#N/A,FALSE,"PT_Finanzas";#N/A,#N/A,FALSE,"INVERSIONES BIEN"}</definedName>
    <definedName name="wrn.Informes." localSheetId="29" hidden="1">{#N/A,#N/A,FALSE,"CN Oficial RESUMIDA EXCanon";#N/A,#N/A,FALSE,"CN Oficial";#N/A,#N/A,FALSE,"CA Oficial";#N/A,#N/A,FALSE,"PLANTILLA";#N/A,#N/A,FALSE,"BAL";#N/A,#N/A,FALSE,"PT_Finanzas";#N/A,#N/A,FALSE,"INVERSIONES BIEN"}</definedName>
    <definedName name="wrn.Informes." localSheetId="1" hidden="1">{#N/A,#N/A,FALSE,"CN Oficial RESUMIDA EXCanon";#N/A,#N/A,FALSE,"CN Oficial";#N/A,#N/A,FALSE,"CA Oficial";#N/A,#N/A,FALSE,"PLANTILLA";#N/A,#N/A,FALSE,"BAL";#N/A,#N/A,FALSE,"PT_Finanzas";#N/A,#N/A,FALSE,"INVERSIONES BIEN"}</definedName>
    <definedName name="wrn.Informes." localSheetId="31" hidden="1">{#N/A,#N/A,FALSE,"CN Oficial RESUMIDA EXCanon";#N/A,#N/A,FALSE,"CN Oficial";#N/A,#N/A,FALSE,"CA Oficial";#N/A,#N/A,FALSE,"PLANTILLA";#N/A,#N/A,FALSE,"BAL";#N/A,#N/A,FALSE,"PT_Finanzas";#N/A,#N/A,FALSE,"INVERSIONES BIEN"}</definedName>
    <definedName name="wrn.Informes." hidden="1">{#N/A,#N/A,FALSE,"CN Oficial RESUMIDA EXCanon";#N/A,#N/A,FALSE,"CN Oficial";#N/A,#N/A,FALSE,"CA Oficial";#N/A,#N/A,FALSE,"PLANTILLA";#N/A,#N/A,FALSE,"BAL";#N/A,#N/A,FALSE,"PT_Finanzas";#N/A,#N/A,FALSE,"INVERSIONES BIEN"}</definedName>
    <definedName name="wrn.international." localSheetId="12" hidden="1">{"sweden",#N/A,FALSE,"Sweden";"germany",#N/A,FALSE,"Germany";"portugal",#N/A,FALSE,"Portugal";"belgium",#N/A,FALSE,"Belgium";"japan",#N/A,FALSE,"Japan ";"italy",#N/A,FALSE,"Italy";"spain",#N/A,FALSE,"Spain";"korea",#N/A,FALSE,"Korea"}</definedName>
    <definedName name="wrn.international." localSheetId="18" hidden="1">{"sweden",#N/A,FALSE,"Sweden";"germany",#N/A,FALSE,"Germany";"portugal",#N/A,FALSE,"Portugal";"belgium",#N/A,FALSE,"Belgium";"japan",#N/A,FALSE,"Japan ";"italy",#N/A,FALSE,"Italy";"spain",#N/A,FALSE,"Spain";"korea",#N/A,FALSE,"Korea"}</definedName>
    <definedName name="wrn.international." localSheetId="19" hidden="1">{"sweden",#N/A,FALSE,"Sweden";"germany",#N/A,FALSE,"Germany";"portugal",#N/A,FALSE,"Portugal";"belgium",#N/A,FALSE,"Belgium";"japan",#N/A,FALSE,"Japan ";"italy",#N/A,FALSE,"Italy";"spain",#N/A,FALSE,"Spain";"korea",#N/A,FALSE,"Korea"}</definedName>
    <definedName name="wrn.international." localSheetId="17" hidden="1">{"sweden",#N/A,FALSE,"Sweden";"germany",#N/A,FALSE,"Germany";"portugal",#N/A,FALSE,"Portugal";"belgium",#N/A,FALSE,"Belgium";"japan",#N/A,FALSE,"Japan ";"italy",#N/A,FALSE,"Italy";"spain",#N/A,FALSE,"Spain";"korea",#N/A,FALSE,"Korea"}</definedName>
    <definedName name="wrn.international." localSheetId="22" hidden="1">{"sweden",#N/A,FALSE,"Sweden";"germany",#N/A,FALSE,"Germany";"portugal",#N/A,FALSE,"Portugal";"belgium",#N/A,FALSE,"Belgium";"japan",#N/A,FALSE,"Japan ";"italy",#N/A,FALSE,"Italy";"spain",#N/A,FALSE,"Spain";"korea",#N/A,FALSE,"Korea"}</definedName>
    <definedName name="wrn.international." localSheetId="10" hidden="1">{"sweden",#N/A,FALSE,"Sweden";"germany",#N/A,FALSE,"Germany";"portugal",#N/A,FALSE,"Portugal";"belgium",#N/A,FALSE,"Belgium";"japan",#N/A,FALSE,"Japan ";"italy",#N/A,FALSE,"Italy";"spain",#N/A,FALSE,"Spain";"korea",#N/A,FALSE,"Korea"}</definedName>
    <definedName name="wrn.international." localSheetId="30" hidden="1">{"sweden",#N/A,FALSE,"Sweden";"germany",#N/A,FALSE,"Germany";"portugal",#N/A,FALSE,"Portugal";"belgium",#N/A,FALSE,"Belgium";"japan",#N/A,FALSE,"Japan ";"italy",#N/A,FALSE,"Italy";"spain",#N/A,FALSE,"Spain";"korea",#N/A,FALSE,"Korea"}</definedName>
    <definedName name="wrn.international." localSheetId="0" hidden="1">{"sweden",#N/A,FALSE,"Sweden";"germany",#N/A,FALSE,"Germany";"portugal",#N/A,FALSE,"Portugal";"belgium",#N/A,FALSE,"Belgium";"japan",#N/A,FALSE,"Japan ";"italy",#N/A,FALSE,"Italy";"spain",#N/A,FALSE,"Spain";"korea",#N/A,FALSE,"Korea"}</definedName>
    <definedName name="wrn.international." localSheetId="3" hidden="1">{"sweden",#N/A,FALSE,"Sweden";"germany",#N/A,FALSE,"Germany";"portugal",#N/A,FALSE,"Portugal";"belgium",#N/A,FALSE,"Belgium";"japan",#N/A,FALSE,"Japan ";"italy",#N/A,FALSE,"Italy";"spain",#N/A,FALSE,"Spain";"korea",#N/A,FALSE,"Korea"}</definedName>
    <definedName name="wrn.international." localSheetId="4" hidden="1">{"sweden",#N/A,FALSE,"Sweden";"germany",#N/A,FALSE,"Germany";"portugal",#N/A,FALSE,"Portugal";"belgium",#N/A,FALSE,"Belgium";"japan",#N/A,FALSE,"Japan ";"italy",#N/A,FALSE,"Italy";"spain",#N/A,FALSE,"Spain";"korea",#N/A,FALSE,"Korea"}</definedName>
    <definedName name="wrn.international." localSheetId="28" hidden="1">{"sweden",#N/A,FALSE,"Sweden";"germany",#N/A,FALSE,"Germany";"portugal",#N/A,FALSE,"Portugal";"belgium",#N/A,FALSE,"Belgium";"japan",#N/A,FALSE,"Japan ";"italy",#N/A,FALSE,"Italy";"spain",#N/A,FALSE,"Spain";"korea",#N/A,FALSE,"Korea"}</definedName>
    <definedName name="wrn.international." localSheetId="33" hidden="1">{"sweden",#N/A,FALSE,"Sweden";"germany",#N/A,FALSE,"Germany";"portugal",#N/A,FALSE,"Portugal";"belgium",#N/A,FALSE,"Belgium";"japan",#N/A,FALSE,"Japan ";"italy",#N/A,FALSE,"Italy";"spain",#N/A,FALSE,"Spain";"korea",#N/A,FALSE,"Korea"}</definedName>
    <definedName name="wrn.international." localSheetId="32" hidden="1">{"sweden",#N/A,FALSE,"Sweden";"germany",#N/A,FALSE,"Germany";"portugal",#N/A,FALSE,"Portugal";"belgium",#N/A,FALSE,"Belgium";"japan",#N/A,FALSE,"Japan ";"italy",#N/A,FALSE,"Italy";"spain",#N/A,FALSE,"Spain";"korea",#N/A,FALSE,"Korea"}</definedName>
    <definedName name="wrn.international." localSheetId="7" hidden="1">{"sweden",#N/A,FALSE,"Sweden";"germany",#N/A,FALSE,"Germany";"portugal",#N/A,FALSE,"Portugal";"belgium",#N/A,FALSE,"Belgium";"japan",#N/A,FALSE,"Japan ";"italy",#N/A,FALSE,"Italy";"spain",#N/A,FALSE,"Spain";"korea",#N/A,FALSE,"Korea"}</definedName>
    <definedName name="wrn.international." localSheetId="29" hidden="1">{"sweden",#N/A,FALSE,"Sweden";"germany",#N/A,FALSE,"Germany";"portugal",#N/A,FALSE,"Portugal";"belgium",#N/A,FALSE,"Belgium";"japan",#N/A,FALSE,"Japan ";"italy",#N/A,FALSE,"Italy";"spain",#N/A,FALSE,"Spain";"korea",#N/A,FALSE,"Korea"}</definedName>
    <definedName name="wrn.international." localSheetId="1" hidden="1">{"sweden",#N/A,FALSE,"Sweden";"germany",#N/A,FALSE,"Germany";"portugal",#N/A,FALSE,"Portugal";"belgium",#N/A,FALSE,"Belgium";"japan",#N/A,FALSE,"Japan ";"italy",#N/A,FALSE,"Italy";"spain",#N/A,FALSE,"Spain";"korea",#N/A,FALSE,"Korea"}</definedName>
    <definedName name="wrn.international." localSheetId="31" hidden="1">{"sweden",#N/A,FALSE,"Sweden";"germany",#N/A,FALSE,"Germany";"portugal",#N/A,FALSE,"Portugal";"belgium",#N/A,FALSE,"Belgium";"japan",#N/A,FALSE,"Japan ";"italy",#N/A,FALSE,"Italy";"spain",#N/A,FALSE,"Spain";"korea",#N/A,FALSE,"Korea"}</definedName>
    <definedName name="wrn.international." hidden="1">{"sweden",#N/A,FALSE,"Sweden";"germany",#N/A,FALSE,"Germany";"portugal",#N/A,FALSE,"Portugal";"belgium",#N/A,FALSE,"Belgium";"japan",#N/A,FALSE,"Japan ";"italy",#N/A,FALSE,"Italy";"spain",#N/A,FALSE,"Spain";"korea",#N/A,FALSE,"Korea"}</definedName>
    <definedName name="wrn.InWear_Hele." localSheetId="12" hidden="1">{"Side 1",#N/A,FALSE,"Hovedark";"Side 2",#N/A,FALSE,"Hovedark";"Cash Flow",#N/A,FALSE,"Hovedark";"Valuation",#N/A,FALSE,"Valuation";"Bagside DK",#N/A,FALSE,"Bagside";"Overblik",#N/A,FALSE,"Butikker";"Egne_but",#N/A,FALSE,"Butikker";"Andet_salg",#N/A,FALSE,"Butikker";"Halvår",#N/A,FALSE,"Halvår";"Investeringer",#N/A,FALSE,"Investeringer"}</definedName>
    <definedName name="wrn.InWear_Hele." localSheetId="18" hidden="1">{"Side 1",#N/A,FALSE,"Hovedark";"Side 2",#N/A,FALSE,"Hovedark";"Cash Flow",#N/A,FALSE,"Hovedark";"Valuation",#N/A,FALSE,"Valuation";"Bagside DK",#N/A,FALSE,"Bagside";"Overblik",#N/A,FALSE,"Butikker";"Egne_but",#N/A,FALSE,"Butikker";"Andet_salg",#N/A,FALSE,"Butikker";"Halvår",#N/A,FALSE,"Halvår";"Investeringer",#N/A,FALSE,"Investeringer"}</definedName>
    <definedName name="wrn.InWear_Hele." localSheetId="19" hidden="1">{"Side 1",#N/A,FALSE,"Hovedark";"Side 2",#N/A,FALSE,"Hovedark";"Cash Flow",#N/A,FALSE,"Hovedark";"Valuation",#N/A,FALSE,"Valuation";"Bagside DK",#N/A,FALSE,"Bagside";"Overblik",#N/A,FALSE,"Butikker";"Egne_but",#N/A,FALSE,"Butikker";"Andet_salg",#N/A,FALSE,"Butikker";"Halvår",#N/A,FALSE,"Halvår";"Investeringer",#N/A,FALSE,"Investeringer"}</definedName>
    <definedName name="wrn.InWear_Hele." localSheetId="17" hidden="1">{"Side 1",#N/A,FALSE,"Hovedark";"Side 2",#N/A,FALSE,"Hovedark";"Cash Flow",#N/A,FALSE,"Hovedark";"Valuation",#N/A,FALSE,"Valuation";"Bagside DK",#N/A,FALSE,"Bagside";"Overblik",#N/A,FALSE,"Butikker";"Egne_but",#N/A,FALSE,"Butikker";"Andet_salg",#N/A,FALSE,"Butikker";"Halvår",#N/A,FALSE,"Halvår";"Investeringer",#N/A,FALSE,"Investeringer"}</definedName>
    <definedName name="wrn.InWear_Hele." localSheetId="22" hidden="1">{"Side 1",#N/A,FALSE,"Hovedark";"Side 2",#N/A,FALSE,"Hovedark";"Cash Flow",#N/A,FALSE,"Hovedark";"Valuation",#N/A,FALSE,"Valuation";"Bagside DK",#N/A,FALSE,"Bagside";"Overblik",#N/A,FALSE,"Butikker";"Egne_but",#N/A,FALSE,"Butikker";"Andet_salg",#N/A,FALSE,"Butikker";"Halvår",#N/A,FALSE,"Halvår";"Investeringer",#N/A,FALSE,"Investeringer"}</definedName>
    <definedName name="wrn.InWear_Hele." localSheetId="10" hidden="1">{"Side 1",#N/A,FALSE,"Hovedark";"Side 2",#N/A,FALSE,"Hovedark";"Cash Flow",#N/A,FALSE,"Hovedark";"Valuation",#N/A,FALSE,"Valuation";"Bagside DK",#N/A,FALSE,"Bagside";"Overblik",#N/A,FALSE,"Butikker";"Egne_but",#N/A,FALSE,"Butikker";"Andet_salg",#N/A,FALSE,"Butikker";"Halvår",#N/A,FALSE,"Halvår";"Investeringer",#N/A,FALSE,"Investeringer"}</definedName>
    <definedName name="wrn.InWear_Hele." localSheetId="30" hidden="1">{"Side 1",#N/A,FALSE,"Hovedark";"Side 2",#N/A,FALSE,"Hovedark";"Cash Flow",#N/A,FALSE,"Hovedark";"Valuation",#N/A,FALSE,"Valuation";"Bagside DK",#N/A,FALSE,"Bagside";"Overblik",#N/A,FALSE,"Butikker";"Egne_but",#N/A,FALSE,"Butikker";"Andet_salg",#N/A,FALSE,"Butikker";"Halvår",#N/A,FALSE,"Halvår";"Investeringer",#N/A,FALSE,"Investeringer"}</definedName>
    <definedName name="wrn.InWear_Hele." localSheetId="0" hidden="1">{"Side 1",#N/A,FALSE,"Hovedark";"Side 2",#N/A,FALSE,"Hovedark";"Cash Flow",#N/A,FALSE,"Hovedark";"Valuation",#N/A,FALSE,"Valuation";"Bagside DK",#N/A,FALSE,"Bagside";"Overblik",#N/A,FALSE,"Butikker";"Egne_but",#N/A,FALSE,"Butikker";"Andet_salg",#N/A,FALSE,"Butikker";"Halvår",#N/A,FALSE,"Halvår";"Investeringer",#N/A,FALSE,"Investeringer"}</definedName>
    <definedName name="wrn.InWear_Hele." localSheetId="3" hidden="1">{"Side 1",#N/A,FALSE,"Hovedark";"Side 2",#N/A,FALSE,"Hovedark";"Cash Flow",#N/A,FALSE,"Hovedark";"Valuation",#N/A,FALSE,"Valuation";"Bagside DK",#N/A,FALSE,"Bagside";"Overblik",#N/A,FALSE,"Butikker";"Egne_but",#N/A,FALSE,"Butikker";"Andet_salg",#N/A,FALSE,"Butikker";"Halvår",#N/A,FALSE,"Halvår";"Investeringer",#N/A,FALSE,"Investeringer"}</definedName>
    <definedName name="wrn.InWear_Hele." localSheetId="4" hidden="1">{"Side 1",#N/A,FALSE,"Hovedark";"Side 2",#N/A,FALSE,"Hovedark";"Cash Flow",#N/A,FALSE,"Hovedark";"Valuation",#N/A,FALSE,"Valuation";"Bagside DK",#N/A,FALSE,"Bagside";"Overblik",#N/A,FALSE,"Butikker";"Egne_but",#N/A,FALSE,"Butikker";"Andet_salg",#N/A,FALSE,"Butikker";"Halvår",#N/A,FALSE,"Halvår";"Investeringer",#N/A,FALSE,"Investeringer"}</definedName>
    <definedName name="wrn.InWear_Hele." localSheetId="28" hidden="1">{"Side 1",#N/A,FALSE,"Hovedark";"Side 2",#N/A,FALSE,"Hovedark";"Cash Flow",#N/A,FALSE,"Hovedark";"Valuation",#N/A,FALSE,"Valuation";"Bagside DK",#N/A,FALSE,"Bagside";"Overblik",#N/A,FALSE,"Butikker";"Egne_but",#N/A,FALSE,"Butikker";"Andet_salg",#N/A,FALSE,"Butikker";"Halvår",#N/A,FALSE,"Halvår";"Investeringer",#N/A,FALSE,"Investeringer"}</definedName>
    <definedName name="wrn.InWear_Hele." localSheetId="33" hidden="1">{"Side 1",#N/A,FALSE,"Hovedark";"Side 2",#N/A,FALSE,"Hovedark";"Cash Flow",#N/A,FALSE,"Hovedark";"Valuation",#N/A,FALSE,"Valuation";"Bagside DK",#N/A,FALSE,"Bagside";"Overblik",#N/A,FALSE,"Butikker";"Egne_but",#N/A,FALSE,"Butikker";"Andet_salg",#N/A,FALSE,"Butikker";"Halvår",#N/A,FALSE,"Halvår";"Investeringer",#N/A,FALSE,"Investeringer"}</definedName>
    <definedName name="wrn.InWear_Hele." localSheetId="32" hidden="1">{"Side 1",#N/A,FALSE,"Hovedark";"Side 2",#N/A,FALSE,"Hovedark";"Cash Flow",#N/A,FALSE,"Hovedark";"Valuation",#N/A,FALSE,"Valuation";"Bagside DK",#N/A,FALSE,"Bagside";"Overblik",#N/A,FALSE,"Butikker";"Egne_but",#N/A,FALSE,"Butikker";"Andet_salg",#N/A,FALSE,"Butikker";"Halvår",#N/A,FALSE,"Halvår";"Investeringer",#N/A,FALSE,"Investeringer"}</definedName>
    <definedName name="wrn.InWear_Hele." localSheetId="7" hidden="1">{"Side 1",#N/A,FALSE,"Hovedark";"Side 2",#N/A,FALSE,"Hovedark";"Cash Flow",#N/A,FALSE,"Hovedark";"Valuation",#N/A,FALSE,"Valuation";"Bagside DK",#N/A,FALSE,"Bagside";"Overblik",#N/A,FALSE,"Butikker";"Egne_but",#N/A,FALSE,"Butikker";"Andet_salg",#N/A,FALSE,"Butikker";"Halvår",#N/A,FALSE,"Halvår";"Investeringer",#N/A,FALSE,"Investeringer"}</definedName>
    <definedName name="wrn.InWear_Hele." localSheetId="29" hidden="1">{"Side 1",#N/A,FALSE,"Hovedark";"Side 2",#N/A,FALSE,"Hovedark";"Cash Flow",#N/A,FALSE,"Hovedark";"Valuation",#N/A,FALSE,"Valuation";"Bagside DK",#N/A,FALSE,"Bagside";"Overblik",#N/A,FALSE,"Butikker";"Egne_but",#N/A,FALSE,"Butikker";"Andet_salg",#N/A,FALSE,"Butikker";"Halvår",#N/A,FALSE,"Halvår";"Investeringer",#N/A,FALSE,"Investeringer"}</definedName>
    <definedName name="wrn.InWear_Hele." localSheetId="1" hidden="1">{"Side 1",#N/A,FALSE,"Hovedark";"Side 2",#N/A,FALSE,"Hovedark";"Cash Flow",#N/A,FALSE,"Hovedark";"Valuation",#N/A,FALSE,"Valuation";"Bagside DK",#N/A,FALSE,"Bagside";"Overblik",#N/A,FALSE,"Butikker";"Egne_but",#N/A,FALSE,"Butikker";"Andet_salg",#N/A,FALSE,"Butikker";"Halvår",#N/A,FALSE,"Halvår";"Investeringer",#N/A,FALSE,"Investeringer"}</definedName>
    <definedName name="wrn.InWear_Hele." localSheetId="31" hidden="1">{"Side 1",#N/A,FALSE,"Hovedark";"Side 2",#N/A,FALSE,"Hovedark";"Cash Flow",#N/A,FALSE,"Hovedark";"Valuation",#N/A,FALSE,"Valuation";"Bagside DK",#N/A,FALSE,"Bagside";"Overblik",#N/A,FALSE,"Butikker";"Egne_but",#N/A,FALSE,"Butikker";"Andet_salg",#N/A,FALSE,"Butikker";"Halvår",#N/A,FALSE,"Halvår";"Investeringer",#N/A,FALSE,"Investeringer"}</definedName>
    <definedName name="wrn.InWear_Hele." hidden="1">{"Side 1",#N/A,FALSE,"Hovedark";"Side 2",#N/A,FALSE,"Hovedark";"Cash Flow",#N/A,FALSE,"Hovedark";"Valuation",#N/A,FALSE,"Valuation";"Bagside DK",#N/A,FALSE,"Bagside";"Overblik",#N/A,FALSE,"Butikker";"Egne_but",#N/A,FALSE,"Butikker";"Andet_salg",#N/A,FALSE,"Butikker";"Halvår",#N/A,FALSE,"Halvår";"Investeringer",#N/A,FALSE,"Investeringer"}</definedName>
    <definedName name="wrn.Jamo_Hele." localSheetId="12" hidden="1">{0,#N/A,FALSE,0;0,#N/A,FALSE,0;0,0,0,"Nl_x001A_ADSL (including wholesale)P_x000B_Total Lines_x0004_PSTNR_x0004_ISDNe_x0004_PSTN_x0004_ISDN _x000F_T";"Bagside DK",#N/A,FALSE,"Bagside";"Bidrag",#N/A,FALSE,"Bidrag";"Valuation",#N/A,FALSE,"Valuation";"Privatforbrug",#N/A,FALSE,"Macro";"Penetreing",#N/A,FALSE,"Oms. forv.";"Prod_Markeder",#N/A,FALSE,"Oms. forv.";"penetreing",#N/A,FALSE,"Penetrering"}</definedName>
    <definedName name="wrn.Jamo_Hele." localSheetId="18" hidden="1">{0,#N/A,FALSE,0;0,#N/A,FALSE,0;0,0,0,"Nl_x001A_ADSL (including wholesale)P_x000B_Total Lines_x0004_PSTNR_x0004_ISDNe_x0004_PSTN_x0004_ISDN _x000F_T";"Bagside DK",#N/A,FALSE,"Bagside";"Bidrag",#N/A,FALSE,"Bidrag";"Valuation",#N/A,FALSE,"Valuation";"Privatforbrug",#N/A,FALSE,"Macro";"Penetreing",#N/A,FALSE,"Oms. forv.";"Prod_Markeder",#N/A,FALSE,"Oms. forv.";"penetreing",#N/A,FALSE,"Penetrering"}</definedName>
    <definedName name="wrn.Jamo_Hele." localSheetId="19" hidden="1">{0,#N/A,FALSE,0;0,#N/A,FALSE,0;0,0,0,"Nl_x001A_ADSL (including wholesale)P_x000B_Total Lines_x0004_PSTNR_x0004_ISDNe_x0004_PSTN_x0004_ISDN _x000F_T";"Bagside DK",#N/A,FALSE,"Bagside";"Bidrag",#N/A,FALSE,"Bidrag";"Valuation",#N/A,FALSE,"Valuation";"Privatforbrug",#N/A,FALSE,"Macro";"Penetreing",#N/A,FALSE,"Oms. forv.";"Prod_Markeder",#N/A,FALSE,"Oms. forv.";"penetreing",#N/A,FALSE,"Penetrering"}</definedName>
    <definedName name="wrn.Jamo_Hele." localSheetId="17" hidden="1">{0,#N/A,FALSE,0;0,#N/A,FALSE,0;0,0,0,"Nl_x001A_ADSL (including wholesale)P_x000B_Total Lines_x0004_PSTNR_x0004_ISDNe_x0004_PSTN_x0004_ISDN _x000F_T";"Bagside DK",#N/A,FALSE,"Bagside";"Bidrag",#N/A,FALSE,"Bidrag";"Valuation",#N/A,FALSE,"Valuation";"Privatforbrug",#N/A,FALSE,"Macro";"Penetreing",#N/A,FALSE,"Oms. forv.";"Prod_Markeder",#N/A,FALSE,"Oms. forv.";"penetreing",#N/A,FALSE,"Penetrering"}</definedName>
    <definedName name="wrn.Jamo_Hele." localSheetId="22" hidden="1">{0,#N/A,FALSE,0;0,#N/A,FALSE,0;0,0,0,"Nl_x001A_ADSL (including wholesale)P_x000B_Total Lines_x0004_PSTNR_x0004_ISDNe_x0004_PSTN_x0004_ISDN _x000F_T";"Bagside DK",#N/A,FALSE,"Bagside";"Bidrag",#N/A,FALSE,"Bidrag";"Valuation",#N/A,FALSE,"Valuation";"Privatforbrug",#N/A,FALSE,"Macro";"Penetreing",#N/A,FALSE,"Oms. forv.";"Prod_Markeder",#N/A,FALSE,"Oms. forv.";"penetreing",#N/A,FALSE,"Penetrering"}</definedName>
    <definedName name="wrn.Jamo_Hele." localSheetId="10" hidden="1">{0,#N/A,FALSE,0;0,#N/A,FALSE,0;0,0,0,"Nl_x001A_ADSL (including wholesale)P_x000B_Total Lines_x0004_PSTNR_x0004_ISDNe_x0004_PSTN_x0004_ISDN _x000F_T";"Bagside DK",#N/A,FALSE,"Bagside";"Bidrag",#N/A,FALSE,"Bidrag";"Valuation",#N/A,FALSE,"Valuation";"Privatforbrug",#N/A,FALSE,"Macro";"Penetreing",#N/A,FALSE,"Oms. forv.";"Prod_Markeder",#N/A,FALSE,"Oms. forv.";"penetreing",#N/A,FALSE,"Penetrering"}</definedName>
    <definedName name="wrn.Jamo_Hele." localSheetId="30" hidden="1">{0,#N/A,FALSE,0;0,#N/A,FALSE,0;0,0,0,"Nl_x001A_ADSL (including wholesale)P_x000B_Total Lines_x0004_PSTNR_x0004_ISDNe_x0004_PSTN_x0004_ISDN _x000F_T";"Bagside DK",#N/A,FALSE,"Bagside";"Bidrag",#N/A,FALSE,"Bidrag";"Valuation",#N/A,FALSE,"Valuation";"Privatforbrug",#N/A,FALSE,"Macro";"Penetreing",#N/A,FALSE,"Oms. forv.";"Prod_Markeder",#N/A,FALSE,"Oms. forv.";"penetreing",#N/A,FALSE,"Penetrering"}</definedName>
    <definedName name="wrn.Jamo_Hele." localSheetId="0" hidden="1">{0,#N/A,FALSE,0;0,#N/A,FALSE,0;0,0,0,"Nl_x001A_ADSL (including wholesale)P_x000B_Total Lines_x0004_PSTNR_x0004_ISDNe_x0004_PSTN_x0004_ISDN _x000F_T";"Bagside DK",#N/A,FALSE,"Bagside";"Bidrag",#N/A,FALSE,"Bidrag";"Valuation",#N/A,FALSE,"Valuation";"Privatforbrug",#N/A,FALSE,"Macro";"Penetreing",#N/A,FALSE,"Oms. forv.";"Prod_Markeder",#N/A,FALSE,"Oms. forv.";"penetreing",#N/A,FALSE,"Penetrering"}</definedName>
    <definedName name="wrn.Jamo_Hele." localSheetId="3" hidden="1">{0,#N/A,FALSE,0;0,#N/A,FALSE,0;0,0,0,"Nl_x001A_ADSL (including wholesale)P_x000B_Total Lines_x0004_PSTNR_x0004_ISDNe_x0004_PSTN_x0004_ISDN _x000F_T";"Bagside DK",#N/A,FALSE,"Bagside";"Bidrag",#N/A,FALSE,"Bidrag";"Valuation",#N/A,FALSE,"Valuation";"Privatforbrug",#N/A,FALSE,"Macro";"Penetreing",#N/A,FALSE,"Oms. forv.";"Prod_Markeder",#N/A,FALSE,"Oms. forv.";"penetreing",#N/A,FALSE,"Penetrering"}</definedName>
    <definedName name="wrn.Jamo_Hele." localSheetId="4" hidden="1">{0,#N/A,FALSE,0;0,#N/A,FALSE,0;0,0,0,"Nl_x001A_ADSL (including wholesale)P_x000B_Total Lines_x0004_PSTNR_x0004_ISDNe_x0004_PSTN_x0004_ISDN _x000F_T";"Bagside DK",#N/A,FALSE,"Bagside";"Bidrag",#N/A,FALSE,"Bidrag";"Valuation",#N/A,FALSE,"Valuation";"Privatforbrug",#N/A,FALSE,"Macro";"Penetreing",#N/A,FALSE,"Oms. forv.";"Prod_Markeder",#N/A,FALSE,"Oms. forv.";"penetreing",#N/A,FALSE,"Penetrering"}</definedName>
    <definedName name="wrn.Jamo_Hele." localSheetId="28" hidden="1">{0,#N/A,FALSE,0;0,#N/A,FALSE,0;0,0,0,"Nl_x001A_ADSL (including wholesale)P_x000B_Total Lines_x0004_PSTNR_x0004_ISDNe_x0004_PSTN_x0004_ISDN _x000F_T";"Bagside DK",#N/A,FALSE,"Bagside";"Bidrag",#N/A,FALSE,"Bidrag";"Valuation",#N/A,FALSE,"Valuation";"Privatforbrug",#N/A,FALSE,"Macro";"Penetreing",#N/A,FALSE,"Oms. forv.";"Prod_Markeder",#N/A,FALSE,"Oms. forv.";"penetreing",#N/A,FALSE,"Penetrering"}</definedName>
    <definedName name="wrn.Jamo_Hele." localSheetId="33" hidden="1">{0,#N/A,FALSE,0;0,#N/A,FALSE,0;0,0,0,"Nl_x001A_ADSL (including wholesale)P_x000B_Total Lines_x0004_PSTNR_x0004_ISDNe_x0004_PSTN_x0004_ISDN _x000F_T";"Bagside DK",#N/A,FALSE,"Bagside";"Bidrag",#N/A,FALSE,"Bidrag";"Valuation",#N/A,FALSE,"Valuation";"Privatforbrug",#N/A,FALSE,"Macro";"Penetreing",#N/A,FALSE,"Oms. forv.";"Prod_Markeder",#N/A,FALSE,"Oms. forv.";"penetreing",#N/A,FALSE,"Penetrering"}</definedName>
    <definedName name="wrn.Jamo_Hele." localSheetId="32" hidden="1">{0,#N/A,FALSE,0;0,#N/A,FALSE,0;0,0,0,"Nl_x001A_ADSL (including wholesale)P_x000B_Total Lines_x0004_PSTNR_x0004_ISDNe_x0004_PSTN_x0004_ISDN _x000F_T";"Bagside DK",#N/A,FALSE,"Bagside";"Bidrag",#N/A,FALSE,"Bidrag";"Valuation",#N/A,FALSE,"Valuation";"Privatforbrug",#N/A,FALSE,"Macro";"Penetreing",#N/A,FALSE,"Oms. forv.";"Prod_Markeder",#N/A,FALSE,"Oms. forv.";"penetreing",#N/A,FALSE,"Penetrering"}</definedName>
    <definedName name="wrn.Jamo_Hele." localSheetId="7" hidden="1">{0,#N/A,FALSE,0;0,#N/A,FALSE,0;0,0,0,"Nl_x001A_ADSL (including wholesale)P_x000B_Total Lines_x0004_PSTNR_x0004_ISDNe_x0004_PSTN_x0004_ISDN _x000F_T";"Bagside DK",#N/A,FALSE,"Bagside";"Bidrag",#N/A,FALSE,"Bidrag";"Valuation",#N/A,FALSE,"Valuation";"Privatforbrug",#N/A,FALSE,"Macro";"Penetreing",#N/A,FALSE,"Oms. forv.";"Prod_Markeder",#N/A,FALSE,"Oms. forv.";"penetreing",#N/A,FALSE,"Penetrering"}</definedName>
    <definedName name="wrn.Jamo_Hele." localSheetId="29" hidden="1">{0,#N/A,FALSE,0;0,#N/A,FALSE,0;0,0,0,"Nl_x001A_ADSL (including wholesale)P_x000B_Total Lines_x0004_PSTNR_x0004_ISDNe_x0004_PSTN_x0004_ISDN _x000F_T";"Bagside DK",#N/A,FALSE,"Bagside";"Bidrag",#N/A,FALSE,"Bidrag";"Valuation",#N/A,FALSE,"Valuation";"Privatforbrug",#N/A,FALSE,"Macro";"Penetreing",#N/A,FALSE,"Oms. forv.";"Prod_Markeder",#N/A,FALSE,"Oms. forv.";"penetreing",#N/A,FALSE,"Penetrering"}</definedName>
    <definedName name="wrn.Jamo_Hele." localSheetId="1" hidden="1">{0,#N/A,FALSE,0;0,#N/A,FALSE,0;0,0,0,"Nl_x001A_ADSL (including wholesale)P_x000B_Total Lines_x0004_PSTNR_x0004_ISDNe_x0004_PSTN_x0004_ISDN _x000F_T";"Bagside DK",#N/A,FALSE,"Bagside";"Bidrag",#N/A,FALSE,"Bidrag";"Valuation",#N/A,FALSE,"Valuation";"Privatforbrug",#N/A,FALSE,"Macro";"Penetreing",#N/A,FALSE,"Oms. forv.";"Prod_Markeder",#N/A,FALSE,"Oms. forv.";"penetreing",#N/A,FALSE,"Penetrering"}</definedName>
    <definedName name="wrn.Jamo_Hele." localSheetId="31" hidden="1">{0,#N/A,FALSE,0;0,#N/A,FALSE,0;0,0,0,"Nl_x001A_ADSL (including wholesale)P_x000B_Total Lines_x0004_PSTNR_x0004_ISDNe_x0004_PSTN_x0004_ISDN _x000F_T";"Bagside DK",#N/A,FALSE,"Bagside";"Bidrag",#N/A,FALSE,"Bidrag";"Valuation",#N/A,FALSE,"Valuation";"Privatforbrug",#N/A,FALSE,"Macro";"Penetreing",#N/A,FALSE,"Oms. forv.";"Prod_Markeder",#N/A,FALSE,"Oms. forv.";"penetreing",#N/A,FALSE,"Penetrering"}</definedName>
    <definedName name="wrn.Jamo_Hele." hidden="1">{0,#N/A,FALSE,0;0,#N/A,FALSE,0;0,0,0,"Nl_x001A_ADSL (including wholesale)P_x000B_Total Lines_x0004_PSTNR_x0004_ISDNe_x0004_PSTN_x0004_ISDN _x000F_T";"Bagside DK",#N/A,FALSE,"Bagside";"Bidrag",#N/A,FALSE,"Bidrag";"Valuation",#N/A,FALSE,"Valuation";"Privatforbrug",#N/A,FALSE,"Macro";"Penetreing",#N/A,FALSE,"Oms. forv.";"Prod_Markeder",#N/A,FALSE,"Oms. forv.";"penetreing",#N/A,FALSE,"Penetrering"}</definedName>
    <definedName name="wrn.Line._.Efficiency." localSheetId="12" hidden="1">{"Line Efficiency",#N/A,FALSE,"Benchmarking"}</definedName>
    <definedName name="wrn.Line._.Efficiency." localSheetId="18" hidden="1">{"Line Efficiency",#N/A,FALSE,"Benchmarking"}</definedName>
    <definedName name="wrn.Line._.Efficiency." localSheetId="19" hidden="1">{"Line Efficiency",#N/A,FALSE,"Benchmarking"}</definedName>
    <definedName name="wrn.Line._.Efficiency." localSheetId="17" hidden="1">{"Line Efficiency",#N/A,FALSE,"Benchmarking"}</definedName>
    <definedName name="wrn.Line._.Efficiency." localSheetId="22" hidden="1">{"Line Efficiency",#N/A,FALSE,"Benchmarking"}</definedName>
    <definedName name="wrn.Line._.Efficiency." localSheetId="10" hidden="1">{"Line Efficiency",#N/A,FALSE,"Benchmarking"}</definedName>
    <definedName name="wrn.Line._.Efficiency." localSheetId="30" hidden="1">{"Line Efficiency",#N/A,FALSE,"Benchmarking"}</definedName>
    <definedName name="wrn.Line._.Efficiency." localSheetId="0" hidden="1">{"Line Efficiency",#N/A,FALSE,"Benchmarking"}</definedName>
    <definedName name="wrn.Line._.Efficiency." localSheetId="3" hidden="1">{"Line Efficiency",#N/A,FALSE,"Benchmarking"}</definedName>
    <definedName name="wrn.Line._.Efficiency." localSheetId="4" hidden="1">{"Line Efficiency",#N/A,FALSE,"Benchmarking"}</definedName>
    <definedName name="wrn.Line._.Efficiency." localSheetId="28" hidden="1">{"Line Efficiency",#N/A,FALSE,"Benchmarking"}</definedName>
    <definedName name="wrn.Line._.Efficiency." localSheetId="33" hidden="1">{"Line Efficiency",#N/A,FALSE,"Benchmarking"}</definedName>
    <definedName name="wrn.Line._.Efficiency." localSheetId="32" hidden="1">{"Line Efficiency",#N/A,FALSE,"Benchmarking"}</definedName>
    <definedName name="wrn.Line._.Efficiency." localSheetId="7" hidden="1">{"Line Efficiency",#N/A,FALSE,"Benchmarking"}</definedName>
    <definedName name="wrn.Line._.Efficiency." localSheetId="29" hidden="1">{"Line Efficiency",#N/A,FALSE,"Benchmarking"}</definedName>
    <definedName name="wrn.Line._.Efficiency." localSheetId="1" hidden="1">{"Line Efficiency",#N/A,FALSE,"Benchmarking"}</definedName>
    <definedName name="wrn.Line._.Efficiency." localSheetId="31" hidden="1">{"Line Efficiency",#N/A,FALSE,"Benchmarking"}</definedName>
    <definedName name="wrn.Line._.Efficiency." hidden="1">{"Line Efficiency",#N/A,FALSE,"Benchmarking"}</definedName>
    <definedName name="wrn.Mensal." localSheetId="12" hidden="1">{#N/A,#N/A,TRUE,"Capa";#N/A,#N/A,TRUE,"Dados";#N/A,#N/A,TRUE,"Guanabara";#N/A,#N/A,TRUE,"Norte";#N/A,#N/A,TRUE,"Oceânica";#N/A,#N/A,TRUE,"Serrana";#N/A,#N/A,TRUE,"Usinas";#N/A,#N/A,TRUE,"OUTROS"}</definedName>
    <definedName name="wrn.Mensal." localSheetId="18" hidden="1">{#N/A,#N/A,TRUE,"Capa";#N/A,#N/A,TRUE,"Dados";#N/A,#N/A,TRUE,"Guanabara";#N/A,#N/A,TRUE,"Norte";#N/A,#N/A,TRUE,"Oceânica";#N/A,#N/A,TRUE,"Serrana";#N/A,#N/A,TRUE,"Usinas";#N/A,#N/A,TRUE,"OUTROS"}</definedName>
    <definedName name="wrn.Mensal." localSheetId="19" hidden="1">{#N/A,#N/A,TRUE,"Capa";#N/A,#N/A,TRUE,"Dados";#N/A,#N/A,TRUE,"Guanabara";#N/A,#N/A,TRUE,"Norte";#N/A,#N/A,TRUE,"Oceânica";#N/A,#N/A,TRUE,"Serrana";#N/A,#N/A,TRUE,"Usinas";#N/A,#N/A,TRUE,"OUTROS"}</definedName>
    <definedName name="wrn.Mensal." localSheetId="17" hidden="1">{#N/A,#N/A,TRUE,"Capa";#N/A,#N/A,TRUE,"Dados";#N/A,#N/A,TRUE,"Guanabara";#N/A,#N/A,TRUE,"Norte";#N/A,#N/A,TRUE,"Oceânica";#N/A,#N/A,TRUE,"Serrana";#N/A,#N/A,TRUE,"Usinas";#N/A,#N/A,TRUE,"OUTROS"}</definedName>
    <definedName name="wrn.Mensal." localSheetId="22" hidden="1">{#N/A,#N/A,TRUE,"Capa";#N/A,#N/A,TRUE,"Dados";#N/A,#N/A,TRUE,"Guanabara";#N/A,#N/A,TRUE,"Norte";#N/A,#N/A,TRUE,"Oceânica";#N/A,#N/A,TRUE,"Serrana";#N/A,#N/A,TRUE,"Usinas";#N/A,#N/A,TRUE,"OUTROS"}</definedName>
    <definedName name="wrn.Mensal." localSheetId="10" hidden="1">{#N/A,#N/A,TRUE,"Capa";#N/A,#N/A,TRUE,"Dados";#N/A,#N/A,TRUE,"Guanabara";#N/A,#N/A,TRUE,"Norte";#N/A,#N/A,TRUE,"Oceânica";#N/A,#N/A,TRUE,"Serrana";#N/A,#N/A,TRUE,"Usinas";#N/A,#N/A,TRUE,"OUTROS"}</definedName>
    <definedName name="wrn.Mensal." localSheetId="30" hidden="1">{#N/A,#N/A,TRUE,"Capa";#N/A,#N/A,TRUE,"Dados";#N/A,#N/A,TRUE,"Guanabara";#N/A,#N/A,TRUE,"Norte";#N/A,#N/A,TRUE,"Oceânica";#N/A,#N/A,TRUE,"Serrana";#N/A,#N/A,TRUE,"Usinas";#N/A,#N/A,TRUE,"OUTROS"}</definedName>
    <definedName name="wrn.Mensal." localSheetId="0" hidden="1">{#N/A,#N/A,TRUE,"Capa";#N/A,#N/A,TRUE,"Dados";#N/A,#N/A,TRUE,"Guanabara";#N/A,#N/A,TRUE,"Norte";#N/A,#N/A,TRUE,"Oceânica";#N/A,#N/A,TRUE,"Serrana";#N/A,#N/A,TRUE,"Usinas";#N/A,#N/A,TRUE,"OUTROS"}</definedName>
    <definedName name="wrn.Mensal." localSheetId="3" hidden="1">{#N/A,#N/A,TRUE,"Capa";#N/A,#N/A,TRUE,"Dados";#N/A,#N/A,TRUE,"Guanabara";#N/A,#N/A,TRUE,"Norte";#N/A,#N/A,TRUE,"Oceânica";#N/A,#N/A,TRUE,"Serrana";#N/A,#N/A,TRUE,"Usinas";#N/A,#N/A,TRUE,"OUTROS"}</definedName>
    <definedName name="wrn.Mensal." localSheetId="4" hidden="1">{#N/A,#N/A,TRUE,"Capa";#N/A,#N/A,TRUE,"Dados";#N/A,#N/A,TRUE,"Guanabara";#N/A,#N/A,TRUE,"Norte";#N/A,#N/A,TRUE,"Oceânica";#N/A,#N/A,TRUE,"Serrana";#N/A,#N/A,TRUE,"Usinas";#N/A,#N/A,TRUE,"OUTROS"}</definedName>
    <definedName name="wrn.Mensal." localSheetId="28" hidden="1">{#N/A,#N/A,TRUE,"Capa";#N/A,#N/A,TRUE,"Dados";#N/A,#N/A,TRUE,"Guanabara";#N/A,#N/A,TRUE,"Norte";#N/A,#N/A,TRUE,"Oceânica";#N/A,#N/A,TRUE,"Serrana";#N/A,#N/A,TRUE,"Usinas";#N/A,#N/A,TRUE,"OUTROS"}</definedName>
    <definedName name="wrn.Mensal." localSheetId="33" hidden="1">{#N/A,#N/A,TRUE,"Capa";#N/A,#N/A,TRUE,"Dados";#N/A,#N/A,TRUE,"Guanabara";#N/A,#N/A,TRUE,"Norte";#N/A,#N/A,TRUE,"Oceânica";#N/A,#N/A,TRUE,"Serrana";#N/A,#N/A,TRUE,"Usinas";#N/A,#N/A,TRUE,"OUTROS"}</definedName>
    <definedName name="wrn.Mensal." localSheetId="32" hidden="1">{#N/A,#N/A,TRUE,"Capa";#N/A,#N/A,TRUE,"Dados";#N/A,#N/A,TRUE,"Guanabara";#N/A,#N/A,TRUE,"Norte";#N/A,#N/A,TRUE,"Oceânica";#N/A,#N/A,TRUE,"Serrana";#N/A,#N/A,TRUE,"Usinas";#N/A,#N/A,TRUE,"OUTROS"}</definedName>
    <definedName name="wrn.Mensal." localSheetId="7" hidden="1">{#N/A,#N/A,TRUE,"Capa";#N/A,#N/A,TRUE,"Dados";#N/A,#N/A,TRUE,"Guanabara";#N/A,#N/A,TRUE,"Norte";#N/A,#N/A,TRUE,"Oceânica";#N/A,#N/A,TRUE,"Serrana";#N/A,#N/A,TRUE,"Usinas";#N/A,#N/A,TRUE,"OUTROS"}</definedName>
    <definedName name="wrn.Mensal." localSheetId="29" hidden="1">{#N/A,#N/A,TRUE,"Capa";#N/A,#N/A,TRUE,"Dados";#N/A,#N/A,TRUE,"Guanabara";#N/A,#N/A,TRUE,"Norte";#N/A,#N/A,TRUE,"Oceânica";#N/A,#N/A,TRUE,"Serrana";#N/A,#N/A,TRUE,"Usinas";#N/A,#N/A,TRUE,"OUTROS"}</definedName>
    <definedName name="wrn.Mensal." localSheetId="1" hidden="1">{#N/A,#N/A,TRUE,"Capa";#N/A,#N/A,TRUE,"Dados";#N/A,#N/A,TRUE,"Guanabara";#N/A,#N/A,TRUE,"Norte";#N/A,#N/A,TRUE,"Oceânica";#N/A,#N/A,TRUE,"Serrana";#N/A,#N/A,TRUE,"Usinas";#N/A,#N/A,TRUE,"OUTROS"}</definedName>
    <definedName name="wrn.Mensal." localSheetId="31" hidden="1">{#N/A,#N/A,TRUE,"Capa";#N/A,#N/A,TRUE,"Dados";#N/A,#N/A,TRUE,"Guanabara";#N/A,#N/A,TRUE,"Norte";#N/A,#N/A,TRUE,"Oceânica";#N/A,#N/A,TRUE,"Serrana";#N/A,#N/A,TRUE,"Usinas";#N/A,#N/A,TRUE,"OUTROS"}</definedName>
    <definedName name="wrn.Mensal." hidden="1">{#N/A,#N/A,TRUE,"Capa";#N/A,#N/A,TRUE,"Dados";#N/A,#N/A,TRUE,"Guanabara";#N/A,#N/A,TRUE,"Norte";#N/A,#N/A,TRUE,"Oceânica";#N/A,#N/A,TRUE,"Serrana";#N/A,#N/A,TRUE,"Usinas";#N/A,#N/A,TRUE,"OUTROS"}</definedName>
    <definedName name="wrn.old" localSheetId="12" hidden="1">{#N/A,#N/A,FALSE,"DCF";#N/A,#N/A,FALSE,"WACC";#N/A,#N/A,FALSE,"Sales_EBIT";#N/A,#N/A,FALSE,"Capex_Depreciation";#N/A,#N/A,FALSE,"WC";#N/A,#N/A,FALSE,"Interest";#N/A,#N/A,FALSE,"Assumptions"}</definedName>
    <definedName name="wrn.old" localSheetId="18" hidden="1">{#N/A,#N/A,FALSE,"DCF";#N/A,#N/A,FALSE,"WACC";#N/A,#N/A,FALSE,"Sales_EBIT";#N/A,#N/A,FALSE,"Capex_Depreciation";#N/A,#N/A,FALSE,"WC";#N/A,#N/A,FALSE,"Interest";#N/A,#N/A,FALSE,"Assumptions"}</definedName>
    <definedName name="wrn.old" localSheetId="19" hidden="1">{#N/A,#N/A,FALSE,"DCF";#N/A,#N/A,FALSE,"WACC";#N/A,#N/A,FALSE,"Sales_EBIT";#N/A,#N/A,FALSE,"Capex_Depreciation";#N/A,#N/A,FALSE,"WC";#N/A,#N/A,FALSE,"Interest";#N/A,#N/A,FALSE,"Assumptions"}</definedName>
    <definedName name="wrn.old" localSheetId="17" hidden="1">{#N/A,#N/A,FALSE,"DCF";#N/A,#N/A,FALSE,"WACC";#N/A,#N/A,FALSE,"Sales_EBIT";#N/A,#N/A,FALSE,"Capex_Depreciation";#N/A,#N/A,FALSE,"WC";#N/A,#N/A,FALSE,"Interest";#N/A,#N/A,FALSE,"Assumptions"}</definedName>
    <definedName name="wrn.old" localSheetId="22" hidden="1">{#N/A,#N/A,FALSE,"DCF";#N/A,#N/A,FALSE,"WACC";#N/A,#N/A,FALSE,"Sales_EBIT";#N/A,#N/A,FALSE,"Capex_Depreciation";#N/A,#N/A,FALSE,"WC";#N/A,#N/A,FALSE,"Interest";#N/A,#N/A,FALSE,"Assumptions"}</definedName>
    <definedName name="wrn.old" localSheetId="10" hidden="1">{#N/A,#N/A,FALSE,"DCF";#N/A,#N/A,FALSE,"WACC";#N/A,#N/A,FALSE,"Sales_EBIT";#N/A,#N/A,FALSE,"Capex_Depreciation";#N/A,#N/A,FALSE,"WC";#N/A,#N/A,FALSE,"Interest";#N/A,#N/A,FALSE,"Assumptions"}</definedName>
    <definedName name="wrn.old" localSheetId="30" hidden="1">{#N/A,#N/A,FALSE,"DCF";#N/A,#N/A,FALSE,"WACC";#N/A,#N/A,FALSE,"Sales_EBIT";#N/A,#N/A,FALSE,"Capex_Depreciation";#N/A,#N/A,FALSE,"WC";#N/A,#N/A,FALSE,"Interest";#N/A,#N/A,FALSE,"Assumptions"}</definedName>
    <definedName name="wrn.old" localSheetId="0" hidden="1">{#N/A,#N/A,FALSE,"DCF";#N/A,#N/A,FALSE,"WACC";#N/A,#N/A,FALSE,"Sales_EBIT";#N/A,#N/A,FALSE,"Capex_Depreciation";#N/A,#N/A,FALSE,"WC";#N/A,#N/A,FALSE,"Interest";#N/A,#N/A,FALSE,"Assumptions"}</definedName>
    <definedName name="wrn.old" localSheetId="3" hidden="1">{#N/A,#N/A,FALSE,"DCF";#N/A,#N/A,FALSE,"WACC";#N/A,#N/A,FALSE,"Sales_EBIT";#N/A,#N/A,FALSE,"Capex_Depreciation";#N/A,#N/A,FALSE,"WC";#N/A,#N/A,FALSE,"Interest";#N/A,#N/A,FALSE,"Assumptions"}</definedName>
    <definedName name="wrn.old" localSheetId="4" hidden="1">{#N/A,#N/A,FALSE,"DCF";#N/A,#N/A,FALSE,"WACC";#N/A,#N/A,FALSE,"Sales_EBIT";#N/A,#N/A,FALSE,"Capex_Depreciation";#N/A,#N/A,FALSE,"WC";#N/A,#N/A,FALSE,"Interest";#N/A,#N/A,FALSE,"Assumptions"}</definedName>
    <definedName name="wrn.old" localSheetId="28" hidden="1">{#N/A,#N/A,FALSE,"DCF";#N/A,#N/A,FALSE,"WACC";#N/A,#N/A,FALSE,"Sales_EBIT";#N/A,#N/A,FALSE,"Capex_Depreciation";#N/A,#N/A,FALSE,"WC";#N/A,#N/A,FALSE,"Interest";#N/A,#N/A,FALSE,"Assumptions"}</definedName>
    <definedName name="wrn.old" localSheetId="33" hidden="1">{#N/A,#N/A,FALSE,"DCF";#N/A,#N/A,FALSE,"WACC";#N/A,#N/A,FALSE,"Sales_EBIT";#N/A,#N/A,FALSE,"Capex_Depreciation";#N/A,#N/A,FALSE,"WC";#N/A,#N/A,FALSE,"Interest";#N/A,#N/A,FALSE,"Assumptions"}</definedName>
    <definedName name="wrn.old" localSheetId="32" hidden="1">{#N/A,#N/A,FALSE,"DCF";#N/A,#N/A,FALSE,"WACC";#N/A,#N/A,FALSE,"Sales_EBIT";#N/A,#N/A,FALSE,"Capex_Depreciation";#N/A,#N/A,FALSE,"WC";#N/A,#N/A,FALSE,"Interest";#N/A,#N/A,FALSE,"Assumptions"}</definedName>
    <definedName name="wrn.old" localSheetId="7" hidden="1">{#N/A,#N/A,FALSE,"DCF";#N/A,#N/A,FALSE,"WACC";#N/A,#N/A,FALSE,"Sales_EBIT";#N/A,#N/A,FALSE,"Capex_Depreciation";#N/A,#N/A,FALSE,"WC";#N/A,#N/A,FALSE,"Interest";#N/A,#N/A,FALSE,"Assumptions"}</definedName>
    <definedName name="wrn.old" localSheetId="29" hidden="1">{#N/A,#N/A,FALSE,"DCF";#N/A,#N/A,FALSE,"WACC";#N/A,#N/A,FALSE,"Sales_EBIT";#N/A,#N/A,FALSE,"Capex_Depreciation";#N/A,#N/A,FALSE,"WC";#N/A,#N/A,FALSE,"Interest";#N/A,#N/A,FALSE,"Assumptions"}</definedName>
    <definedName name="wrn.old" localSheetId="1" hidden="1">{#N/A,#N/A,FALSE,"DCF";#N/A,#N/A,FALSE,"WACC";#N/A,#N/A,FALSE,"Sales_EBIT";#N/A,#N/A,FALSE,"Capex_Depreciation";#N/A,#N/A,FALSE,"WC";#N/A,#N/A,FALSE,"Interest";#N/A,#N/A,FALSE,"Assumptions"}</definedName>
    <definedName name="wrn.old" localSheetId="31" hidden="1">{#N/A,#N/A,FALSE,"DCF";#N/A,#N/A,FALSE,"WACC";#N/A,#N/A,FALSE,"Sales_EBIT";#N/A,#N/A,FALSE,"Capex_Depreciation";#N/A,#N/A,FALSE,"WC";#N/A,#N/A,FALSE,"Interest";#N/A,#N/A,FALSE,"Assumptions"}</definedName>
    <definedName name="wrn.old" hidden="1">{#N/A,#N/A,FALSE,"DCF";#N/A,#N/A,FALSE,"WACC";#N/A,#N/A,FALSE,"Sales_EBIT";#N/A,#N/A,FALSE,"Capex_Depreciation";#N/A,#N/A,FALSE,"WC";#N/A,#N/A,FALSE,"Interest";#N/A,#N/A,FALSE,"Assumptions"}</definedName>
    <definedName name="wrn.Output." localSheetId="12"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 localSheetId="18"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 localSheetId="19"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 localSheetId="17"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 localSheetId="22"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 localSheetId="10"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 localSheetId="30"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 localSheetId="0"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 localSheetId="3"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 localSheetId="4"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 localSheetId="28"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 localSheetId="33"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 localSheetId="32"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 localSheetId="7"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 localSheetId="29"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 localSheetId="1"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 localSheetId="31"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page57to67." localSheetId="12" hidden="1">{#N/A,#N/A,FALSE,"57";#N/A,#N/A,FALSE,"58";#N/A,#N/A,FALSE,"59";#N/A,#N/A,FALSE,"60";#N/A,#N/A,FALSE,"60A";#N/A,#N/A,FALSE,"61";#N/A,#N/A,FALSE,"62";#N/A,#N/A,FALSE,"63";#N/A,#N/A,FALSE,"63A";#N/A,#N/A,FALSE,"64";#N/A,#N/A,FALSE,"65";#N/A,#N/A,FALSE,"66";#N/A,#N/A,FALSE,"67"}</definedName>
    <definedName name="wrn.page57to67." localSheetId="18" hidden="1">{#N/A,#N/A,FALSE,"57";#N/A,#N/A,FALSE,"58";#N/A,#N/A,FALSE,"59";#N/A,#N/A,FALSE,"60";#N/A,#N/A,FALSE,"60A";#N/A,#N/A,FALSE,"61";#N/A,#N/A,FALSE,"62";#N/A,#N/A,FALSE,"63";#N/A,#N/A,FALSE,"63A";#N/A,#N/A,FALSE,"64";#N/A,#N/A,FALSE,"65";#N/A,#N/A,FALSE,"66";#N/A,#N/A,FALSE,"67"}</definedName>
    <definedName name="wrn.page57to67." localSheetId="19" hidden="1">{#N/A,#N/A,FALSE,"57";#N/A,#N/A,FALSE,"58";#N/A,#N/A,FALSE,"59";#N/A,#N/A,FALSE,"60";#N/A,#N/A,FALSE,"60A";#N/A,#N/A,FALSE,"61";#N/A,#N/A,FALSE,"62";#N/A,#N/A,FALSE,"63";#N/A,#N/A,FALSE,"63A";#N/A,#N/A,FALSE,"64";#N/A,#N/A,FALSE,"65";#N/A,#N/A,FALSE,"66";#N/A,#N/A,FALSE,"67"}</definedName>
    <definedName name="wrn.page57to67." localSheetId="17" hidden="1">{#N/A,#N/A,FALSE,"57";#N/A,#N/A,FALSE,"58";#N/A,#N/A,FALSE,"59";#N/A,#N/A,FALSE,"60";#N/A,#N/A,FALSE,"60A";#N/A,#N/A,FALSE,"61";#N/A,#N/A,FALSE,"62";#N/A,#N/A,FALSE,"63";#N/A,#N/A,FALSE,"63A";#N/A,#N/A,FALSE,"64";#N/A,#N/A,FALSE,"65";#N/A,#N/A,FALSE,"66";#N/A,#N/A,FALSE,"67"}</definedName>
    <definedName name="wrn.page57to67." localSheetId="22" hidden="1">{#N/A,#N/A,FALSE,"57";#N/A,#N/A,FALSE,"58";#N/A,#N/A,FALSE,"59";#N/A,#N/A,FALSE,"60";#N/A,#N/A,FALSE,"60A";#N/A,#N/A,FALSE,"61";#N/A,#N/A,FALSE,"62";#N/A,#N/A,FALSE,"63";#N/A,#N/A,FALSE,"63A";#N/A,#N/A,FALSE,"64";#N/A,#N/A,FALSE,"65";#N/A,#N/A,FALSE,"66";#N/A,#N/A,FALSE,"67"}</definedName>
    <definedName name="wrn.page57to67." localSheetId="10" hidden="1">{#N/A,#N/A,FALSE,"57";#N/A,#N/A,FALSE,"58";#N/A,#N/A,FALSE,"59";#N/A,#N/A,FALSE,"60";#N/A,#N/A,FALSE,"60A";#N/A,#N/A,FALSE,"61";#N/A,#N/A,FALSE,"62";#N/A,#N/A,FALSE,"63";#N/A,#N/A,FALSE,"63A";#N/A,#N/A,FALSE,"64";#N/A,#N/A,FALSE,"65";#N/A,#N/A,FALSE,"66";#N/A,#N/A,FALSE,"67"}</definedName>
    <definedName name="wrn.page57to67." localSheetId="30" hidden="1">{#N/A,#N/A,FALSE,"57";#N/A,#N/A,FALSE,"58";#N/A,#N/A,FALSE,"59";#N/A,#N/A,FALSE,"60";#N/A,#N/A,FALSE,"60A";#N/A,#N/A,FALSE,"61";#N/A,#N/A,FALSE,"62";#N/A,#N/A,FALSE,"63";#N/A,#N/A,FALSE,"63A";#N/A,#N/A,FALSE,"64";#N/A,#N/A,FALSE,"65";#N/A,#N/A,FALSE,"66";#N/A,#N/A,FALSE,"67"}</definedName>
    <definedName name="wrn.page57to67." localSheetId="0" hidden="1">{#N/A,#N/A,FALSE,"57";#N/A,#N/A,FALSE,"58";#N/A,#N/A,FALSE,"59";#N/A,#N/A,FALSE,"60";#N/A,#N/A,FALSE,"60A";#N/A,#N/A,FALSE,"61";#N/A,#N/A,FALSE,"62";#N/A,#N/A,FALSE,"63";#N/A,#N/A,FALSE,"63A";#N/A,#N/A,FALSE,"64";#N/A,#N/A,FALSE,"65";#N/A,#N/A,FALSE,"66";#N/A,#N/A,FALSE,"67"}</definedName>
    <definedName name="wrn.page57to67." localSheetId="3" hidden="1">{#N/A,#N/A,FALSE,"57";#N/A,#N/A,FALSE,"58";#N/A,#N/A,FALSE,"59";#N/A,#N/A,FALSE,"60";#N/A,#N/A,FALSE,"60A";#N/A,#N/A,FALSE,"61";#N/A,#N/A,FALSE,"62";#N/A,#N/A,FALSE,"63";#N/A,#N/A,FALSE,"63A";#N/A,#N/A,FALSE,"64";#N/A,#N/A,FALSE,"65";#N/A,#N/A,FALSE,"66";#N/A,#N/A,FALSE,"67"}</definedName>
    <definedName name="wrn.page57to67." localSheetId="4" hidden="1">{#N/A,#N/A,FALSE,"57";#N/A,#N/A,FALSE,"58";#N/A,#N/A,FALSE,"59";#N/A,#N/A,FALSE,"60";#N/A,#N/A,FALSE,"60A";#N/A,#N/A,FALSE,"61";#N/A,#N/A,FALSE,"62";#N/A,#N/A,FALSE,"63";#N/A,#N/A,FALSE,"63A";#N/A,#N/A,FALSE,"64";#N/A,#N/A,FALSE,"65";#N/A,#N/A,FALSE,"66";#N/A,#N/A,FALSE,"67"}</definedName>
    <definedName name="wrn.page57to67." localSheetId="28" hidden="1">{#N/A,#N/A,FALSE,"57";#N/A,#N/A,FALSE,"58";#N/A,#N/A,FALSE,"59";#N/A,#N/A,FALSE,"60";#N/A,#N/A,FALSE,"60A";#N/A,#N/A,FALSE,"61";#N/A,#N/A,FALSE,"62";#N/A,#N/A,FALSE,"63";#N/A,#N/A,FALSE,"63A";#N/A,#N/A,FALSE,"64";#N/A,#N/A,FALSE,"65";#N/A,#N/A,FALSE,"66";#N/A,#N/A,FALSE,"67"}</definedName>
    <definedName name="wrn.page57to67." localSheetId="33" hidden="1">{#N/A,#N/A,FALSE,"57";#N/A,#N/A,FALSE,"58";#N/A,#N/A,FALSE,"59";#N/A,#N/A,FALSE,"60";#N/A,#N/A,FALSE,"60A";#N/A,#N/A,FALSE,"61";#N/A,#N/A,FALSE,"62";#N/A,#N/A,FALSE,"63";#N/A,#N/A,FALSE,"63A";#N/A,#N/A,FALSE,"64";#N/A,#N/A,FALSE,"65";#N/A,#N/A,FALSE,"66";#N/A,#N/A,FALSE,"67"}</definedName>
    <definedName name="wrn.page57to67." localSheetId="32" hidden="1">{#N/A,#N/A,FALSE,"57";#N/A,#N/A,FALSE,"58";#N/A,#N/A,FALSE,"59";#N/A,#N/A,FALSE,"60";#N/A,#N/A,FALSE,"60A";#N/A,#N/A,FALSE,"61";#N/A,#N/A,FALSE,"62";#N/A,#N/A,FALSE,"63";#N/A,#N/A,FALSE,"63A";#N/A,#N/A,FALSE,"64";#N/A,#N/A,FALSE,"65";#N/A,#N/A,FALSE,"66";#N/A,#N/A,FALSE,"67"}</definedName>
    <definedName name="wrn.page57to67." localSheetId="7" hidden="1">{#N/A,#N/A,FALSE,"57";#N/A,#N/A,FALSE,"58";#N/A,#N/A,FALSE,"59";#N/A,#N/A,FALSE,"60";#N/A,#N/A,FALSE,"60A";#N/A,#N/A,FALSE,"61";#N/A,#N/A,FALSE,"62";#N/A,#N/A,FALSE,"63";#N/A,#N/A,FALSE,"63A";#N/A,#N/A,FALSE,"64";#N/A,#N/A,FALSE,"65";#N/A,#N/A,FALSE,"66";#N/A,#N/A,FALSE,"67"}</definedName>
    <definedName name="wrn.page57to67." localSheetId="29" hidden="1">{#N/A,#N/A,FALSE,"57";#N/A,#N/A,FALSE,"58";#N/A,#N/A,FALSE,"59";#N/A,#N/A,FALSE,"60";#N/A,#N/A,FALSE,"60A";#N/A,#N/A,FALSE,"61";#N/A,#N/A,FALSE,"62";#N/A,#N/A,FALSE,"63";#N/A,#N/A,FALSE,"63A";#N/A,#N/A,FALSE,"64";#N/A,#N/A,FALSE,"65";#N/A,#N/A,FALSE,"66";#N/A,#N/A,FALSE,"67"}</definedName>
    <definedName name="wrn.page57to67." localSheetId="1" hidden="1">{#N/A,#N/A,FALSE,"57";#N/A,#N/A,FALSE,"58";#N/A,#N/A,FALSE,"59";#N/A,#N/A,FALSE,"60";#N/A,#N/A,FALSE,"60A";#N/A,#N/A,FALSE,"61";#N/A,#N/A,FALSE,"62";#N/A,#N/A,FALSE,"63";#N/A,#N/A,FALSE,"63A";#N/A,#N/A,FALSE,"64";#N/A,#N/A,FALSE,"65";#N/A,#N/A,FALSE,"66";#N/A,#N/A,FALSE,"67"}</definedName>
    <definedName name="wrn.page57to67." localSheetId="31" hidden="1">{#N/A,#N/A,FALSE,"57";#N/A,#N/A,FALSE,"58";#N/A,#N/A,FALSE,"59";#N/A,#N/A,FALSE,"60";#N/A,#N/A,FALSE,"60A";#N/A,#N/A,FALSE,"61";#N/A,#N/A,FALSE,"62";#N/A,#N/A,FALSE,"63";#N/A,#N/A,FALSE,"63A";#N/A,#N/A,FALSE,"64";#N/A,#N/A,FALSE,"65";#N/A,#N/A,FALSE,"66";#N/A,#N/A,FALSE,"67"}</definedName>
    <definedName name="wrn.page57to67." hidden="1">{#N/A,#N/A,FALSE,"57";#N/A,#N/A,FALSE,"58";#N/A,#N/A,FALSE,"59";#N/A,#N/A,FALSE,"60";#N/A,#N/A,FALSE,"60A";#N/A,#N/A,FALSE,"61";#N/A,#N/A,FALSE,"62";#N/A,#N/A,FALSE,"63";#N/A,#N/A,FALSE,"63A";#N/A,#N/A,FALSE,"64";#N/A,#N/A,FALSE,"65";#N/A,#N/A,FALSE,"66";#N/A,#N/A,FALSE,"67"}</definedName>
    <definedName name="wrn.Pages._.28._.to._.50." localSheetId="12"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28._.to._.50." localSheetId="18"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28._.to._.50." localSheetId="19"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28._.to._.50." localSheetId="17"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28._.to._.50." localSheetId="22"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28._.to._.50." localSheetId="10"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28._.to._.50." localSheetId="30"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28._.to._.50." localSheetId="0"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28._.to._.50." localSheetId="3"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28._.to._.50." localSheetId="4"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28._.to._.50." localSheetId="28"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28._.to._.50." localSheetId="33"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28._.to._.50." localSheetId="32"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28._.to._.50." localSheetId="7"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28._.to._.50." localSheetId="29"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28._.to._.50." localSheetId="1"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28._.to._.50." localSheetId="31"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28._.to._.50."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51._.to._.66." localSheetId="12" hidden="1">{#N/A,#N/A,FALSE,"51";#N/A,#N/A,FALSE,"52";#N/A,#N/A,FALSE,"53";#N/A,#N/A,FALSE,"54";#N/A,#N/A,FALSE,"55";#N/A,#N/A,FALSE,"55A";#N/A,#N/A,FALSE,"56";#N/A,#N/A,FALSE,"57";#N/A,#N/A,FALSE,"57A";#N/A,#N/A,FALSE,"58";#N/A,#N/A,FALSE,"59";#N/A,#N/A,FALSE,"60";#N/A,#N/A,FALSE,"60A";#N/A,#N/A,FALSE,"61";#N/A,#N/A,FALSE,"62";#N/A,#N/A,FALSE,"63";#N/A,#N/A,FALSE,"63A";#N/A,#N/A,FALSE,"64";#N/A,#N/A,FALSE,"65";#N/A,#N/A,FALSE,"66"}</definedName>
    <definedName name="wrn.Pages._.51._.to._.66." localSheetId="18" hidden="1">{#N/A,#N/A,FALSE,"51";#N/A,#N/A,FALSE,"52";#N/A,#N/A,FALSE,"53";#N/A,#N/A,FALSE,"54";#N/A,#N/A,FALSE,"55";#N/A,#N/A,FALSE,"55A";#N/A,#N/A,FALSE,"56";#N/A,#N/A,FALSE,"57";#N/A,#N/A,FALSE,"57A";#N/A,#N/A,FALSE,"58";#N/A,#N/A,FALSE,"59";#N/A,#N/A,FALSE,"60";#N/A,#N/A,FALSE,"60A";#N/A,#N/A,FALSE,"61";#N/A,#N/A,FALSE,"62";#N/A,#N/A,FALSE,"63";#N/A,#N/A,FALSE,"63A";#N/A,#N/A,FALSE,"64";#N/A,#N/A,FALSE,"65";#N/A,#N/A,FALSE,"66"}</definedName>
    <definedName name="wrn.Pages._.51._.to._.66." localSheetId="19" hidden="1">{#N/A,#N/A,FALSE,"51";#N/A,#N/A,FALSE,"52";#N/A,#N/A,FALSE,"53";#N/A,#N/A,FALSE,"54";#N/A,#N/A,FALSE,"55";#N/A,#N/A,FALSE,"55A";#N/A,#N/A,FALSE,"56";#N/A,#N/A,FALSE,"57";#N/A,#N/A,FALSE,"57A";#N/A,#N/A,FALSE,"58";#N/A,#N/A,FALSE,"59";#N/A,#N/A,FALSE,"60";#N/A,#N/A,FALSE,"60A";#N/A,#N/A,FALSE,"61";#N/A,#N/A,FALSE,"62";#N/A,#N/A,FALSE,"63";#N/A,#N/A,FALSE,"63A";#N/A,#N/A,FALSE,"64";#N/A,#N/A,FALSE,"65";#N/A,#N/A,FALSE,"66"}</definedName>
    <definedName name="wrn.Pages._.51._.to._.66." localSheetId="17" hidden="1">{#N/A,#N/A,FALSE,"51";#N/A,#N/A,FALSE,"52";#N/A,#N/A,FALSE,"53";#N/A,#N/A,FALSE,"54";#N/A,#N/A,FALSE,"55";#N/A,#N/A,FALSE,"55A";#N/A,#N/A,FALSE,"56";#N/A,#N/A,FALSE,"57";#N/A,#N/A,FALSE,"57A";#N/A,#N/A,FALSE,"58";#N/A,#N/A,FALSE,"59";#N/A,#N/A,FALSE,"60";#N/A,#N/A,FALSE,"60A";#N/A,#N/A,FALSE,"61";#N/A,#N/A,FALSE,"62";#N/A,#N/A,FALSE,"63";#N/A,#N/A,FALSE,"63A";#N/A,#N/A,FALSE,"64";#N/A,#N/A,FALSE,"65";#N/A,#N/A,FALSE,"66"}</definedName>
    <definedName name="wrn.Pages._.51._.to._.66." localSheetId="22" hidden="1">{#N/A,#N/A,FALSE,"51";#N/A,#N/A,FALSE,"52";#N/A,#N/A,FALSE,"53";#N/A,#N/A,FALSE,"54";#N/A,#N/A,FALSE,"55";#N/A,#N/A,FALSE,"55A";#N/A,#N/A,FALSE,"56";#N/A,#N/A,FALSE,"57";#N/A,#N/A,FALSE,"57A";#N/A,#N/A,FALSE,"58";#N/A,#N/A,FALSE,"59";#N/A,#N/A,FALSE,"60";#N/A,#N/A,FALSE,"60A";#N/A,#N/A,FALSE,"61";#N/A,#N/A,FALSE,"62";#N/A,#N/A,FALSE,"63";#N/A,#N/A,FALSE,"63A";#N/A,#N/A,FALSE,"64";#N/A,#N/A,FALSE,"65";#N/A,#N/A,FALSE,"66"}</definedName>
    <definedName name="wrn.Pages._.51._.to._.66." localSheetId="10" hidden="1">{#N/A,#N/A,FALSE,"51";#N/A,#N/A,FALSE,"52";#N/A,#N/A,FALSE,"53";#N/A,#N/A,FALSE,"54";#N/A,#N/A,FALSE,"55";#N/A,#N/A,FALSE,"55A";#N/A,#N/A,FALSE,"56";#N/A,#N/A,FALSE,"57";#N/A,#N/A,FALSE,"57A";#N/A,#N/A,FALSE,"58";#N/A,#N/A,FALSE,"59";#N/A,#N/A,FALSE,"60";#N/A,#N/A,FALSE,"60A";#N/A,#N/A,FALSE,"61";#N/A,#N/A,FALSE,"62";#N/A,#N/A,FALSE,"63";#N/A,#N/A,FALSE,"63A";#N/A,#N/A,FALSE,"64";#N/A,#N/A,FALSE,"65";#N/A,#N/A,FALSE,"66"}</definedName>
    <definedName name="wrn.Pages._.51._.to._.66." localSheetId="30" hidden="1">{#N/A,#N/A,FALSE,"51";#N/A,#N/A,FALSE,"52";#N/A,#N/A,FALSE,"53";#N/A,#N/A,FALSE,"54";#N/A,#N/A,FALSE,"55";#N/A,#N/A,FALSE,"55A";#N/A,#N/A,FALSE,"56";#N/A,#N/A,FALSE,"57";#N/A,#N/A,FALSE,"57A";#N/A,#N/A,FALSE,"58";#N/A,#N/A,FALSE,"59";#N/A,#N/A,FALSE,"60";#N/A,#N/A,FALSE,"60A";#N/A,#N/A,FALSE,"61";#N/A,#N/A,FALSE,"62";#N/A,#N/A,FALSE,"63";#N/A,#N/A,FALSE,"63A";#N/A,#N/A,FALSE,"64";#N/A,#N/A,FALSE,"65";#N/A,#N/A,FALSE,"66"}</definedName>
    <definedName name="wrn.Pages._.51._.to._.66." localSheetId="0" hidden="1">{#N/A,#N/A,FALSE,"51";#N/A,#N/A,FALSE,"52";#N/A,#N/A,FALSE,"53";#N/A,#N/A,FALSE,"54";#N/A,#N/A,FALSE,"55";#N/A,#N/A,FALSE,"55A";#N/A,#N/A,FALSE,"56";#N/A,#N/A,FALSE,"57";#N/A,#N/A,FALSE,"57A";#N/A,#N/A,FALSE,"58";#N/A,#N/A,FALSE,"59";#N/A,#N/A,FALSE,"60";#N/A,#N/A,FALSE,"60A";#N/A,#N/A,FALSE,"61";#N/A,#N/A,FALSE,"62";#N/A,#N/A,FALSE,"63";#N/A,#N/A,FALSE,"63A";#N/A,#N/A,FALSE,"64";#N/A,#N/A,FALSE,"65";#N/A,#N/A,FALSE,"66"}</definedName>
    <definedName name="wrn.Pages._.51._.to._.66." localSheetId="3" hidden="1">{#N/A,#N/A,FALSE,"51";#N/A,#N/A,FALSE,"52";#N/A,#N/A,FALSE,"53";#N/A,#N/A,FALSE,"54";#N/A,#N/A,FALSE,"55";#N/A,#N/A,FALSE,"55A";#N/A,#N/A,FALSE,"56";#N/A,#N/A,FALSE,"57";#N/A,#N/A,FALSE,"57A";#N/A,#N/A,FALSE,"58";#N/A,#N/A,FALSE,"59";#N/A,#N/A,FALSE,"60";#N/A,#N/A,FALSE,"60A";#N/A,#N/A,FALSE,"61";#N/A,#N/A,FALSE,"62";#N/A,#N/A,FALSE,"63";#N/A,#N/A,FALSE,"63A";#N/A,#N/A,FALSE,"64";#N/A,#N/A,FALSE,"65";#N/A,#N/A,FALSE,"66"}</definedName>
    <definedName name="wrn.Pages._.51._.to._.66." localSheetId="4" hidden="1">{#N/A,#N/A,FALSE,"51";#N/A,#N/A,FALSE,"52";#N/A,#N/A,FALSE,"53";#N/A,#N/A,FALSE,"54";#N/A,#N/A,FALSE,"55";#N/A,#N/A,FALSE,"55A";#N/A,#N/A,FALSE,"56";#N/A,#N/A,FALSE,"57";#N/A,#N/A,FALSE,"57A";#N/A,#N/A,FALSE,"58";#N/A,#N/A,FALSE,"59";#N/A,#N/A,FALSE,"60";#N/A,#N/A,FALSE,"60A";#N/A,#N/A,FALSE,"61";#N/A,#N/A,FALSE,"62";#N/A,#N/A,FALSE,"63";#N/A,#N/A,FALSE,"63A";#N/A,#N/A,FALSE,"64";#N/A,#N/A,FALSE,"65";#N/A,#N/A,FALSE,"66"}</definedName>
    <definedName name="wrn.Pages._.51._.to._.66." localSheetId="28" hidden="1">{#N/A,#N/A,FALSE,"51";#N/A,#N/A,FALSE,"52";#N/A,#N/A,FALSE,"53";#N/A,#N/A,FALSE,"54";#N/A,#N/A,FALSE,"55";#N/A,#N/A,FALSE,"55A";#N/A,#N/A,FALSE,"56";#N/A,#N/A,FALSE,"57";#N/A,#N/A,FALSE,"57A";#N/A,#N/A,FALSE,"58";#N/A,#N/A,FALSE,"59";#N/A,#N/A,FALSE,"60";#N/A,#N/A,FALSE,"60A";#N/A,#N/A,FALSE,"61";#N/A,#N/A,FALSE,"62";#N/A,#N/A,FALSE,"63";#N/A,#N/A,FALSE,"63A";#N/A,#N/A,FALSE,"64";#N/A,#N/A,FALSE,"65";#N/A,#N/A,FALSE,"66"}</definedName>
    <definedName name="wrn.Pages._.51._.to._.66." localSheetId="33" hidden="1">{#N/A,#N/A,FALSE,"51";#N/A,#N/A,FALSE,"52";#N/A,#N/A,FALSE,"53";#N/A,#N/A,FALSE,"54";#N/A,#N/A,FALSE,"55";#N/A,#N/A,FALSE,"55A";#N/A,#N/A,FALSE,"56";#N/A,#N/A,FALSE,"57";#N/A,#N/A,FALSE,"57A";#N/A,#N/A,FALSE,"58";#N/A,#N/A,FALSE,"59";#N/A,#N/A,FALSE,"60";#N/A,#N/A,FALSE,"60A";#N/A,#N/A,FALSE,"61";#N/A,#N/A,FALSE,"62";#N/A,#N/A,FALSE,"63";#N/A,#N/A,FALSE,"63A";#N/A,#N/A,FALSE,"64";#N/A,#N/A,FALSE,"65";#N/A,#N/A,FALSE,"66"}</definedName>
    <definedName name="wrn.Pages._.51._.to._.66." localSheetId="32" hidden="1">{#N/A,#N/A,FALSE,"51";#N/A,#N/A,FALSE,"52";#N/A,#N/A,FALSE,"53";#N/A,#N/A,FALSE,"54";#N/A,#N/A,FALSE,"55";#N/A,#N/A,FALSE,"55A";#N/A,#N/A,FALSE,"56";#N/A,#N/A,FALSE,"57";#N/A,#N/A,FALSE,"57A";#N/A,#N/A,FALSE,"58";#N/A,#N/A,FALSE,"59";#N/A,#N/A,FALSE,"60";#N/A,#N/A,FALSE,"60A";#N/A,#N/A,FALSE,"61";#N/A,#N/A,FALSE,"62";#N/A,#N/A,FALSE,"63";#N/A,#N/A,FALSE,"63A";#N/A,#N/A,FALSE,"64";#N/A,#N/A,FALSE,"65";#N/A,#N/A,FALSE,"66"}</definedName>
    <definedName name="wrn.Pages._.51._.to._.66." localSheetId="7" hidden="1">{#N/A,#N/A,FALSE,"51";#N/A,#N/A,FALSE,"52";#N/A,#N/A,FALSE,"53";#N/A,#N/A,FALSE,"54";#N/A,#N/A,FALSE,"55";#N/A,#N/A,FALSE,"55A";#N/A,#N/A,FALSE,"56";#N/A,#N/A,FALSE,"57";#N/A,#N/A,FALSE,"57A";#N/A,#N/A,FALSE,"58";#N/A,#N/A,FALSE,"59";#N/A,#N/A,FALSE,"60";#N/A,#N/A,FALSE,"60A";#N/A,#N/A,FALSE,"61";#N/A,#N/A,FALSE,"62";#N/A,#N/A,FALSE,"63";#N/A,#N/A,FALSE,"63A";#N/A,#N/A,FALSE,"64";#N/A,#N/A,FALSE,"65";#N/A,#N/A,FALSE,"66"}</definedName>
    <definedName name="wrn.Pages._.51._.to._.66." localSheetId="29" hidden="1">{#N/A,#N/A,FALSE,"51";#N/A,#N/A,FALSE,"52";#N/A,#N/A,FALSE,"53";#N/A,#N/A,FALSE,"54";#N/A,#N/A,FALSE,"55";#N/A,#N/A,FALSE,"55A";#N/A,#N/A,FALSE,"56";#N/A,#N/A,FALSE,"57";#N/A,#N/A,FALSE,"57A";#N/A,#N/A,FALSE,"58";#N/A,#N/A,FALSE,"59";#N/A,#N/A,FALSE,"60";#N/A,#N/A,FALSE,"60A";#N/A,#N/A,FALSE,"61";#N/A,#N/A,FALSE,"62";#N/A,#N/A,FALSE,"63";#N/A,#N/A,FALSE,"63A";#N/A,#N/A,FALSE,"64";#N/A,#N/A,FALSE,"65";#N/A,#N/A,FALSE,"66"}</definedName>
    <definedName name="wrn.Pages._.51._.to._.66." localSheetId="1" hidden="1">{#N/A,#N/A,FALSE,"51";#N/A,#N/A,FALSE,"52";#N/A,#N/A,FALSE,"53";#N/A,#N/A,FALSE,"54";#N/A,#N/A,FALSE,"55";#N/A,#N/A,FALSE,"55A";#N/A,#N/A,FALSE,"56";#N/A,#N/A,FALSE,"57";#N/A,#N/A,FALSE,"57A";#N/A,#N/A,FALSE,"58";#N/A,#N/A,FALSE,"59";#N/A,#N/A,FALSE,"60";#N/A,#N/A,FALSE,"60A";#N/A,#N/A,FALSE,"61";#N/A,#N/A,FALSE,"62";#N/A,#N/A,FALSE,"63";#N/A,#N/A,FALSE,"63A";#N/A,#N/A,FALSE,"64";#N/A,#N/A,FALSE,"65";#N/A,#N/A,FALSE,"66"}</definedName>
    <definedName name="wrn.Pages._.51._.to._.66." localSheetId="31" hidden="1">{#N/A,#N/A,FALSE,"51";#N/A,#N/A,FALSE,"52";#N/A,#N/A,FALSE,"53";#N/A,#N/A,FALSE,"54";#N/A,#N/A,FALSE,"55";#N/A,#N/A,FALSE,"55A";#N/A,#N/A,FALSE,"56";#N/A,#N/A,FALSE,"57";#N/A,#N/A,FALSE,"57A";#N/A,#N/A,FALSE,"58";#N/A,#N/A,FALSE,"59";#N/A,#N/A,FALSE,"60";#N/A,#N/A,FALSE,"60A";#N/A,#N/A,FALSE,"61";#N/A,#N/A,FALSE,"62";#N/A,#N/A,FALSE,"63";#N/A,#N/A,FALSE,"63A";#N/A,#N/A,FALSE,"64";#N/A,#N/A,FALSE,"65";#N/A,#N/A,FALSE,"66"}</definedName>
    <definedName name="wrn.Pages._.51._.to._.66." hidden="1">{#N/A,#N/A,FALSE,"51";#N/A,#N/A,FALSE,"52";#N/A,#N/A,FALSE,"53";#N/A,#N/A,FALSE,"54";#N/A,#N/A,FALSE,"55";#N/A,#N/A,FALSE,"55A";#N/A,#N/A,FALSE,"56";#N/A,#N/A,FALSE,"57";#N/A,#N/A,FALSE,"57A";#N/A,#N/A,FALSE,"58";#N/A,#N/A,FALSE,"59";#N/A,#N/A,FALSE,"60";#N/A,#N/A,FALSE,"60A";#N/A,#N/A,FALSE,"61";#N/A,#N/A,FALSE,"62";#N/A,#N/A,FALSE,"63";#N/A,#N/A,FALSE,"63A";#N/A,#N/A,FALSE,"64";#N/A,#N/A,FALSE,"65";#N/A,#N/A,FALSE,"66"}</definedName>
    <definedName name="wrn.pages._.88._.to._.end." localSheetId="12"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ges._.88._.to._.end." localSheetId="18"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ges._.88._.to._.end." localSheetId="19"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ges._.88._.to._.end." localSheetId="17"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ges._.88._.to._.end." localSheetId="22"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ges._.88._.to._.end." localSheetId="10"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ges._.88._.to._.end." localSheetId="30"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ges._.88._.to._.end." localSheetId="0"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ges._.88._.to._.end." localSheetId="3"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ges._.88._.to._.end." localSheetId="4"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ges._.88._.to._.end." localSheetId="28"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ges._.88._.to._.end." localSheetId="33"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ges._.88._.to._.end." localSheetId="32"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ges._.88._.to._.end." localSheetId="7"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ges._.88._.to._.end." localSheetId="29"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ges._.88._.to._.end." localSheetId="1"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ges._.88._.to._.end." localSheetId="31"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ges._.88._.to._.end."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RA._.EL._.CONSEJO." localSheetId="12" hidden="1">{"CONSEJO",#N/A,FALSE,"Dist p0";"CONSEJO",#N/A,FALSE,"Ficha CODICE"}</definedName>
    <definedName name="wrn.PARA._.EL._.CONSEJO." localSheetId="18" hidden="1">{"CONSEJO",#N/A,FALSE,"Dist p0";"CONSEJO",#N/A,FALSE,"Ficha CODICE"}</definedName>
    <definedName name="wrn.PARA._.EL._.CONSEJO." localSheetId="19" hidden="1">{"CONSEJO",#N/A,FALSE,"Dist p0";"CONSEJO",#N/A,FALSE,"Ficha CODICE"}</definedName>
    <definedName name="wrn.PARA._.EL._.CONSEJO." localSheetId="17" hidden="1">{"CONSEJO",#N/A,FALSE,"Dist p0";"CONSEJO",#N/A,FALSE,"Ficha CODICE"}</definedName>
    <definedName name="wrn.PARA._.EL._.CONSEJO." localSheetId="22" hidden="1">{"CONSEJO",#N/A,FALSE,"Dist p0";"CONSEJO",#N/A,FALSE,"Ficha CODICE"}</definedName>
    <definedName name="wrn.PARA._.EL._.CONSEJO." localSheetId="10" hidden="1">{"CONSEJO",#N/A,FALSE,"Dist p0";"CONSEJO",#N/A,FALSE,"Ficha CODICE"}</definedName>
    <definedName name="wrn.PARA._.EL._.CONSEJO." localSheetId="30" hidden="1">{"CONSEJO",#N/A,FALSE,"Dist p0";"CONSEJO",#N/A,FALSE,"Ficha CODICE"}</definedName>
    <definedName name="wrn.PARA._.EL._.CONSEJO." localSheetId="0" hidden="1">{"CONSEJO",#N/A,FALSE,"Dist p0";"CONSEJO",#N/A,FALSE,"Ficha CODICE"}</definedName>
    <definedName name="wrn.PARA._.EL._.CONSEJO." localSheetId="3" hidden="1">{"CONSEJO",#N/A,FALSE,"Dist p0";"CONSEJO",#N/A,FALSE,"Ficha CODICE"}</definedName>
    <definedName name="wrn.PARA._.EL._.CONSEJO." localSheetId="4" hidden="1">{"CONSEJO",#N/A,FALSE,"Dist p0";"CONSEJO",#N/A,FALSE,"Ficha CODICE"}</definedName>
    <definedName name="wrn.PARA._.EL._.CONSEJO." localSheetId="28" hidden="1">{"CONSEJO",#N/A,FALSE,"Dist p0";"CONSEJO",#N/A,FALSE,"Ficha CODICE"}</definedName>
    <definedName name="wrn.PARA._.EL._.CONSEJO." localSheetId="33" hidden="1">{"CONSEJO",#N/A,FALSE,"Dist p0";"CONSEJO",#N/A,FALSE,"Ficha CODICE"}</definedName>
    <definedName name="wrn.PARA._.EL._.CONSEJO." localSheetId="32" hidden="1">{"CONSEJO",#N/A,FALSE,"Dist p0";"CONSEJO",#N/A,FALSE,"Ficha CODICE"}</definedName>
    <definedName name="wrn.PARA._.EL._.CONSEJO." localSheetId="7" hidden="1">{"CONSEJO",#N/A,FALSE,"Dist p0";"CONSEJO",#N/A,FALSE,"Ficha CODICE"}</definedName>
    <definedName name="wrn.PARA._.EL._.CONSEJO." localSheetId="29" hidden="1">{"CONSEJO",#N/A,FALSE,"Dist p0";"CONSEJO",#N/A,FALSE,"Ficha CODICE"}</definedName>
    <definedName name="wrn.PARA._.EL._.CONSEJO." localSheetId="1" hidden="1">{"CONSEJO",#N/A,FALSE,"Dist p0";"CONSEJO",#N/A,FALSE,"Ficha CODICE"}</definedName>
    <definedName name="wrn.PARA._.EL._.CONSEJO." localSheetId="31" hidden="1">{"CONSEJO",#N/A,FALSE,"Dist p0";"CONSEJO",#N/A,FALSE,"Ficha CODICE"}</definedName>
    <definedName name="wrn.PARA._.EL._.CONSEJO." hidden="1">{"CONSEJO",#N/A,FALSE,"Dist p0";"CONSEJO",#N/A,FALSE,"Ficha CODICE"}</definedName>
    <definedName name="wrn.PARA._.LA._.CARTA." localSheetId="12" hidden="1">{"uno",#N/A,FALSE,"Dist total";"COMENTARIO",#N/A,FALSE,"Ficha CODICE"}</definedName>
    <definedName name="wrn.PARA._.LA._.CARTA." localSheetId="18" hidden="1">{"uno",#N/A,FALSE,"Dist total";"COMENTARIO",#N/A,FALSE,"Ficha CODICE"}</definedName>
    <definedName name="wrn.PARA._.LA._.CARTA." localSheetId="19" hidden="1">{"uno",#N/A,FALSE,"Dist total";"COMENTARIO",#N/A,FALSE,"Ficha CODICE"}</definedName>
    <definedName name="wrn.PARA._.LA._.CARTA." localSheetId="17" hidden="1">{"uno",#N/A,FALSE,"Dist total";"COMENTARIO",#N/A,FALSE,"Ficha CODICE"}</definedName>
    <definedName name="wrn.PARA._.LA._.CARTA." localSheetId="22" hidden="1">{"uno",#N/A,FALSE,"Dist total";"COMENTARIO",#N/A,FALSE,"Ficha CODICE"}</definedName>
    <definedName name="wrn.PARA._.LA._.CARTA." localSheetId="10" hidden="1">{"uno",#N/A,FALSE,"Dist total";"COMENTARIO",#N/A,FALSE,"Ficha CODICE"}</definedName>
    <definedName name="wrn.PARA._.LA._.CARTA." localSheetId="30" hidden="1">{"uno",#N/A,FALSE,"Dist total";"COMENTARIO",#N/A,FALSE,"Ficha CODICE"}</definedName>
    <definedName name="wrn.PARA._.LA._.CARTA." localSheetId="0" hidden="1">{"uno",#N/A,FALSE,"Dist total";"COMENTARIO",#N/A,FALSE,"Ficha CODICE"}</definedName>
    <definedName name="wrn.PARA._.LA._.CARTA." localSheetId="3" hidden="1">{"uno",#N/A,FALSE,"Dist total";"COMENTARIO",#N/A,FALSE,"Ficha CODICE"}</definedName>
    <definedName name="wrn.PARA._.LA._.CARTA." localSheetId="4" hidden="1">{"uno",#N/A,FALSE,"Dist total";"COMENTARIO",#N/A,FALSE,"Ficha CODICE"}</definedName>
    <definedName name="wrn.PARA._.LA._.CARTA." localSheetId="28" hidden="1">{"uno",#N/A,FALSE,"Dist total";"COMENTARIO",#N/A,FALSE,"Ficha CODICE"}</definedName>
    <definedName name="wrn.PARA._.LA._.CARTA." localSheetId="33" hidden="1">{"uno",#N/A,FALSE,"Dist total";"COMENTARIO",#N/A,FALSE,"Ficha CODICE"}</definedName>
    <definedName name="wrn.PARA._.LA._.CARTA." localSheetId="32" hidden="1">{"uno",#N/A,FALSE,"Dist total";"COMENTARIO",#N/A,FALSE,"Ficha CODICE"}</definedName>
    <definedName name="wrn.PARA._.LA._.CARTA." localSheetId="7" hidden="1">{"uno",#N/A,FALSE,"Dist total";"COMENTARIO",#N/A,FALSE,"Ficha CODICE"}</definedName>
    <definedName name="wrn.PARA._.LA._.CARTA." localSheetId="29" hidden="1">{"uno",#N/A,FALSE,"Dist total";"COMENTARIO",#N/A,FALSE,"Ficha CODICE"}</definedName>
    <definedName name="wrn.PARA._.LA._.CARTA." localSheetId="1" hidden="1">{"uno",#N/A,FALSE,"Dist total";"COMENTARIO",#N/A,FALSE,"Ficha CODICE"}</definedName>
    <definedName name="wrn.PARA._.LA._.CARTA." localSheetId="31" hidden="1">{"uno",#N/A,FALSE,"Dist total";"COMENTARIO",#N/A,FALSE,"Ficha CODICE"}</definedName>
    <definedName name="wrn.PARA._.LA._.CARTA." hidden="1">{"uno",#N/A,FALSE,"Dist total";"COMENTARIO",#N/A,FALSE,"Ficha CODICE"}</definedName>
    <definedName name="wrn.Penn._.PSC._.part._.1." localSheetId="12"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1." localSheetId="18"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1." localSheetId="19"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1." localSheetId="17"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1." localSheetId="22"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1." localSheetId="10"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1." localSheetId="30"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1." localSheetId="0"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1." localSheetId="3"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1." localSheetId="4"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1." localSheetId="28"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1." localSheetId="33"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1." localSheetId="32"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1." localSheetId="7"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1." localSheetId="29"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1." localSheetId="1"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1." localSheetId="31"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1."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2." localSheetId="12"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nn._.PSC._.part._.2." localSheetId="18"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nn._.PSC._.part._.2." localSheetId="19"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nn._.PSC._.part._.2." localSheetId="17"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nn._.PSC._.part._.2." localSheetId="22"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nn._.PSC._.part._.2." localSheetId="10"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nn._.PSC._.part._.2." localSheetId="30"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nn._.PSC._.part._.2." localSheetId="0"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nn._.PSC._.part._.2." localSheetId="3"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nn._.PSC._.part._.2." localSheetId="4"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nn._.PSC._.part._.2." localSheetId="28"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nn._.PSC._.part._.2." localSheetId="33"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nn._.PSC._.part._.2." localSheetId="32"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nn._.PSC._.part._.2." localSheetId="7"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nn._.PSC._.part._.2." localSheetId="29"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nn._.PSC._.part._.2." localSheetId="1"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nn._.PSC._.part._.2." localSheetId="31"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nn._.PSC._.part._.2."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ip." localSheetId="12" hidden="1">{"Aar",#N/A,FALSE,"Divisioner";"Kvartaler",#N/A,FALSE,"Divisioner";"Aggregering",#N/A,FALSE,"Divisioner";"Aar",#N/A,FALSE,"Norge div. (gl)";"Kvartal",#N/A,FALSE,"Norge div. (gl)";"Samling",#N/A,FALSE,"Norge div. (gl)"}</definedName>
    <definedName name="wrn.pip." localSheetId="18" hidden="1">{"Aar",#N/A,FALSE,"Divisioner";"Kvartaler",#N/A,FALSE,"Divisioner";"Aggregering",#N/A,FALSE,"Divisioner";"Aar",#N/A,FALSE,"Norge div. (gl)";"Kvartal",#N/A,FALSE,"Norge div. (gl)";"Samling",#N/A,FALSE,"Norge div. (gl)"}</definedName>
    <definedName name="wrn.pip." localSheetId="19" hidden="1">{"Aar",#N/A,FALSE,"Divisioner";"Kvartaler",#N/A,FALSE,"Divisioner";"Aggregering",#N/A,FALSE,"Divisioner";"Aar",#N/A,FALSE,"Norge div. (gl)";"Kvartal",#N/A,FALSE,"Norge div. (gl)";"Samling",#N/A,FALSE,"Norge div. (gl)"}</definedName>
    <definedName name="wrn.pip." localSheetId="17" hidden="1">{"Aar",#N/A,FALSE,"Divisioner";"Kvartaler",#N/A,FALSE,"Divisioner";"Aggregering",#N/A,FALSE,"Divisioner";"Aar",#N/A,FALSE,"Norge div. (gl)";"Kvartal",#N/A,FALSE,"Norge div. (gl)";"Samling",#N/A,FALSE,"Norge div. (gl)"}</definedName>
    <definedName name="wrn.pip." localSheetId="22" hidden="1">{"Aar",#N/A,FALSE,"Divisioner";"Kvartaler",#N/A,FALSE,"Divisioner";"Aggregering",#N/A,FALSE,"Divisioner";"Aar",#N/A,FALSE,"Norge div. (gl)";"Kvartal",#N/A,FALSE,"Norge div. (gl)";"Samling",#N/A,FALSE,"Norge div. (gl)"}</definedName>
    <definedName name="wrn.pip." localSheetId="10" hidden="1">{"Aar",#N/A,FALSE,"Divisioner";"Kvartaler",#N/A,FALSE,"Divisioner";"Aggregering",#N/A,FALSE,"Divisioner";"Aar",#N/A,FALSE,"Norge div. (gl)";"Kvartal",#N/A,FALSE,"Norge div. (gl)";"Samling",#N/A,FALSE,"Norge div. (gl)"}</definedName>
    <definedName name="wrn.pip." localSheetId="30" hidden="1">{"Aar",#N/A,FALSE,"Divisioner";"Kvartaler",#N/A,FALSE,"Divisioner";"Aggregering",#N/A,FALSE,"Divisioner";"Aar",#N/A,FALSE,"Norge div. (gl)";"Kvartal",#N/A,FALSE,"Norge div. (gl)";"Samling",#N/A,FALSE,"Norge div. (gl)"}</definedName>
    <definedName name="wrn.pip." localSheetId="0" hidden="1">{"Aar",#N/A,FALSE,"Divisioner";"Kvartaler",#N/A,FALSE,"Divisioner";"Aggregering",#N/A,FALSE,"Divisioner";"Aar",#N/A,FALSE,"Norge div. (gl)";"Kvartal",#N/A,FALSE,"Norge div. (gl)";"Samling",#N/A,FALSE,"Norge div. (gl)"}</definedName>
    <definedName name="wrn.pip." localSheetId="3" hidden="1">{"Aar",#N/A,FALSE,"Divisioner";"Kvartaler",#N/A,FALSE,"Divisioner";"Aggregering",#N/A,FALSE,"Divisioner";"Aar",#N/A,FALSE,"Norge div. (gl)";"Kvartal",#N/A,FALSE,"Norge div. (gl)";"Samling",#N/A,FALSE,"Norge div. (gl)"}</definedName>
    <definedName name="wrn.pip." localSheetId="4" hidden="1">{"Aar",#N/A,FALSE,"Divisioner";"Kvartaler",#N/A,FALSE,"Divisioner";"Aggregering",#N/A,FALSE,"Divisioner";"Aar",#N/A,FALSE,"Norge div. (gl)";"Kvartal",#N/A,FALSE,"Norge div. (gl)";"Samling",#N/A,FALSE,"Norge div. (gl)"}</definedName>
    <definedName name="wrn.pip." localSheetId="28" hidden="1">{"Aar",#N/A,FALSE,"Divisioner";"Kvartaler",#N/A,FALSE,"Divisioner";"Aggregering",#N/A,FALSE,"Divisioner";"Aar",#N/A,FALSE,"Norge div. (gl)";"Kvartal",#N/A,FALSE,"Norge div. (gl)";"Samling",#N/A,FALSE,"Norge div. (gl)"}</definedName>
    <definedName name="wrn.pip." localSheetId="33" hidden="1">{"Aar",#N/A,FALSE,"Divisioner";"Kvartaler",#N/A,FALSE,"Divisioner";"Aggregering",#N/A,FALSE,"Divisioner";"Aar",#N/A,FALSE,"Norge div. (gl)";"Kvartal",#N/A,FALSE,"Norge div. (gl)";"Samling",#N/A,FALSE,"Norge div. (gl)"}</definedName>
    <definedName name="wrn.pip." localSheetId="32" hidden="1">{"Aar",#N/A,FALSE,"Divisioner";"Kvartaler",#N/A,FALSE,"Divisioner";"Aggregering",#N/A,FALSE,"Divisioner";"Aar",#N/A,FALSE,"Norge div. (gl)";"Kvartal",#N/A,FALSE,"Norge div. (gl)";"Samling",#N/A,FALSE,"Norge div. (gl)"}</definedName>
    <definedName name="wrn.pip." localSheetId="7" hidden="1">{"Aar",#N/A,FALSE,"Divisioner";"Kvartaler",#N/A,FALSE,"Divisioner";"Aggregering",#N/A,FALSE,"Divisioner";"Aar",#N/A,FALSE,"Norge div. (gl)";"Kvartal",#N/A,FALSE,"Norge div. (gl)";"Samling",#N/A,FALSE,"Norge div. (gl)"}</definedName>
    <definedName name="wrn.pip." localSheetId="29" hidden="1">{"Aar",#N/A,FALSE,"Divisioner";"Kvartaler",#N/A,FALSE,"Divisioner";"Aggregering",#N/A,FALSE,"Divisioner";"Aar",#N/A,FALSE,"Norge div. (gl)";"Kvartal",#N/A,FALSE,"Norge div. (gl)";"Samling",#N/A,FALSE,"Norge div. (gl)"}</definedName>
    <definedName name="wrn.pip." localSheetId="1" hidden="1">{"Aar",#N/A,FALSE,"Divisioner";"Kvartaler",#N/A,FALSE,"Divisioner";"Aggregering",#N/A,FALSE,"Divisioner";"Aar",#N/A,FALSE,"Norge div. (gl)";"Kvartal",#N/A,FALSE,"Norge div. (gl)";"Samling",#N/A,FALSE,"Norge div. (gl)"}</definedName>
    <definedName name="wrn.pip." localSheetId="31" hidden="1">{"Aar",#N/A,FALSE,"Divisioner";"Kvartaler",#N/A,FALSE,"Divisioner";"Aggregering",#N/A,FALSE,"Divisioner";"Aar",#N/A,FALSE,"Norge div. (gl)";"Kvartal",#N/A,FALSE,"Norge div. (gl)";"Samling",#N/A,FALSE,"Norge div. (gl)"}</definedName>
    <definedName name="wrn.pip." hidden="1">{"Aar",#N/A,FALSE,"Divisioner";"Kvartaler",#N/A,FALSE,"Divisioner";"Aggregering",#N/A,FALSE,"Divisioner";"Aar",#N/A,FALSE,"Norge div. (gl)";"Kvartal",#N/A,FALSE,"Norge div. (gl)";"Samling",#N/A,FALSE,"Norge div. (gl)"}</definedName>
    <definedName name="wrn.PL_cont_GermanGAAP2000_2009." localSheetId="12" hidden="1">{"PLGGAAP3",#N/A,FALSE,"P&amp;L G GAAP"}</definedName>
    <definedName name="wrn.PL_cont_GermanGAAP2000_2009." localSheetId="18" hidden="1">{"PLGGAAP3",#N/A,FALSE,"P&amp;L G GAAP"}</definedName>
    <definedName name="wrn.PL_cont_GermanGAAP2000_2009." localSheetId="19" hidden="1">{"PLGGAAP3",#N/A,FALSE,"P&amp;L G GAAP"}</definedName>
    <definedName name="wrn.PL_cont_GermanGAAP2000_2009." localSheetId="17" hidden="1">{"PLGGAAP3",#N/A,FALSE,"P&amp;L G GAAP"}</definedName>
    <definedName name="wrn.PL_cont_GermanGAAP2000_2009." localSheetId="22" hidden="1">{"PLGGAAP3",#N/A,FALSE,"P&amp;L G GAAP"}</definedName>
    <definedName name="wrn.PL_cont_GermanGAAP2000_2009." localSheetId="10" hidden="1">{"PLGGAAP3",#N/A,FALSE,"P&amp;L G GAAP"}</definedName>
    <definedName name="wrn.PL_cont_GermanGAAP2000_2009." localSheetId="30" hidden="1">{"PLGGAAP3",#N/A,FALSE,"P&amp;L G GAAP"}</definedName>
    <definedName name="wrn.PL_cont_GermanGAAP2000_2009." localSheetId="0" hidden="1">{"PLGGAAP3",#N/A,FALSE,"P&amp;L G GAAP"}</definedName>
    <definedName name="wrn.PL_cont_GermanGAAP2000_2009." localSheetId="3" hidden="1">{"PLGGAAP3",#N/A,FALSE,"P&amp;L G GAAP"}</definedName>
    <definedName name="wrn.PL_cont_GermanGAAP2000_2009." localSheetId="4" hidden="1">{"PLGGAAP3",#N/A,FALSE,"P&amp;L G GAAP"}</definedName>
    <definedName name="wrn.PL_cont_GermanGAAP2000_2009." localSheetId="28" hidden="1">{"PLGGAAP3",#N/A,FALSE,"P&amp;L G GAAP"}</definedName>
    <definedName name="wrn.PL_cont_GermanGAAP2000_2009." localSheetId="33" hidden="1">{"PLGGAAP3",#N/A,FALSE,"P&amp;L G GAAP"}</definedName>
    <definedName name="wrn.PL_cont_GermanGAAP2000_2009." localSheetId="32" hidden="1">{"PLGGAAP3",#N/A,FALSE,"P&amp;L G GAAP"}</definedName>
    <definedName name="wrn.PL_cont_GermanGAAP2000_2009." localSheetId="7" hidden="1">{"PLGGAAP3",#N/A,FALSE,"P&amp;L G GAAP"}</definedName>
    <definedName name="wrn.PL_cont_GermanGAAP2000_2009." localSheetId="29" hidden="1">{"PLGGAAP3",#N/A,FALSE,"P&amp;L G GAAP"}</definedName>
    <definedName name="wrn.PL_cont_GermanGAAP2000_2009." localSheetId="1" hidden="1">{"PLGGAAP3",#N/A,FALSE,"P&amp;L G GAAP"}</definedName>
    <definedName name="wrn.PL_cont_GermanGAAP2000_2009." localSheetId="31" hidden="1">{"PLGGAAP3",#N/A,FALSE,"P&amp;L G GAAP"}</definedName>
    <definedName name="wrn.PL_cont_GermanGAAP2000_2009." hidden="1">{"PLGGAAP3",#N/A,FALSE,"P&amp;L G GAAP"}</definedName>
    <definedName name="wrn.PL_cont_GermanGAAP2010_2019." localSheetId="12" hidden="1">{"PLGGAAP4",#N/A,FALSE,"P&amp;L G GAAP"}</definedName>
    <definedName name="wrn.PL_cont_GermanGAAP2010_2019." localSheetId="18" hidden="1">{"PLGGAAP4",#N/A,FALSE,"P&amp;L G GAAP"}</definedName>
    <definedName name="wrn.PL_cont_GermanGAAP2010_2019." localSheetId="19" hidden="1">{"PLGGAAP4",#N/A,FALSE,"P&amp;L G GAAP"}</definedName>
    <definedName name="wrn.PL_cont_GermanGAAP2010_2019." localSheetId="17" hidden="1">{"PLGGAAP4",#N/A,FALSE,"P&amp;L G GAAP"}</definedName>
    <definedName name="wrn.PL_cont_GermanGAAP2010_2019." localSheetId="22" hidden="1">{"PLGGAAP4",#N/A,FALSE,"P&amp;L G GAAP"}</definedName>
    <definedName name="wrn.PL_cont_GermanGAAP2010_2019." localSheetId="10" hidden="1">{"PLGGAAP4",#N/A,FALSE,"P&amp;L G GAAP"}</definedName>
    <definedName name="wrn.PL_cont_GermanGAAP2010_2019." localSheetId="30" hidden="1">{"PLGGAAP4",#N/A,FALSE,"P&amp;L G GAAP"}</definedName>
    <definedName name="wrn.PL_cont_GermanGAAP2010_2019." localSheetId="0" hidden="1">{"PLGGAAP4",#N/A,FALSE,"P&amp;L G GAAP"}</definedName>
    <definedName name="wrn.PL_cont_GermanGAAP2010_2019." localSheetId="3" hidden="1">{"PLGGAAP4",#N/A,FALSE,"P&amp;L G GAAP"}</definedName>
    <definedName name="wrn.PL_cont_GermanGAAP2010_2019." localSheetId="4" hidden="1">{"PLGGAAP4",#N/A,FALSE,"P&amp;L G GAAP"}</definedName>
    <definedName name="wrn.PL_cont_GermanGAAP2010_2019." localSheetId="28" hidden="1">{"PLGGAAP4",#N/A,FALSE,"P&amp;L G GAAP"}</definedName>
    <definedName name="wrn.PL_cont_GermanGAAP2010_2019." localSheetId="33" hidden="1">{"PLGGAAP4",#N/A,FALSE,"P&amp;L G GAAP"}</definedName>
    <definedName name="wrn.PL_cont_GermanGAAP2010_2019." localSheetId="32" hidden="1">{"PLGGAAP4",#N/A,FALSE,"P&amp;L G GAAP"}</definedName>
    <definedName name="wrn.PL_cont_GermanGAAP2010_2019." localSheetId="7" hidden="1">{"PLGGAAP4",#N/A,FALSE,"P&amp;L G GAAP"}</definedName>
    <definedName name="wrn.PL_cont_GermanGAAP2010_2019." localSheetId="29" hidden="1">{"PLGGAAP4",#N/A,FALSE,"P&amp;L G GAAP"}</definedName>
    <definedName name="wrn.PL_cont_GermanGAAP2010_2019." localSheetId="1" hidden="1">{"PLGGAAP4",#N/A,FALSE,"P&amp;L G GAAP"}</definedName>
    <definedName name="wrn.PL_cont_GermanGAAP2010_2019." localSheetId="31" hidden="1">{"PLGGAAP4",#N/A,FALSE,"P&amp;L G GAAP"}</definedName>
    <definedName name="wrn.PL_cont_GermanGAAP2010_2019." hidden="1">{"PLGGAAP4",#N/A,FALSE,"P&amp;L G GAAP"}</definedName>
    <definedName name="wrn.PL_cont_USGAAP2000_2009." localSheetId="12" hidden="1">{"PLUSGAAP3",#N/A,FALSE,"P&amp;L US GAAP"}</definedName>
    <definedName name="wrn.PL_cont_USGAAP2000_2009." localSheetId="18" hidden="1">{"PLUSGAAP3",#N/A,FALSE,"P&amp;L US GAAP"}</definedName>
    <definedName name="wrn.PL_cont_USGAAP2000_2009." localSheetId="19" hidden="1">{"PLUSGAAP3",#N/A,FALSE,"P&amp;L US GAAP"}</definedName>
    <definedName name="wrn.PL_cont_USGAAP2000_2009." localSheetId="17" hidden="1">{"PLUSGAAP3",#N/A,FALSE,"P&amp;L US GAAP"}</definedName>
    <definedName name="wrn.PL_cont_USGAAP2000_2009." localSheetId="22" hidden="1">{"PLUSGAAP3",#N/A,FALSE,"P&amp;L US GAAP"}</definedName>
    <definedName name="wrn.PL_cont_USGAAP2000_2009." localSheetId="10" hidden="1">{"PLUSGAAP3",#N/A,FALSE,"P&amp;L US GAAP"}</definedName>
    <definedName name="wrn.PL_cont_USGAAP2000_2009." localSheetId="30" hidden="1">{"PLUSGAAP3",#N/A,FALSE,"P&amp;L US GAAP"}</definedName>
    <definedName name="wrn.PL_cont_USGAAP2000_2009." localSheetId="0" hidden="1">{"PLUSGAAP3",#N/A,FALSE,"P&amp;L US GAAP"}</definedName>
    <definedName name="wrn.PL_cont_USGAAP2000_2009." localSheetId="3" hidden="1">{"PLUSGAAP3",#N/A,FALSE,"P&amp;L US GAAP"}</definedName>
    <definedName name="wrn.PL_cont_USGAAP2000_2009." localSheetId="4" hidden="1">{"PLUSGAAP3",#N/A,FALSE,"P&amp;L US GAAP"}</definedName>
    <definedName name="wrn.PL_cont_USGAAP2000_2009." localSheetId="28" hidden="1">{"PLUSGAAP3",#N/A,FALSE,"P&amp;L US GAAP"}</definedName>
    <definedName name="wrn.PL_cont_USGAAP2000_2009." localSheetId="33" hidden="1">{"PLUSGAAP3",#N/A,FALSE,"P&amp;L US GAAP"}</definedName>
    <definedName name="wrn.PL_cont_USGAAP2000_2009." localSheetId="32" hidden="1">{"PLUSGAAP3",#N/A,FALSE,"P&amp;L US GAAP"}</definedName>
    <definedName name="wrn.PL_cont_USGAAP2000_2009." localSheetId="7" hidden="1">{"PLUSGAAP3",#N/A,FALSE,"P&amp;L US GAAP"}</definedName>
    <definedName name="wrn.PL_cont_USGAAP2000_2009." localSheetId="29" hidden="1">{"PLUSGAAP3",#N/A,FALSE,"P&amp;L US GAAP"}</definedName>
    <definedName name="wrn.PL_cont_USGAAP2000_2009." localSheetId="1" hidden="1">{"PLUSGAAP3",#N/A,FALSE,"P&amp;L US GAAP"}</definedName>
    <definedName name="wrn.PL_cont_USGAAP2000_2009." localSheetId="31" hidden="1">{"PLUSGAAP3",#N/A,FALSE,"P&amp;L US GAAP"}</definedName>
    <definedName name="wrn.PL_cont_USGAAP2000_2009." hidden="1">{"PLUSGAAP3",#N/A,FALSE,"P&amp;L US GAAP"}</definedName>
    <definedName name="wrn.PL_cont_USGAAP2010_2019." localSheetId="12" hidden="1">{"PLUSGAAP4",#N/A,FALSE,"P&amp;L US GAAP"}</definedName>
    <definedName name="wrn.PL_cont_USGAAP2010_2019." localSheetId="18" hidden="1">{"PLUSGAAP4",#N/A,FALSE,"P&amp;L US GAAP"}</definedName>
    <definedName name="wrn.PL_cont_USGAAP2010_2019." localSheetId="19" hidden="1">{"PLUSGAAP4",#N/A,FALSE,"P&amp;L US GAAP"}</definedName>
    <definedName name="wrn.PL_cont_USGAAP2010_2019." localSheetId="17" hidden="1">{"PLUSGAAP4",#N/A,FALSE,"P&amp;L US GAAP"}</definedName>
    <definedName name="wrn.PL_cont_USGAAP2010_2019." localSheetId="22" hidden="1">{"PLUSGAAP4",#N/A,FALSE,"P&amp;L US GAAP"}</definedName>
    <definedName name="wrn.PL_cont_USGAAP2010_2019." localSheetId="10" hidden="1">{"PLUSGAAP4",#N/A,FALSE,"P&amp;L US GAAP"}</definedName>
    <definedName name="wrn.PL_cont_USGAAP2010_2019." localSheetId="30" hidden="1">{"PLUSGAAP4",#N/A,FALSE,"P&amp;L US GAAP"}</definedName>
    <definedName name="wrn.PL_cont_USGAAP2010_2019." localSheetId="0" hidden="1">{"PLUSGAAP4",#N/A,FALSE,"P&amp;L US GAAP"}</definedName>
    <definedName name="wrn.PL_cont_USGAAP2010_2019." localSheetId="3" hidden="1">{"PLUSGAAP4",#N/A,FALSE,"P&amp;L US GAAP"}</definedName>
    <definedName name="wrn.PL_cont_USGAAP2010_2019." localSheetId="4" hidden="1">{"PLUSGAAP4",#N/A,FALSE,"P&amp;L US GAAP"}</definedName>
    <definedName name="wrn.PL_cont_USGAAP2010_2019." localSheetId="28" hidden="1">{"PLUSGAAP4",#N/A,FALSE,"P&amp;L US GAAP"}</definedName>
    <definedName name="wrn.PL_cont_USGAAP2010_2019." localSheetId="33" hidden="1">{"PLUSGAAP4",#N/A,FALSE,"P&amp;L US GAAP"}</definedName>
    <definedName name="wrn.PL_cont_USGAAP2010_2019." localSheetId="32" hidden="1">{"PLUSGAAP4",#N/A,FALSE,"P&amp;L US GAAP"}</definedName>
    <definedName name="wrn.PL_cont_USGAAP2010_2019." localSheetId="7" hidden="1">{"PLUSGAAP4",#N/A,FALSE,"P&amp;L US GAAP"}</definedName>
    <definedName name="wrn.PL_cont_USGAAP2010_2019." localSheetId="29" hidden="1">{"PLUSGAAP4",#N/A,FALSE,"P&amp;L US GAAP"}</definedName>
    <definedName name="wrn.PL_cont_USGAAP2010_2019." localSheetId="1" hidden="1">{"PLUSGAAP4",#N/A,FALSE,"P&amp;L US GAAP"}</definedName>
    <definedName name="wrn.PL_cont_USGAAP2010_2019." localSheetId="31" hidden="1">{"PLUSGAAP4",#N/A,FALSE,"P&amp;L US GAAP"}</definedName>
    <definedName name="wrn.PL_cont_USGAAP2010_2019." hidden="1">{"PLUSGAAP4",#N/A,FALSE,"P&amp;L US GAAP"}</definedName>
    <definedName name="wrn.PLGermanGAAP2000_2009." localSheetId="12" hidden="1">{"PLGGAAP1",#N/A,FALSE,"P&amp;L G GAAP"}</definedName>
    <definedName name="wrn.PLGermanGAAP2000_2009." localSheetId="18" hidden="1">{"PLGGAAP1",#N/A,FALSE,"P&amp;L G GAAP"}</definedName>
    <definedName name="wrn.PLGermanGAAP2000_2009." localSheetId="19" hidden="1">{"PLGGAAP1",#N/A,FALSE,"P&amp;L G GAAP"}</definedName>
    <definedName name="wrn.PLGermanGAAP2000_2009." localSheetId="17" hidden="1">{"PLGGAAP1",#N/A,FALSE,"P&amp;L G GAAP"}</definedName>
    <definedName name="wrn.PLGermanGAAP2000_2009." localSheetId="22" hidden="1">{"PLGGAAP1",#N/A,FALSE,"P&amp;L G GAAP"}</definedName>
    <definedName name="wrn.PLGermanGAAP2000_2009." localSheetId="10" hidden="1">{"PLGGAAP1",#N/A,FALSE,"P&amp;L G GAAP"}</definedName>
    <definedName name="wrn.PLGermanGAAP2000_2009." localSheetId="30" hidden="1">{"PLGGAAP1",#N/A,FALSE,"P&amp;L G GAAP"}</definedName>
    <definedName name="wrn.PLGermanGAAP2000_2009." localSheetId="0" hidden="1">{"PLGGAAP1",#N/A,FALSE,"P&amp;L G GAAP"}</definedName>
    <definedName name="wrn.PLGermanGAAP2000_2009." localSheetId="3" hidden="1">{"PLGGAAP1",#N/A,FALSE,"P&amp;L G GAAP"}</definedName>
    <definedName name="wrn.PLGermanGAAP2000_2009." localSheetId="4" hidden="1">{"PLGGAAP1",#N/A,FALSE,"P&amp;L G GAAP"}</definedName>
    <definedName name="wrn.PLGermanGAAP2000_2009." localSheetId="28" hidden="1">{"PLGGAAP1",#N/A,FALSE,"P&amp;L G GAAP"}</definedName>
    <definedName name="wrn.PLGermanGAAP2000_2009." localSheetId="33" hidden="1">{"PLGGAAP1",#N/A,FALSE,"P&amp;L G GAAP"}</definedName>
    <definedName name="wrn.PLGermanGAAP2000_2009." localSheetId="32" hidden="1">{"PLGGAAP1",#N/A,FALSE,"P&amp;L G GAAP"}</definedName>
    <definedName name="wrn.PLGermanGAAP2000_2009." localSheetId="7" hidden="1">{"PLGGAAP1",#N/A,FALSE,"P&amp;L G GAAP"}</definedName>
    <definedName name="wrn.PLGermanGAAP2000_2009." localSheetId="29" hidden="1">{"PLGGAAP1",#N/A,FALSE,"P&amp;L G GAAP"}</definedName>
    <definedName name="wrn.PLGermanGAAP2000_2009." localSheetId="1" hidden="1">{"PLGGAAP1",#N/A,FALSE,"P&amp;L G GAAP"}</definedName>
    <definedName name="wrn.PLGermanGAAP2000_2009." localSheetId="31" hidden="1">{"PLGGAAP1",#N/A,FALSE,"P&amp;L G GAAP"}</definedName>
    <definedName name="wrn.PLGermanGAAP2000_2009." hidden="1">{"PLGGAAP1",#N/A,FALSE,"P&amp;L G GAAP"}</definedName>
    <definedName name="wrn.PLGermanGAAP2010_2019." localSheetId="12" hidden="1">{"PLGGAAP2",#N/A,FALSE,"P&amp;L G GAAP"}</definedName>
    <definedName name="wrn.PLGermanGAAP2010_2019." localSheetId="18" hidden="1">{"PLGGAAP2",#N/A,FALSE,"P&amp;L G GAAP"}</definedName>
    <definedName name="wrn.PLGermanGAAP2010_2019." localSheetId="19" hidden="1">{"PLGGAAP2",#N/A,FALSE,"P&amp;L G GAAP"}</definedName>
    <definedName name="wrn.PLGermanGAAP2010_2019." localSheetId="17" hidden="1">{"PLGGAAP2",#N/A,FALSE,"P&amp;L G GAAP"}</definedName>
    <definedName name="wrn.PLGermanGAAP2010_2019." localSheetId="22" hidden="1">{"PLGGAAP2",#N/A,FALSE,"P&amp;L G GAAP"}</definedName>
    <definedName name="wrn.PLGermanGAAP2010_2019." localSheetId="10" hidden="1">{"PLGGAAP2",#N/A,FALSE,"P&amp;L G GAAP"}</definedName>
    <definedName name="wrn.PLGermanGAAP2010_2019." localSheetId="30" hidden="1">{"PLGGAAP2",#N/A,FALSE,"P&amp;L G GAAP"}</definedName>
    <definedName name="wrn.PLGermanGAAP2010_2019." localSheetId="0" hidden="1">{"PLGGAAP2",#N/A,FALSE,"P&amp;L G GAAP"}</definedName>
    <definedName name="wrn.PLGermanGAAP2010_2019." localSheetId="3" hidden="1">{"PLGGAAP2",#N/A,FALSE,"P&amp;L G GAAP"}</definedName>
    <definedName name="wrn.PLGermanGAAP2010_2019." localSheetId="4" hidden="1">{"PLGGAAP2",#N/A,FALSE,"P&amp;L G GAAP"}</definedName>
    <definedName name="wrn.PLGermanGAAP2010_2019." localSheetId="28" hidden="1">{"PLGGAAP2",#N/A,FALSE,"P&amp;L G GAAP"}</definedName>
    <definedName name="wrn.PLGermanGAAP2010_2019." localSheetId="33" hidden="1">{"PLGGAAP2",#N/A,FALSE,"P&amp;L G GAAP"}</definedName>
    <definedName name="wrn.PLGermanGAAP2010_2019." localSheetId="32" hidden="1">{"PLGGAAP2",#N/A,FALSE,"P&amp;L G GAAP"}</definedName>
    <definedName name="wrn.PLGermanGAAP2010_2019." localSheetId="7" hidden="1">{"PLGGAAP2",#N/A,FALSE,"P&amp;L G GAAP"}</definedName>
    <definedName name="wrn.PLGermanGAAP2010_2019." localSheetId="29" hidden="1">{"PLGGAAP2",#N/A,FALSE,"P&amp;L G GAAP"}</definedName>
    <definedName name="wrn.PLGermanGAAP2010_2019." localSheetId="1" hidden="1">{"PLGGAAP2",#N/A,FALSE,"P&amp;L G GAAP"}</definedName>
    <definedName name="wrn.PLGermanGAAP2010_2019." localSheetId="31" hidden="1">{"PLGGAAP2",#N/A,FALSE,"P&amp;L G GAAP"}</definedName>
    <definedName name="wrn.PLGermanGAAP2010_2019." hidden="1">{"PLGGAAP2",#N/A,FALSE,"P&amp;L G GAAP"}</definedName>
    <definedName name="wrn.PLUSGAAP2000_2009." localSheetId="12" hidden="1">{"PLUSGAAP1",#N/A,FALSE,"P&amp;L US GAAP"}</definedName>
    <definedName name="wrn.PLUSGAAP2000_2009." localSheetId="18" hidden="1">{"PLUSGAAP1",#N/A,FALSE,"P&amp;L US GAAP"}</definedName>
    <definedName name="wrn.PLUSGAAP2000_2009." localSheetId="19" hidden="1">{"PLUSGAAP1",#N/A,FALSE,"P&amp;L US GAAP"}</definedName>
    <definedName name="wrn.PLUSGAAP2000_2009." localSheetId="17" hidden="1">{"PLUSGAAP1",#N/A,FALSE,"P&amp;L US GAAP"}</definedName>
    <definedName name="wrn.PLUSGAAP2000_2009." localSheetId="22" hidden="1">{"PLUSGAAP1",#N/A,FALSE,"P&amp;L US GAAP"}</definedName>
    <definedName name="wrn.PLUSGAAP2000_2009." localSheetId="10" hidden="1">{"PLUSGAAP1",#N/A,FALSE,"P&amp;L US GAAP"}</definedName>
    <definedName name="wrn.PLUSGAAP2000_2009." localSheetId="30" hidden="1">{"PLUSGAAP1",#N/A,FALSE,"P&amp;L US GAAP"}</definedName>
    <definedName name="wrn.PLUSGAAP2000_2009." localSheetId="0" hidden="1">{"PLUSGAAP1",#N/A,FALSE,"P&amp;L US GAAP"}</definedName>
    <definedName name="wrn.PLUSGAAP2000_2009." localSheetId="3" hidden="1">{"PLUSGAAP1",#N/A,FALSE,"P&amp;L US GAAP"}</definedName>
    <definedName name="wrn.PLUSGAAP2000_2009." localSheetId="4" hidden="1">{"PLUSGAAP1",#N/A,FALSE,"P&amp;L US GAAP"}</definedName>
    <definedName name="wrn.PLUSGAAP2000_2009." localSheetId="28" hidden="1">{"PLUSGAAP1",#N/A,FALSE,"P&amp;L US GAAP"}</definedName>
    <definedName name="wrn.PLUSGAAP2000_2009." localSheetId="33" hidden="1">{"PLUSGAAP1",#N/A,FALSE,"P&amp;L US GAAP"}</definedName>
    <definedName name="wrn.PLUSGAAP2000_2009." localSheetId="32" hidden="1">{"PLUSGAAP1",#N/A,FALSE,"P&amp;L US GAAP"}</definedName>
    <definedName name="wrn.PLUSGAAP2000_2009." localSheetId="7" hidden="1">{"PLUSGAAP1",#N/A,FALSE,"P&amp;L US GAAP"}</definedName>
    <definedName name="wrn.PLUSGAAP2000_2009." localSheetId="29" hidden="1">{"PLUSGAAP1",#N/A,FALSE,"P&amp;L US GAAP"}</definedName>
    <definedName name="wrn.PLUSGAAP2000_2009." localSheetId="1" hidden="1">{"PLUSGAAP1",#N/A,FALSE,"P&amp;L US GAAP"}</definedName>
    <definedName name="wrn.PLUSGAAP2000_2009." localSheetId="31" hidden="1">{"PLUSGAAP1",#N/A,FALSE,"P&amp;L US GAAP"}</definedName>
    <definedName name="wrn.PLUSGAAP2000_2009." hidden="1">{"PLUSGAAP1",#N/A,FALSE,"P&amp;L US GAAP"}</definedName>
    <definedName name="wrn.PLUSGAAP2010_2019." localSheetId="12" hidden="1">{"PLUSGAAP2",#N/A,FALSE,"P&amp;L US GAAP"}</definedName>
    <definedName name="wrn.PLUSGAAP2010_2019." localSheetId="18" hidden="1">{"PLUSGAAP2",#N/A,FALSE,"P&amp;L US GAAP"}</definedName>
    <definedName name="wrn.PLUSGAAP2010_2019." localSheetId="19" hidden="1">{"PLUSGAAP2",#N/A,FALSE,"P&amp;L US GAAP"}</definedName>
    <definedName name="wrn.PLUSGAAP2010_2019." localSheetId="17" hidden="1">{"PLUSGAAP2",#N/A,FALSE,"P&amp;L US GAAP"}</definedName>
    <definedName name="wrn.PLUSGAAP2010_2019." localSheetId="22" hidden="1">{"PLUSGAAP2",#N/A,FALSE,"P&amp;L US GAAP"}</definedName>
    <definedName name="wrn.PLUSGAAP2010_2019." localSheetId="10" hidden="1">{"PLUSGAAP2",#N/A,FALSE,"P&amp;L US GAAP"}</definedName>
    <definedName name="wrn.PLUSGAAP2010_2019." localSheetId="30" hidden="1">{"PLUSGAAP2",#N/A,FALSE,"P&amp;L US GAAP"}</definedName>
    <definedName name="wrn.PLUSGAAP2010_2019." localSheetId="0" hidden="1">{"PLUSGAAP2",#N/A,FALSE,"P&amp;L US GAAP"}</definedName>
    <definedName name="wrn.PLUSGAAP2010_2019." localSheetId="3" hidden="1">{"PLUSGAAP2",#N/A,FALSE,"P&amp;L US GAAP"}</definedName>
    <definedName name="wrn.PLUSGAAP2010_2019." localSheetId="4" hidden="1">{"PLUSGAAP2",#N/A,FALSE,"P&amp;L US GAAP"}</definedName>
    <definedName name="wrn.PLUSGAAP2010_2019." localSheetId="28" hidden="1">{"PLUSGAAP2",#N/A,FALSE,"P&amp;L US GAAP"}</definedName>
    <definedName name="wrn.PLUSGAAP2010_2019." localSheetId="33" hidden="1">{"PLUSGAAP2",#N/A,FALSE,"P&amp;L US GAAP"}</definedName>
    <definedName name="wrn.PLUSGAAP2010_2019." localSheetId="32" hidden="1">{"PLUSGAAP2",#N/A,FALSE,"P&amp;L US GAAP"}</definedName>
    <definedName name="wrn.PLUSGAAP2010_2019." localSheetId="7" hidden="1">{"PLUSGAAP2",#N/A,FALSE,"P&amp;L US GAAP"}</definedName>
    <definedName name="wrn.PLUSGAAP2010_2019." localSheetId="29" hidden="1">{"PLUSGAAP2",#N/A,FALSE,"P&amp;L US GAAP"}</definedName>
    <definedName name="wrn.PLUSGAAP2010_2019." localSheetId="1" hidden="1">{"PLUSGAAP2",#N/A,FALSE,"P&amp;L US GAAP"}</definedName>
    <definedName name="wrn.PLUSGAAP2010_2019." localSheetId="31" hidden="1">{"PLUSGAAP2",#N/A,FALSE,"P&amp;L US GAAP"}</definedName>
    <definedName name="wrn.PLUSGAAP2010_2019." hidden="1">{"PLUSGAAP2",#N/A,FALSE,"P&amp;L US GAAP"}</definedName>
    <definedName name="wrn.PriceAssump2000_2009." localSheetId="12" hidden="1">{"PriceAssump1",#N/A,FALSE,"PriceAssump"}</definedName>
    <definedName name="wrn.PriceAssump2000_2009." localSheetId="18" hidden="1">{"PriceAssump1",#N/A,FALSE,"PriceAssump"}</definedName>
    <definedName name="wrn.PriceAssump2000_2009." localSheetId="19" hidden="1">{"PriceAssump1",#N/A,FALSE,"PriceAssump"}</definedName>
    <definedName name="wrn.PriceAssump2000_2009." localSheetId="17" hidden="1">{"PriceAssump1",#N/A,FALSE,"PriceAssump"}</definedName>
    <definedName name="wrn.PriceAssump2000_2009." localSheetId="22" hidden="1">{"PriceAssump1",#N/A,FALSE,"PriceAssump"}</definedName>
    <definedName name="wrn.PriceAssump2000_2009." localSheetId="10" hidden="1">{"PriceAssump1",#N/A,FALSE,"PriceAssump"}</definedName>
    <definedName name="wrn.PriceAssump2000_2009." localSheetId="30" hidden="1">{"PriceAssump1",#N/A,FALSE,"PriceAssump"}</definedName>
    <definedName name="wrn.PriceAssump2000_2009." localSheetId="0" hidden="1">{"PriceAssump1",#N/A,FALSE,"PriceAssump"}</definedName>
    <definedName name="wrn.PriceAssump2000_2009." localSheetId="3" hidden="1">{"PriceAssump1",#N/A,FALSE,"PriceAssump"}</definedName>
    <definedName name="wrn.PriceAssump2000_2009." localSheetId="4" hidden="1">{"PriceAssump1",#N/A,FALSE,"PriceAssump"}</definedName>
    <definedName name="wrn.PriceAssump2000_2009." localSheetId="28" hidden="1">{"PriceAssump1",#N/A,FALSE,"PriceAssump"}</definedName>
    <definedName name="wrn.PriceAssump2000_2009." localSheetId="33" hidden="1">{"PriceAssump1",#N/A,FALSE,"PriceAssump"}</definedName>
    <definedName name="wrn.PriceAssump2000_2009." localSheetId="32" hidden="1">{"PriceAssump1",#N/A,FALSE,"PriceAssump"}</definedName>
    <definedName name="wrn.PriceAssump2000_2009." localSheetId="7" hidden="1">{"PriceAssump1",#N/A,FALSE,"PriceAssump"}</definedName>
    <definedName name="wrn.PriceAssump2000_2009." localSheetId="29" hidden="1">{"PriceAssump1",#N/A,FALSE,"PriceAssump"}</definedName>
    <definedName name="wrn.PriceAssump2000_2009." localSheetId="1" hidden="1">{"PriceAssump1",#N/A,FALSE,"PriceAssump"}</definedName>
    <definedName name="wrn.PriceAssump2000_2009." localSheetId="31" hidden="1">{"PriceAssump1",#N/A,FALSE,"PriceAssump"}</definedName>
    <definedName name="wrn.PriceAssump2000_2009." hidden="1">{"PriceAssump1",#N/A,FALSE,"PriceAssump"}</definedName>
    <definedName name="wrn.PriceAssump2010_2019." localSheetId="12" hidden="1">{"PriceAssump2",#N/A,FALSE,"PriceAssump"}</definedName>
    <definedName name="wrn.PriceAssump2010_2019." localSheetId="18" hidden="1">{"PriceAssump2",#N/A,FALSE,"PriceAssump"}</definedName>
    <definedName name="wrn.PriceAssump2010_2019." localSheetId="19" hidden="1">{"PriceAssump2",#N/A,FALSE,"PriceAssump"}</definedName>
    <definedName name="wrn.PriceAssump2010_2019." localSheetId="17" hidden="1">{"PriceAssump2",#N/A,FALSE,"PriceAssump"}</definedName>
    <definedName name="wrn.PriceAssump2010_2019." localSheetId="22" hidden="1">{"PriceAssump2",#N/A,FALSE,"PriceAssump"}</definedName>
    <definedName name="wrn.PriceAssump2010_2019." localSheetId="10" hidden="1">{"PriceAssump2",#N/A,FALSE,"PriceAssump"}</definedName>
    <definedName name="wrn.PriceAssump2010_2019." localSheetId="30" hidden="1">{"PriceAssump2",#N/A,FALSE,"PriceAssump"}</definedName>
    <definedName name="wrn.PriceAssump2010_2019." localSheetId="0" hidden="1">{"PriceAssump2",#N/A,FALSE,"PriceAssump"}</definedName>
    <definedName name="wrn.PriceAssump2010_2019." localSheetId="3" hidden="1">{"PriceAssump2",#N/A,FALSE,"PriceAssump"}</definedName>
    <definedName name="wrn.PriceAssump2010_2019." localSheetId="4" hidden="1">{"PriceAssump2",#N/A,FALSE,"PriceAssump"}</definedName>
    <definedName name="wrn.PriceAssump2010_2019." localSheetId="28" hidden="1">{"PriceAssump2",#N/A,FALSE,"PriceAssump"}</definedName>
    <definedName name="wrn.PriceAssump2010_2019." localSheetId="33" hidden="1">{"PriceAssump2",#N/A,FALSE,"PriceAssump"}</definedName>
    <definedName name="wrn.PriceAssump2010_2019." localSheetId="32" hidden="1">{"PriceAssump2",#N/A,FALSE,"PriceAssump"}</definedName>
    <definedName name="wrn.PriceAssump2010_2019." localSheetId="7" hidden="1">{"PriceAssump2",#N/A,FALSE,"PriceAssump"}</definedName>
    <definedName name="wrn.PriceAssump2010_2019." localSheetId="29" hidden="1">{"PriceAssump2",#N/A,FALSE,"PriceAssump"}</definedName>
    <definedName name="wrn.PriceAssump2010_2019." localSheetId="1" hidden="1">{"PriceAssump2",#N/A,FALSE,"PriceAssump"}</definedName>
    <definedName name="wrn.PriceAssump2010_2019." localSheetId="31" hidden="1">{"PriceAssump2",#N/A,FALSE,"PriceAssump"}</definedName>
    <definedName name="wrn.PriceAssump2010_2019." hidden="1">{"PriceAssump2",#N/A,FALSE,"PriceAssump"}</definedName>
    <definedName name="wrn.PrimeCo." localSheetId="12" hidden="1">{"print 1",#N/A,FALSE,"PrimeCo PCS";"print 2",#N/A,FALSE,"PrimeCo PCS";"valuation",#N/A,FALSE,"PrimeCo PCS"}</definedName>
    <definedName name="wrn.PrimeCo." localSheetId="18" hidden="1">{"print 1",#N/A,FALSE,"PrimeCo PCS";"print 2",#N/A,FALSE,"PrimeCo PCS";"valuation",#N/A,FALSE,"PrimeCo PCS"}</definedName>
    <definedName name="wrn.PrimeCo." localSheetId="19" hidden="1">{"print 1",#N/A,FALSE,"PrimeCo PCS";"print 2",#N/A,FALSE,"PrimeCo PCS";"valuation",#N/A,FALSE,"PrimeCo PCS"}</definedName>
    <definedName name="wrn.PrimeCo." localSheetId="17" hidden="1">{"print 1",#N/A,FALSE,"PrimeCo PCS";"print 2",#N/A,FALSE,"PrimeCo PCS";"valuation",#N/A,FALSE,"PrimeCo PCS"}</definedName>
    <definedName name="wrn.PrimeCo." localSheetId="22" hidden="1">{"print 1",#N/A,FALSE,"PrimeCo PCS";"print 2",#N/A,FALSE,"PrimeCo PCS";"valuation",#N/A,FALSE,"PrimeCo PCS"}</definedName>
    <definedName name="wrn.PrimeCo." localSheetId="10" hidden="1">{"print 1",#N/A,FALSE,"PrimeCo PCS";"print 2",#N/A,FALSE,"PrimeCo PCS";"valuation",#N/A,FALSE,"PrimeCo PCS"}</definedName>
    <definedName name="wrn.PrimeCo." localSheetId="30" hidden="1">{"print 1",#N/A,FALSE,"PrimeCo PCS";"print 2",#N/A,FALSE,"PrimeCo PCS";"valuation",#N/A,FALSE,"PrimeCo PCS"}</definedName>
    <definedName name="wrn.PrimeCo." localSheetId="0" hidden="1">{"print 1",#N/A,FALSE,"PrimeCo PCS";"print 2",#N/A,FALSE,"PrimeCo PCS";"valuation",#N/A,FALSE,"PrimeCo PCS"}</definedName>
    <definedName name="wrn.PrimeCo." localSheetId="3" hidden="1">{"print 1",#N/A,FALSE,"PrimeCo PCS";"print 2",#N/A,FALSE,"PrimeCo PCS";"valuation",#N/A,FALSE,"PrimeCo PCS"}</definedName>
    <definedName name="wrn.PrimeCo." localSheetId="4" hidden="1">{"print 1",#N/A,FALSE,"PrimeCo PCS";"print 2",#N/A,FALSE,"PrimeCo PCS";"valuation",#N/A,FALSE,"PrimeCo PCS"}</definedName>
    <definedName name="wrn.PrimeCo." localSheetId="28" hidden="1">{"print 1",#N/A,FALSE,"PrimeCo PCS";"print 2",#N/A,FALSE,"PrimeCo PCS";"valuation",#N/A,FALSE,"PrimeCo PCS"}</definedName>
    <definedName name="wrn.PrimeCo." localSheetId="33" hidden="1">{"print 1",#N/A,FALSE,"PrimeCo PCS";"print 2",#N/A,FALSE,"PrimeCo PCS";"valuation",#N/A,FALSE,"PrimeCo PCS"}</definedName>
    <definedName name="wrn.PrimeCo." localSheetId="32" hidden="1">{"print 1",#N/A,FALSE,"PrimeCo PCS";"print 2",#N/A,FALSE,"PrimeCo PCS";"valuation",#N/A,FALSE,"PrimeCo PCS"}</definedName>
    <definedName name="wrn.PrimeCo." localSheetId="7" hidden="1">{"print 1",#N/A,FALSE,"PrimeCo PCS";"print 2",#N/A,FALSE,"PrimeCo PCS";"valuation",#N/A,FALSE,"PrimeCo PCS"}</definedName>
    <definedName name="wrn.PrimeCo." localSheetId="29" hidden="1">{"print 1",#N/A,FALSE,"PrimeCo PCS";"print 2",#N/A,FALSE,"PrimeCo PCS";"valuation",#N/A,FALSE,"PrimeCo PCS"}</definedName>
    <definedName name="wrn.PrimeCo." localSheetId="1" hidden="1">{"print 1",#N/A,FALSE,"PrimeCo PCS";"print 2",#N/A,FALSE,"PrimeCo PCS";"valuation",#N/A,FALSE,"PrimeCo PCS"}</definedName>
    <definedName name="wrn.PrimeCo." localSheetId="31" hidden="1">{"print 1",#N/A,FALSE,"PrimeCo PCS";"print 2",#N/A,FALSE,"PrimeCo PCS";"valuation",#N/A,FALSE,"PrimeCo PCS"}</definedName>
    <definedName name="wrn.PrimeCo." hidden="1">{"print 1",#N/A,FALSE,"PrimeCo PCS";"print 2",#N/A,FALSE,"PrimeCo PCS";"valuation",#N/A,FALSE,"PrimeCo PCS"}</definedName>
    <definedName name="wrn.print._.graphs." localSheetId="12" hidden="1">{"cap_structure",#N/A,FALSE,"Graph-Mkt Cap";"price",#N/A,FALSE,"Graph-Price";"ebit",#N/A,FALSE,"Graph-EBITDA";"ebitda",#N/A,FALSE,"Graph-EBITDA"}</definedName>
    <definedName name="wrn.print._.graphs." localSheetId="18" hidden="1">{"cap_structure",#N/A,FALSE,"Graph-Mkt Cap";"price",#N/A,FALSE,"Graph-Price";"ebit",#N/A,FALSE,"Graph-EBITDA";"ebitda",#N/A,FALSE,"Graph-EBITDA"}</definedName>
    <definedName name="wrn.print._.graphs." localSheetId="19" hidden="1">{"cap_structure",#N/A,FALSE,"Graph-Mkt Cap";"price",#N/A,FALSE,"Graph-Price";"ebit",#N/A,FALSE,"Graph-EBITDA";"ebitda",#N/A,FALSE,"Graph-EBITDA"}</definedName>
    <definedName name="wrn.print._.graphs." localSheetId="17" hidden="1">{"cap_structure",#N/A,FALSE,"Graph-Mkt Cap";"price",#N/A,FALSE,"Graph-Price";"ebit",#N/A,FALSE,"Graph-EBITDA";"ebitda",#N/A,FALSE,"Graph-EBITDA"}</definedName>
    <definedName name="wrn.print._.graphs." localSheetId="22" hidden="1">{"cap_structure",#N/A,FALSE,"Graph-Mkt Cap";"price",#N/A,FALSE,"Graph-Price";"ebit",#N/A,FALSE,"Graph-EBITDA";"ebitda",#N/A,FALSE,"Graph-EBITDA"}</definedName>
    <definedName name="wrn.print._.graphs." localSheetId="10" hidden="1">{"cap_structure",#N/A,FALSE,"Graph-Mkt Cap";"price",#N/A,FALSE,"Graph-Price";"ebit",#N/A,FALSE,"Graph-EBITDA";"ebitda",#N/A,FALSE,"Graph-EBITDA"}</definedName>
    <definedName name="wrn.print._.graphs." localSheetId="30" hidden="1">{"cap_structure",#N/A,FALSE,"Graph-Mkt Cap";"price",#N/A,FALSE,"Graph-Price";"ebit",#N/A,FALSE,"Graph-EBITDA";"ebitda",#N/A,FALSE,"Graph-EBITDA"}</definedName>
    <definedName name="wrn.print._.graphs." localSheetId="0" hidden="1">{"cap_structure",#N/A,FALSE,"Graph-Mkt Cap";"price",#N/A,FALSE,"Graph-Price";"ebit",#N/A,FALSE,"Graph-EBITDA";"ebitda",#N/A,FALSE,"Graph-EBITDA"}</definedName>
    <definedName name="wrn.print._.graphs." localSheetId="3" hidden="1">{"cap_structure",#N/A,FALSE,"Graph-Mkt Cap";"price",#N/A,FALSE,"Graph-Price";"ebit",#N/A,FALSE,"Graph-EBITDA";"ebitda",#N/A,FALSE,"Graph-EBITDA"}</definedName>
    <definedName name="wrn.print._.graphs." localSheetId="4" hidden="1">{"cap_structure",#N/A,FALSE,"Graph-Mkt Cap";"price",#N/A,FALSE,"Graph-Price";"ebit",#N/A,FALSE,"Graph-EBITDA";"ebitda",#N/A,FALSE,"Graph-EBITDA"}</definedName>
    <definedName name="wrn.print._.graphs." localSheetId="28" hidden="1">{"cap_structure",#N/A,FALSE,"Graph-Mkt Cap";"price",#N/A,FALSE,"Graph-Price";"ebit",#N/A,FALSE,"Graph-EBITDA";"ebitda",#N/A,FALSE,"Graph-EBITDA"}</definedName>
    <definedName name="wrn.print._.graphs." localSheetId="33" hidden="1">{"cap_structure",#N/A,FALSE,"Graph-Mkt Cap";"price",#N/A,FALSE,"Graph-Price";"ebit",#N/A,FALSE,"Graph-EBITDA";"ebitda",#N/A,FALSE,"Graph-EBITDA"}</definedName>
    <definedName name="wrn.print._.graphs." localSheetId="32" hidden="1">{"cap_structure",#N/A,FALSE,"Graph-Mkt Cap";"price",#N/A,FALSE,"Graph-Price";"ebit",#N/A,FALSE,"Graph-EBITDA";"ebitda",#N/A,FALSE,"Graph-EBITDA"}</definedName>
    <definedName name="wrn.print._.graphs." localSheetId="7" hidden="1">{"cap_structure",#N/A,FALSE,"Graph-Mkt Cap";"price",#N/A,FALSE,"Graph-Price";"ebit",#N/A,FALSE,"Graph-EBITDA";"ebitda",#N/A,FALSE,"Graph-EBITDA"}</definedName>
    <definedName name="wrn.print._.graphs." localSheetId="29" hidden="1">{"cap_structure",#N/A,FALSE,"Graph-Mkt Cap";"price",#N/A,FALSE,"Graph-Price";"ebit",#N/A,FALSE,"Graph-EBITDA";"ebitda",#N/A,FALSE,"Graph-EBITDA"}</definedName>
    <definedName name="wrn.print._.graphs." localSheetId="1" hidden="1">{"cap_structure",#N/A,FALSE,"Graph-Mkt Cap";"price",#N/A,FALSE,"Graph-Price";"ebit",#N/A,FALSE,"Graph-EBITDA";"ebitda",#N/A,FALSE,"Graph-EBITDA"}</definedName>
    <definedName name="wrn.print._.graphs." localSheetId="3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Model." localSheetId="12"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Model." localSheetId="18"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Model." localSheetId="19"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Model." localSheetId="17"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Model." localSheetId="22"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Model." localSheetId="10"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Model." localSheetId="30"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Model." localSheetId="0"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Model." localSheetId="3"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Model." localSheetId="4"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Model." localSheetId="28"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Model." localSheetId="33"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Model." localSheetId="32"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Model." localSheetId="7"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Model." localSheetId="29"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Model." localSheetId="1"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Model." localSheetId="31"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Model."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pages." localSheetId="12" hidden="1">{#N/A,#N/A,FALSE,"Spain MKT";#N/A,#N/A,FALSE,"Assumptions";#N/A,#N/A,FALSE,"Adve";#N/A,#N/A,FALSE,"E-Commerce";#N/A,#N/A,FALSE,"Opex";#N/A,#N/A,FALSE,"P&amp;L";#N/A,#N/A,FALSE,"FCF &amp; DCF"}</definedName>
    <definedName name="wrn.print._.pages." localSheetId="18" hidden="1">{#N/A,#N/A,FALSE,"Spain MKT";#N/A,#N/A,FALSE,"Assumptions";#N/A,#N/A,FALSE,"Adve";#N/A,#N/A,FALSE,"E-Commerce";#N/A,#N/A,FALSE,"Opex";#N/A,#N/A,FALSE,"P&amp;L";#N/A,#N/A,FALSE,"FCF &amp; DCF"}</definedName>
    <definedName name="wrn.print._.pages." localSheetId="19" hidden="1">{#N/A,#N/A,FALSE,"Spain MKT";#N/A,#N/A,FALSE,"Assumptions";#N/A,#N/A,FALSE,"Adve";#N/A,#N/A,FALSE,"E-Commerce";#N/A,#N/A,FALSE,"Opex";#N/A,#N/A,FALSE,"P&amp;L";#N/A,#N/A,FALSE,"FCF &amp; DCF"}</definedName>
    <definedName name="wrn.print._.pages." localSheetId="17" hidden="1">{#N/A,#N/A,FALSE,"Spain MKT";#N/A,#N/A,FALSE,"Assumptions";#N/A,#N/A,FALSE,"Adve";#N/A,#N/A,FALSE,"E-Commerce";#N/A,#N/A,FALSE,"Opex";#N/A,#N/A,FALSE,"P&amp;L";#N/A,#N/A,FALSE,"FCF &amp; DCF"}</definedName>
    <definedName name="wrn.print._.pages." localSheetId="22" hidden="1">{#N/A,#N/A,FALSE,"Spain MKT";#N/A,#N/A,FALSE,"Assumptions";#N/A,#N/A,FALSE,"Adve";#N/A,#N/A,FALSE,"E-Commerce";#N/A,#N/A,FALSE,"Opex";#N/A,#N/A,FALSE,"P&amp;L";#N/A,#N/A,FALSE,"FCF &amp; DCF"}</definedName>
    <definedName name="wrn.print._.pages." localSheetId="10" hidden="1">{#N/A,#N/A,FALSE,"Spain MKT";#N/A,#N/A,FALSE,"Assumptions";#N/A,#N/A,FALSE,"Adve";#N/A,#N/A,FALSE,"E-Commerce";#N/A,#N/A,FALSE,"Opex";#N/A,#N/A,FALSE,"P&amp;L";#N/A,#N/A,FALSE,"FCF &amp; DCF"}</definedName>
    <definedName name="wrn.print._.pages." localSheetId="30" hidden="1">{#N/A,#N/A,FALSE,"Spain MKT";#N/A,#N/A,FALSE,"Assumptions";#N/A,#N/A,FALSE,"Adve";#N/A,#N/A,FALSE,"E-Commerce";#N/A,#N/A,FALSE,"Opex";#N/A,#N/A,FALSE,"P&amp;L";#N/A,#N/A,FALSE,"FCF &amp; DCF"}</definedName>
    <definedName name="wrn.print._.pages." localSheetId="0" hidden="1">{#N/A,#N/A,FALSE,"Spain MKT";#N/A,#N/A,FALSE,"Assumptions";#N/A,#N/A,FALSE,"Adve";#N/A,#N/A,FALSE,"E-Commerce";#N/A,#N/A,FALSE,"Opex";#N/A,#N/A,FALSE,"P&amp;L";#N/A,#N/A,FALSE,"FCF &amp; DCF"}</definedName>
    <definedName name="wrn.print._.pages." localSheetId="3" hidden="1">{#N/A,#N/A,FALSE,"Spain MKT";#N/A,#N/A,FALSE,"Assumptions";#N/A,#N/A,FALSE,"Adve";#N/A,#N/A,FALSE,"E-Commerce";#N/A,#N/A,FALSE,"Opex";#N/A,#N/A,FALSE,"P&amp;L";#N/A,#N/A,FALSE,"FCF &amp; DCF"}</definedName>
    <definedName name="wrn.print._.pages." localSheetId="4" hidden="1">{#N/A,#N/A,FALSE,"Spain MKT";#N/A,#N/A,FALSE,"Assumptions";#N/A,#N/A,FALSE,"Adve";#N/A,#N/A,FALSE,"E-Commerce";#N/A,#N/A,FALSE,"Opex";#N/A,#N/A,FALSE,"P&amp;L";#N/A,#N/A,FALSE,"FCF &amp; DCF"}</definedName>
    <definedName name="wrn.print._.pages." localSheetId="28" hidden="1">{#N/A,#N/A,FALSE,"Spain MKT";#N/A,#N/A,FALSE,"Assumptions";#N/A,#N/A,FALSE,"Adve";#N/A,#N/A,FALSE,"E-Commerce";#N/A,#N/A,FALSE,"Opex";#N/A,#N/A,FALSE,"P&amp;L";#N/A,#N/A,FALSE,"FCF &amp; DCF"}</definedName>
    <definedName name="wrn.print._.pages." localSheetId="33" hidden="1">{#N/A,#N/A,FALSE,"Spain MKT";#N/A,#N/A,FALSE,"Assumptions";#N/A,#N/A,FALSE,"Adve";#N/A,#N/A,FALSE,"E-Commerce";#N/A,#N/A,FALSE,"Opex";#N/A,#N/A,FALSE,"P&amp;L";#N/A,#N/A,FALSE,"FCF &amp; DCF"}</definedName>
    <definedName name="wrn.print._.pages." localSheetId="32" hidden="1">{#N/A,#N/A,FALSE,"Spain MKT";#N/A,#N/A,FALSE,"Assumptions";#N/A,#N/A,FALSE,"Adve";#N/A,#N/A,FALSE,"E-Commerce";#N/A,#N/A,FALSE,"Opex";#N/A,#N/A,FALSE,"P&amp;L";#N/A,#N/A,FALSE,"FCF &amp; DCF"}</definedName>
    <definedName name="wrn.print._.pages." localSheetId="7" hidden="1">{#N/A,#N/A,FALSE,"Spain MKT";#N/A,#N/A,FALSE,"Assumptions";#N/A,#N/A,FALSE,"Adve";#N/A,#N/A,FALSE,"E-Commerce";#N/A,#N/A,FALSE,"Opex";#N/A,#N/A,FALSE,"P&amp;L";#N/A,#N/A,FALSE,"FCF &amp; DCF"}</definedName>
    <definedName name="wrn.print._.pages." localSheetId="29" hidden="1">{#N/A,#N/A,FALSE,"Spain MKT";#N/A,#N/A,FALSE,"Assumptions";#N/A,#N/A,FALSE,"Adve";#N/A,#N/A,FALSE,"E-Commerce";#N/A,#N/A,FALSE,"Opex";#N/A,#N/A,FALSE,"P&amp;L";#N/A,#N/A,FALSE,"FCF &amp; DCF"}</definedName>
    <definedName name="wrn.print._.pages." localSheetId="1" hidden="1">{#N/A,#N/A,FALSE,"Spain MKT";#N/A,#N/A,FALSE,"Assumptions";#N/A,#N/A,FALSE,"Adve";#N/A,#N/A,FALSE,"E-Commerce";#N/A,#N/A,FALSE,"Opex";#N/A,#N/A,FALSE,"P&amp;L";#N/A,#N/A,FALSE,"FCF &amp; DCF"}</definedName>
    <definedName name="wrn.print._.pages." localSheetId="31" hidden="1">{#N/A,#N/A,FALSE,"Spain MKT";#N/A,#N/A,FALSE,"Assumptions";#N/A,#N/A,FALSE,"Adve";#N/A,#N/A,FALSE,"E-Commerce";#N/A,#N/A,FALSE,"Opex";#N/A,#N/A,FALSE,"P&amp;L";#N/A,#N/A,FALSE,"FCF &amp; DCF"}</definedName>
    <definedName name="wrn.print._.pages." hidden="1">{#N/A,#N/A,FALSE,"Spain MKT";#N/A,#N/A,FALSE,"Assumptions";#N/A,#N/A,FALSE,"Adve";#N/A,#N/A,FALSE,"E-Commerce";#N/A,#N/A,FALSE,"Opex";#N/A,#N/A,FALSE,"P&amp;L";#N/A,#N/A,FALSE,"FCF &amp; DCF"}</definedName>
    <definedName name="wrn.print._.raw._.data._.entry." localSheetId="12" hidden="1">{"inputs raw data",#N/A,TRUE,"INPUT"}</definedName>
    <definedName name="wrn.print._.raw._.data._.entry." localSheetId="18" hidden="1">{"inputs raw data",#N/A,TRUE,"INPUT"}</definedName>
    <definedName name="wrn.print._.raw._.data._.entry." localSheetId="19" hidden="1">{"inputs raw data",#N/A,TRUE,"INPUT"}</definedName>
    <definedName name="wrn.print._.raw._.data._.entry." localSheetId="17" hidden="1">{"inputs raw data",#N/A,TRUE,"INPUT"}</definedName>
    <definedName name="wrn.print._.raw._.data._.entry." localSheetId="22" hidden="1">{"inputs raw data",#N/A,TRUE,"INPUT"}</definedName>
    <definedName name="wrn.print._.raw._.data._.entry." localSheetId="10" hidden="1">{"inputs raw data",#N/A,TRUE,"INPUT"}</definedName>
    <definedName name="wrn.print._.raw._.data._.entry." localSheetId="30" hidden="1">{"inputs raw data",#N/A,TRUE,"INPUT"}</definedName>
    <definedName name="wrn.print._.raw._.data._.entry." localSheetId="0" hidden="1">{"inputs raw data",#N/A,TRUE,"INPUT"}</definedName>
    <definedName name="wrn.print._.raw._.data._.entry." localSheetId="3" hidden="1">{"inputs raw data",#N/A,TRUE,"INPUT"}</definedName>
    <definedName name="wrn.print._.raw._.data._.entry." localSheetId="4" hidden="1">{"inputs raw data",#N/A,TRUE,"INPUT"}</definedName>
    <definedName name="wrn.print._.raw._.data._.entry." localSheetId="28" hidden="1">{"inputs raw data",#N/A,TRUE,"INPUT"}</definedName>
    <definedName name="wrn.print._.raw._.data._.entry." localSheetId="33" hidden="1">{"inputs raw data",#N/A,TRUE,"INPUT"}</definedName>
    <definedName name="wrn.print._.raw._.data._.entry." localSheetId="32" hidden="1">{"inputs raw data",#N/A,TRUE,"INPUT"}</definedName>
    <definedName name="wrn.print._.raw._.data._.entry." localSheetId="7" hidden="1">{"inputs raw data",#N/A,TRUE,"INPUT"}</definedName>
    <definedName name="wrn.print._.raw._.data._.entry." localSheetId="29" hidden="1">{"inputs raw data",#N/A,TRUE,"INPUT"}</definedName>
    <definedName name="wrn.print._.raw._.data._.entry." localSheetId="1" hidden="1">{"inputs raw data",#N/A,TRUE,"INPUT"}</definedName>
    <definedName name="wrn.print._.raw._.data._.entry." localSheetId="31" hidden="1">{"inputs raw data",#N/A,TRUE,"INPUT"}</definedName>
    <definedName name="wrn.print._.raw._.data._.entry." hidden="1">{"inputs raw data",#N/A,TRUE,"INPUT"}</definedName>
    <definedName name="wrn.print._.standalone." localSheetId="12" hidden="1">{"standalone1",#N/A,FALSE,"DCFBase";"standalone2",#N/A,FALSE,"DCFBase"}</definedName>
    <definedName name="wrn.print._.standalone." localSheetId="18" hidden="1">{"standalone1",#N/A,FALSE,"DCFBase";"standalone2",#N/A,FALSE,"DCFBase"}</definedName>
    <definedName name="wrn.print._.standalone." localSheetId="19" hidden="1">{"standalone1",#N/A,FALSE,"DCFBase";"standalone2",#N/A,FALSE,"DCFBase"}</definedName>
    <definedName name="wrn.print._.standalone." localSheetId="17" hidden="1">{"standalone1",#N/A,FALSE,"DCFBase";"standalone2",#N/A,FALSE,"DCFBase"}</definedName>
    <definedName name="wrn.print._.standalone." localSheetId="22" hidden="1">{"standalone1",#N/A,FALSE,"DCFBase";"standalone2",#N/A,FALSE,"DCFBase"}</definedName>
    <definedName name="wrn.print._.standalone." localSheetId="10" hidden="1">{"standalone1",#N/A,FALSE,"DCFBase";"standalone2",#N/A,FALSE,"DCFBase"}</definedName>
    <definedName name="wrn.print._.standalone." localSheetId="30" hidden="1">{"standalone1",#N/A,FALSE,"DCFBase";"standalone2",#N/A,FALSE,"DCFBase"}</definedName>
    <definedName name="wrn.print._.standalone." localSheetId="0" hidden="1">{"standalone1",#N/A,FALSE,"DCFBase";"standalone2",#N/A,FALSE,"DCFBase"}</definedName>
    <definedName name="wrn.print._.standalone." localSheetId="3" hidden="1">{"standalone1",#N/A,FALSE,"DCFBase";"standalone2",#N/A,FALSE,"DCFBase"}</definedName>
    <definedName name="wrn.print._.standalone." localSheetId="4" hidden="1">{"standalone1",#N/A,FALSE,"DCFBase";"standalone2",#N/A,FALSE,"DCFBase"}</definedName>
    <definedName name="wrn.print._.standalone." localSheetId="28" hidden="1">{"standalone1",#N/A,FALSE,"DCFBase";"standalone2",#N/A,FALSE,"DCFBase"}</definedName>
    <definedName name="wrn.print._.standalone." localSheetId="33" hidden="1">{"standalone1",#N/A,FALSE,"DCFBase";"standalone2",#N/A,FALSE,"DCFBase"}</definedName>
    <definedName name="wrn.print._.standalone." localSheetId="32" hidden="1">{"standalone1",#N/A,FALSE,"DCFBase";"standalone2",#N/A,FALSE,"DCFBase"}</definedName>
    <definedName name="wrn.print._.standalone." localSheetId="7" hidden="1">{"standalone1",#N/A,FALSE,"DCFBase";"standalone2",#N/A,FALSE,"DCFBase"}</definedName>
    <definedName name="wrn.print._.standalone." localSheetId="29" hidden="1">{"standalone1",#N/A,FALSE,"DCFBase";"standalone2",#N/A,FALSE,"DCFBase"}</definedName>
    <definedName name="wrn.print._.standalone." localSheetId="1" hidden="1">{"standalone1",#N/A,FALSE,"DCFBase";"standalone2",#N/A,FALSE,"DCFBase"}</definedName>
    <definedName name="wrn.print._.standalone." localSheetId="31" hidden="1">{"standalone1",#N/A,FALSE,"DCFBase";"standalone2",#N/A,FALSE,"DCFBase"}</definedName>
    <definedName name="wrn.print._.standalone." hidden="1">{"standalone1",#N/A,FALSE,"DCFBase";"standalone2",#N/A,FALSE,"DCFBase"}</definedName>
    <definedName name="wrn.print._.summary._.sheets." localSheetId="12" hidden="1">{"summary1",#N/A,TRUE,"Comps";"summary2",#N/A,TRUE,"Comps";"summary3",#N/A,TRUE,"Comps"}</definedName>
    <definedName name="wrn.print._.summary._.sheets." localSheetId="18" hidden="1">{"summary1",#N/A,TRUE,"Comps";"summary2",#N/A,TRUE,"Comps";"summary3",#N/A,TRUE,"Comps"}</definedName>
    <definedName name="wrn.print._.summary._.sheets." localSheetId="19" hidden="1">{"summary1",#N/A,TRUE,"Comps";"summary2",#N/A,TRUE,"Comps";"summary3",#N/A,TRUE,"Comps"}</definedName>
    <definedName name="wrn.print._.summary._.sheets." localSheetId="17" hidden="1">{"summary1",#N/A,TRUE,"Comps";"summary2",#N/A,TRUE,"Comps";"summary3",#N/A,TRUE,"Comps"}</definedName>
    <definedName name="wrn.print._.summary._.sheets." localSheetId="22" hidden="1">{"summary1",#N/A,TRUE,"Comps";"summary2",#N/A,TRUE,"Comps";"summary3",#N/A,TRUE,"Comps"}</definedName>
    <definedName name="wrn.print._.summary._.sheets." localSheetId="10" hidden="1">{"summary1",#N/A,TRUE,"Comps";"summary2",#N/A,TRUE,"Comps";"summary3",#N/A,TRUE,"Comps"}</definedName>
    <definedName name="wrn.print._.summary._.sheets." localSheetId="30" hidden="1">{"summary1",#N/A,TRUE,"Comps";"summary2",#N/A,TRUE,"Comps";"summary3",#N/A,TRUE,"Comps"}</definedName>
    <definedName name="wrn.print._.summary._.sheets." localSheetId="0" hidden="1">{"summary1",#N/A,TRUE,"Comps";"summary2",#N/A,TRUE,"Comps";"summary3",#N/A,TRUE,"Comps"}</definedName>
    <definedName name="wrn.print._.summary._.sheets." localSheetId="3" hidden="1">{"summary1",#N/A,TRUE,"Comps";"summary2",#N/A,TRUE,"Comps";"summary3",#N/A,TRUE,"Comps"}</definedName>
    <definedName name="wrn.print._.summary._.sheets." localSheetId="4" hidden="1">{"summary1",#N/A,TRUE,"Comps";"summary2",#N/A,TRUE,"Comps";"summary3",#N/A,TRUE,"Comps"}</definedName>
    <definedName name="wrn.print._.summary._.sheets." localSheetId="28" hidden="1">{"summary1",#N/A,TRUE,"Comps";"summary2",#N/A,TRUE,"Comps";"summary3",#N/A,TRUE,"Comps"}</definedName>
    <definedName name="wrn.print._.summary._.sheets." localSheetId="33" hidden="1">{"summary1",#N/A,TRUE,"Comps";"summary2",#N/A,TRUE,"Comps";"summary3",#N/A,TRUE,"Comps"}</definedName>
    <definedName name="wrn.print._.summary._.sheets." localSheetId="32" hidden="1">{"summary1",#N/A,TRUE,"Comps";"summary2",#N/A,TRUE,"Comps";"summary3",#N/A,TRUE,"Comps"}</definedName>
    <definedName name="wrn.print._.summary._.sheets." localSheetId="7" hidden="1">{"summary1",#N/A,TRUE,"Comps";"summary2",#N/A,TRUE,"Comps";"summary3",#N/A,TRUE,"Comps"}</definedName>
    <definedName name="wrn.print._.summary._.sheets." localSheetId="29" hidden="1">{"summary1",#N/A,TRUE,"Comps";"summary2",#N/A,TRUE,"Comps";"summary3",#N/A,TRUE,"Comps"}</definedName>
    <definedName name="wrn.print._.summary._.sheets." localSheetId="1" hidden="1">{"summary1",#N/A,TRUE,"Comps";"summary2",#N/A,TRUE,"Comps";"summary3",#N/A,TRUE,"Comps"}</definedName>
    <definedName name="wrn.print._.summary._.sheets." localSheetId="31" hidden="1">{"summary1",#N/A,TRUE,"Comps";"summary2",#N/A,TRUE,"Comps";"summary3",#N/A,TRUE,"Comps"}</definedName>
    <definedName name="wrn.print._.summary._.sheets." hidden="1">{"summary1",#N/A,TRUE,"Comps";"summary2",#N/A,TRUE,"Comps";"summary3",#N/A,TRUE,"Comps"}</definedName>
    <definedName name="wrn.Print._.whole._.Report." localSheetId="12"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whole._.Report." localSheetId="18"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whole._.Report." localSheetId="19"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whole._.Report." localSheetId="17"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whole._.Report." localSheetId="22"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whole._.Report." localSheetId="10"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whole._.Report." localSheetId="30"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whole._.Report." localSheetId="0"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whole._.Report." localSheetId="3"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whole._.Report." localSheetId="4"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whole._.Report." localSheetId="28"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whole._.Report." localSheetId="33"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whole._.Report." localSheetId="32"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whole._.Report." localSheetId="7"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whole._.Report." localSheetId="29"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whole._.Report." localSheetId="1"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whole._.Report." localSheetId="31"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whole._.Report."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odAssump1_2000_2009." localSheetId="12" hidden="1">{"ProdAssump1_2000_2009",#N/A,FALSE,"ProdAssump"}</definedName>
    <definedName name="wrn.ProdAssump1_2000_2009." localSheetId="18" hidden="1">{"ProdAssump1_2000_2009",#N/A,FALSE,"ProdAssump"}</definedName>
    <definedName name="wrn.ProdAssump1_2000_2009." localSheetId="19" hidden="1">{"ProdAssump1_2000_2009",#N/A,FALSE,"ProdAssump"}</definedName>
    <definedName name="wrn.ProdAssump1_2000_2009." localSheetId="17" hidden="1">{"ProdAssump1_2000_2009",#N/A,FALSE,"ProdAssump"}</definedName>
    <definedName name="wrn.ProdAssump1_2000_2009." localSheetId="22" hidden="1">{"ProdAssump1_2000_2009",#N/A,FALSE,"ProdAssump"}</definedName>
    <definedName name="wrn.ProdAssump1_2000_2009." localSheetId="10" hidden="1">{"ProdAssump1_2000_2009",#N/A,FALSE,"ProdAssump"}</definedName>
    <definedName name="wrn.ProdAssump1_2000_2009." localSheetId="30" hidden="1">{"ProdAssump1_2000_2009",#N/A,FALSE,"ProdAssump"}</definedName>
    <definedName name="wrn.ProdAssump1_2000_2009." localSheetId="0" hidden="1">{"ProdAssump1_2000_2009",#N/A,FALSE,"ProdAssump"}</definedName>
    <definedName name="wrn.ProdAssump1_2000_2009." localSheetId="3" hidden="1">{"ProdAssump1_2000_2009",#N/A,FALSE,"ProdAssump"}</definedName>
    <definedName name="wrn.ProdAssump1_2000_2009." localSheetId="4" hidden="1">{"ProdAssump1_2000_2009",#N/A,FALSE,"ProdAssump"}</definedName>
    <definedName name="wrn.ProdAssump1_2000_2009." localSheetId="28" hidden="1">{"ProdAssump1_2000_2009",#N/A,FALSE,"ProdAssump"}</definedName>
    <definedName name="wrn.ProdAssump1_2000_2009." localSheetId="33" hidden="1">{"ProdAssump1_2000_2009",#N/A,FALSE,"ProdAssump"}</definedName>
    <definedName name="wrn.ProdAssump1_2000_2009." localSheetId="32" hidden="1">{"ProdAssump1_2000_2009",#N/A,FALSE,"ProdAssump"}</definedName>
    <definedName name="wrn.ProdAssump1_2000_2009." localSheetId="7" hidden="1">{"ProdAssump1_2000_2009",#N/A,FALSE,"ProdAssump"}</definedName>
    <definedName name="wrn.ProdAssump1_2000_2009." localSheetId="29" hidden="1">{"ProdAssump1_2000_2009",#N/A,FALSE,"ProdAssump"}</definedName>
    <definedName name="wrn.ProdAssump1_2000_2009." localSheetId="1" hidden="1">{"ProdAssump1_2000_2009",#N/A,FALSE,"ProdAssump"}</definedName>
    <definedName name="wrn.ProdAssump1_2000_2009." localSheetId="31" hidden="1">{"ProdAssump1_2000_2009",#N/A,FALSE,"ProdAssump"}</definedName>
    <definedName name="wrn.ProdAssump1_2000_2009." hidden="1">{"ProdAssump1_2000_2009",#N/A,FALSE,"ProdAssump"}</definedName>
    <definedName name="wrn.ProdAssump11_2000_2009." localSheetId="12" hidden="1">{"ProdAssump11_2000_2009",#N/A,FALSE,"ProdAssump"}</definedName>
    <definedName name="wrn.ProdAssump11_2000_2009." localSheetId="18" hidden="1">{"ProdAssump11_2000_2009",#N/A,FALSE,"ProdAssump"}</definedName>
    <definedName name="wrn.ProdAssump11_2000_2009." localSheetId="19" hidden="1">{"ProdAssump11_2000_2009",#N/A,FALSE,"ProdAssump"}</definedName>
    <definedName name="wrn.ProdAssump11_2000_2009." localSheetId="17" hidden="1">{"ProdAssump11_2000_2009",#N/A,FALSE,"ProdAssump"}</definedName>
    <definedName name="wrn.ProdAssump11_2000_2009." localSheetId="22" hidden="1">{"ProdAssump11_2000_2009",#N/A,FALSE,"ProdAssump"}</definedName>
    <definedName name="wrn.ProdAssump11_2000_2009." localSheetId="10" hidden="1">{"ProdAssump11_2000_2009",#N/A,FALSE,"ProdAssump"}</definedName>
    <definedName name="wrn.ProdAssump11_2000_2009." localSheetId="30" hidden="1">{"ProdAssump11_2000_2009",#N/A,FALSE,"ProdAssump"}</definedName>
    <definedName name="wrn.ProdAssump11_2000_2009." localSheetId="0" hidden="1">{"ProdAssump11_2000_2009",#N/A,FALSE,"ProdAssump"}</definedName>
    <definedName name="wrn.ProdAssump11_2000_2009." localSheetId="3" hidden="1">{"ProdAssump11_2000_2009",#N/A,FALSE,"ProdAssump"}</definedName>
    <definedName name="wrn.ProdAssump11_2000_2009." localSheetId="4" hidden="1">{"ProdAssump11_2000_2009",#N/A,FALSE,"ProdAssump"}</definedName>
    <definedName name="wrn.ProdAssump11_2000_2009." localSheetId="28" hidden="1">{"ProdAssump11_2000_2009",#N/A,FALSE,"ProdAssump"}</definedName>
    <definedName name="wrn.ProdAssump11_2000_2009." localSheetId="33" hidden="1">{"ProdAssump11_2000_2009",#N/A,FALSE,"ProdAssump"}</definedName>
    <definedName name="wrn.ProdAssump11_2000_2009." localSheetId="32" hidden="1">{"ProdAssump11_2000_2009",#N/A,FALSE,"ProdAssump"}</definedName>
    <definedName name="wrn.ProdAssump11_2000_2009." localSheetId="7" hidden="1">{"ProdAssump11_2000_2009",#N/A,FALSE,"ProdAssump"}</definedName>
    <definedName name="wrn.ProdAssump11_2000_2009." localSheetId="29" hidden="1">{"ProdAssump11_2000_2009",#N/A,FALSE,"ProdAssump"}</definedName>
    <definedName name="wrn.ProdAssump11_2000_2009." localSheetId="1" hidden="1">{"ProdAssump11_2000_2009",#N/A,FALSE,"ProdAssump"}</definedName>
    <definedName name="wrn.ProdAssump11_2000_2009." localSheetId="31" hidden="1">{"ProdAssump11_2000_2009",#N/A,FALSE,"ProdAssump"}</definedName>
    <definedName name="wrn.ProdAssump11_2000_2009." hidden="1">{"ProdAssump11_2000_2009",#N/A,FALSE,"ProdAssump"}</definedName>
    <definedName name="wrn.ProdAssump11_2009_2019." localSheetId="12" hidden="1">{"ProdAssump11_2009_2019",#N/A,FALSE,"ProdAssump"}</definedName>
    <definedName name="wrn.ProdAssump11_2009_2019." localSheetId="18" hidden="1">{"ProdAssump11_2009_2019",#N/A,FALSE,"ProdAssump"}</definedName>
    <definedName name="wrn.ProdAssump11_2009_2019." localSheetId="19" hidden="1">{"ProdAssump11_2009_2019",#N/A,FALSE,"ProdAssump"}</definedName>
    <definedName name="wrn.ProdAssump11_2009_2019." localSheetId="17" hidden="1">{"ProdAssump11_2009_2019",#N/A,FALSE,"ProdAssump"}</definedName>
    <definedName name="wrn.ProdAssump11_2009_2019." localSheetId="22" hidden="1">{"ProdAssump11_2009_2019",#N/A,FALSE,"ProdAssump"}</definedName>
    <definedName name="wrn.ProdAssump11_2009_2019." localSheetId="10" hidden="1">{"ProdAssump11_2009_2019",#N/A,FALSE,"ProdAssump"}</definedName>
    <definedName name="wrn.ProdAssump11_2009_2019." localSheetId="30" hidden="1">{"ProdAssump11_2009_2019",#N/A,FALSE,"ProdAssump"}</definedName>
    <definedName name="wrn.ProdAssump11_2009_2019." localSheetId="0" hidden="1">{"ProdAssump11_2009_2019",#N/A,FALSE,"ProdAssump"}</definedName>
    <definedName name="wrn.ProdAssump11_2009_2019." localSheetId="3" hidden="1">{"ProdAssump11_2009_2019",#N/A,FALSE,"ProdAssump"}</definedName>
    <definedName name="wrn.ProdAssump11_2009_2019." localSheetId="4" hidden="1">{"ProdAssump11_2009_2019",#N/A,FALSE,"ProdAssump"}</definedName>
    <definedName name="wrn.ProdAssump11_2009_2019." localSheetId="28" hidden="1">{"ProdAssump11_2009_2019",#N/A,FALSE,"ProdAssump"}</definedName>
    <definedName name="wrn.ProdAssump11_2009_2019." localSheetId="33" hidden="1">{"ProdAssump11_2009_2019",#N/A,FALSE,"ProdAssump"}</definedName>
    <definedName name="wrn.ProdAssump11_2009_2019." localSheetId="32" hidden="1">{"ProdAssump11_2009_2019",#N/A,FALSE,"ProdAssump"}</definedName>
    <definedName name="wrn.ProdAssump11_2009_2019." localSheetId="7" hidden="1">{"ProdAssump11_2009_2019",#N/A,FALSE,"ProdAssump"}</definedName>
    <definedName name="wrn.ProdAssump11_2009_2019." localSheetId="29" hidden="1">{"ProdAssump11_2009_2019",#N/A,FALSE,"ProdAssump"}</definedName>
    <definedName name="wrn.ProdAssump11_2009_2019." localSheetId="1" hidden="1">{"ProdAssump11_2009_2019",#N/A,FALSE,"ProdAssump"}</definedName>
    <definedName name="wrn.ProdAssump11_2009_2019." localSheetId="31" hidden="1">{"ProdAssump11_2009_2019",#N/A,FALSE,"ProdAssump"}</definedName>
    <definedName name="wrn.ProdAssump11_2009_2019." hidden="1">{"ProdAssump11_2009_2019",#N/A,FALSE,"ProdAssump"}</definedName>
    <definedName name="wrn.ProdAssump12_2010_2019." localSheetId="12" hidden="1">{"ProdAssump12_2010_2019",#N/A,FALSE,"ProdAssump"}</definedName>
    <definedName name="wrn.ProdAssump12_2010_2019." localSheetId="18" hidden="1">{"ProdAssump12_2010_2019",#N/A,FALSE,"ProdAssump"}</definedName>
    <definedName name="wrn.ProdAssump12_2010_2019." localSheetId="19" hidden="1">{"ProdAssump12_2010_2019",#N/A,FALSE,"ProdAssump"}</definedName>
    <definedName name="wrn.ProdAssump12_2010_2019." localSheetId="17" hidden="1">{"ProdAssump12_2010_2019",#N/A,FALSE,"ProdAssump"}</definedName>
    <definedName name="wrn.ProdAssump12_2010_2019." localSheetId="22" hidden="1">{"ProdAssump12_2010_2019",#N/A,FALSE,"ProdAssump"}</definedName>
    <definedName name="wrn.ProdAssump12_2010_2019." localSheetId="10" hidden="1">{"ProdAssump12_2010_2019",#N/A,FALSE,"ProdAssump"}</definedName>
    <definedName name="wrn.ProdAssump12_2010_2019." localSheetId="30" hidden="1">{"ProdAssump12_2010_2019",#N/A,FALSE,"ProdAssump"}</definedName>
    <definedName name="wrn.ProdAssump12_2010_2019." localSheetId="0" hidden="1">{"ProdAssump12_2010_2019",#N/A,FALSE,"ProdAssump"}</definedName>
    <definedName name="wrn.ProdAssump12_2010_2019." localSheetId="3" hidden="1">{"ProdAssump12_2010_2019",#N/A,FALSE,"ProdAssump"}</definedName>
    <definedName name="wrn.ProdAssump12_2010_2019." localSheetId="4" hidden="1">{"ProdAssump12_2010_2019",#N/A,FALSE,"ProdAssump"}</definedName>
    <definedName name="wrn.ProdAssump12_2010_2019." localSheetId="28" hidden="1">{"ProdAssump12_2010_2019",#N/A,FALSE,"ProdAssump"}</definedName>
    <definedName name="wrn.ProdAssump12_2010_2019." localSheetId="33" hidden="1">{"ProdAssump12_2010_2019",#N/A,FALSE,"ProdAssump"}</definedName>
    <definedName name="wrn.ProdAssump12_2010_2019." localSheetId="32" hidden="1">{"ProdAssump12_2010_2019",#N/A,FALSE,"ProdAssump"}</definedName>
    <definedName name="wrn.ProdAssump12_2010_2019." localSheetId="7" hidden="1">{"ProdAssump12_2010_2019",#N/A,FALSE,"ProdAssump"}</definedName>
    <definedName name="wrn.ProdAssump12_2010_2019." localSheetId="29" hidden="1">{"ProdAssump12_2010_2019",#N/A,FALSE,"ProdAssump"}</definedName>
    <definedName name="wrn.ProdAssump12_2010_2019." localSheetId="1" hidden="1">{"ProdAssump12_2010_2019",#N/A,FALSE,"ProdAssump"}</definedName>
    <definedName name="wrn.ProdAssump12_2010_2019." localSheetId="31" hidden="1">{"ProdAssump12_2010_2019",#N/A,FALSE,"ProdAssump"}</definedName>
    <definedName name="wrn.ProdAssump12_2010_2019." hidden="1">{"ProdAssump12_2010_2019",#N/A,FALSE,"ProdAssump"}</definedName>
    <definedName name="wrn.ProdAssump13_2000_2009." localSheetId="12" hidden="1">{"ProdAssump13_2000_2009",#N/A,FALSE,"ProdAssump"}</definedName>
    <definedName name="wrn.ProdAssump13_2000_2009." localSheetId="18" hidden="1">{"ProdAssump13_2000_2009",#N/A,FALSE,"ProdAssump"}</definedName>
    <definedName name="wrn.ProdAssump13_2000_2009." localSheetId="19" hidden="1">{"ProdAssump13_2000_2009",#N/A,FALSE,"ProdAssump"}</definedName>
    <definedName name="wrn.ProdAssump13_2000_2009." localSheetId="17" hidden="1">{"ProdAssump13_2000_2009",#N/A,FALSE,"ProdAssump"}</definedName>
    <definedName name="wrn.ProdAssump13_2000_2009." localSheetId="22" hidden="1">{"ProdAssump13_2000_2009",#N/A,FALSE,"ProdAssump"}</definedName>
    <definedName name="wrn.ProdAssump13_2000_2009." localSheetId="10" hidden="1">{"ProdAssump13_2000_2009",#N/A,FALSE,"ProdAssump"}</definedName>
    <definedName name="wrn.ProdAssump13_2000_2009." localSheetId="30" hidden="1">{"ProdAssump13_2000_2009",#N/A,FALSE,"ProdAssump"}</definedName>
    <definedName name="wrn.ProdAssump13_2000_2009." localSheetId="0" hidden="1">{"ProdAssump13_2000_2009",#N/A,FALSE,"ProdAssump"}</definedName>
    <definedName name="wrn.ProdAssump13_2000_2009." localSheetId="3" hidden="1">{"ProdAssump13_2000_2009",#N/A,FALSE,"ProdAssump"}</definedName>
    <definedName name="wrn.ProdAssump13_2000_2009." localSheetId="4" hidden="1">{"ProdAssump13_2000_2009",#N/A,FALSE,"ProdAssump"}</definedName>
    <definedName name="wrn.ProdAssump13_2000_2009." localSheetId="28" hidden="1">{"ProdAssump13_2000_2009",#N/A,FALSE,"ProdAssump"}</definedName>
    <definedName name="wrn.ProdAssump13_2000_2009." localSheetId="33" hidden="1">{"ProdAssump13_2000_2009",#N/A,FALSE,"ProdAssump"}</definedName>
    <definedName name="wrn.ProdAssump13_2000_2009." localSheetId="32" hidden="1">{"ProdAssump13_2000_2009",#N/A,FALSE,"ProdAssump"}</definedName>
    <definedName name="wrn.ProdAssump13_2000_2009." localSheetId="7" hidden="1">{"ProdAssump13_2000_2009",#N/A,FALSE,"ProdAssump"}</definedName>
    <definedName name="wrn.ProdAssump13_2000_2009." localSheetId="29" hidden="1">{"ProdAssump13_2000_2009",#N/A,FALSE,"ProdAssump"}</definedName>
    <definedName name="wrn.ProdAssump13_2000_2009." localSheetId="1" hidden="1">{"ProdAssump13_2000_2009",#N/A,FALSE,"ProdAssump"}</definedName>
    <definedName name="wrn.ProdAssump13_2000_2009." localSheetId="31" hidden="1">{"ProdAssump13_2000_2009",#N/A,FALSE,"ProdAssump"}</definedName>
    <definedName name="wrn.ProdAssump13_2000_2009." hidden="1">{"ProdAssump13_2000_2009",#N/A,FALSE,"ProdAssump"}</definedName>
    <definedName name="wrn.ProdAssump14_2010_2019." localSheetId="12" hidden="1">{"ProdAssump14_2010_2019",#N/A,FALSE,"ProdAssump"}</definedName>
    <definedName name="wrn.ProdAssump14_2010_2019." localSheetId="18" hidden="1">{"ProdAssump14_2010_2019",#N/A,FALSE,"ProdAssump"}</definedName>
    <definedName name="wrn.ProdAssump14_2010_2019." localSheetId="19" hidden="1">{"ProdAssump14_2010_2019",#N/A,FALSE,"ProdAssump"}</definedName>
    <definedName name="wrn.ProdAssump14_2010_2019." localSheetId="17" hidden="1">{"ProdAssump14_2010_2019",#N/A,FALSE,"ProdAssump"}</definedName>
    <definedName name="wrn.ProdAssump14_2010_2019." localSheetId="22" hidden="1">{"ProdAssump14_2010_2019",#N/A,FALSE,"ProdAssump"}</definedName>
    <definedName name="wrn.ProdAssump14_2010_2019." localSheetId="10" hidden="1">{"ProdAssump14_2010_2019",#N/A,FALSE,"ProdAssump"}</definedName>
    <definedName name="wrn.ProdAssump14_2010_2019." localSheetId="30" hidden="1">{"ProdAssump14_2010_2019",#N/A,FALSE,"ProdAssump"}</definedName>
    <definedName name="wrn.ProdAssump14_2010_2019." localSheetId="0" hidden="1">{"ProdAssump14_2010_2019",#N/A,FALSE,"ProdAssump"}</definedName>
    <definedName name="wrn.ProdAssump14_2010_2019." localSheetId="3" hidden="1">{"ProdAssump14_2010_2019",#N/A,FALSE,"ProdAssump"}</definedName>
    <definedName name="wrn.ProdAssump14_2010_2019." localSheetId="4" hidden="1">{"ProdAssump14_2010_2019",#N/A,FALSE,"ProdAssump"}</definedName>
    <definedName name="wrn.ProdAssump14_2010_2019." localSheetId="28" hidden="1">{"ProdAssump14_2010_2019",#N/A,FALSE,"ProdAssump"}</definedName>
    <definedName name="wrn.ProdAssump14_2010_2019." localSheetId="33" hidden="1">{"ProdAssump14_2010_2019",#N/A,FALSE,"ProdAssump"}</definedName>
    <definedName name="wrn.ProdAssump14_2010_2019." localSheetId="32" hidden="1">{"ProdAssump14_2010_2019",#N/A,FALSE,"ProdAssump"}</definedName>
    <definedName name="wrn.ProdAssump14_2010_2019." localSheetId="7" hidden="1">{"ProdAssump14_2010_2019",#N/A,FALSE,"ProdAssump"}</definedName>
    <definedName name="wrn.ProdAssump14_2010_2019." localSheetId="29" hidden="1">{"ProdAssump14_2010_2019",#N/A,FALSE,"ProdAssump"}</definedName>
    <definedName name="wrn.ProdAssump14_2010_2019." localSheetId="1" hidden="1">{"ProdAssump14_2010_2019",#N/A,FALSE,"ProdAssump"}</definedName>
    <definedName name="wrn.ProdAssump14_2010_2019." localSheetId="31" hidden="1">{"ProdAssump14_2010_2019",#N/A,FALSE,"ProdAssump"}</definedName>
    <definedName name="wrn.ProdAssump14_2010_2019." hidden="1">{"ProdAssump14_2010_2019",#N/A,FALSE,"ProdAssump"}</definedName>
    <definedName name="wrn.ProdAssump15_2000_2009." localSheetId="12" hidden="1">{"ProdAssump15_2000_2009",#N/A,FALSE,"ProdAssump"}</definedName>
    <definedName name="wrn.ProdAssump15_2000_2009." localSheetId="18" hidden="1">{"ProdAssump15_2000_2009",#N/A,FALSE,"ProdAssump"}</definedName>
    <definedName name="wrn.ProdAssump15_2000_2009." localSheetId="19" hidden="1">{"ProdAssump15_2000_2009",#N/A,FALSE,"ProdAssump"}</definedName>
    <definedName name="wrn.ProdAssump15_2000_2009." localSheetId="17" hidden="1">{"ProdAssump15_2000_2009",#N/A,FALSE,"ProdAssump"}</definedName>
    <definedName name="wrn.ProdAssump15_2000_2009." localSheetId="22" hidden="1">{"ProdAssump15_2000_2009",#N/A,FALSE,"ProdAssump"}</definedName>
    <definedName name="wrn.ProdAssump15_2000_2009." localSheetId="10" hidden="1">{"ProdAssump15_2000_2009",#N/A,FALSE,"ProdAssump"}</definedName>
    <definedName name="wrn.ProdAssump15_2000_2009." localSheetId="30" hidden="1">{"ProdAssump15_2000_2009",#N/A,FALSE,"ProdAssump"}</definedName>
    <definedName name="wrn.ProdAssump15_2000_2009." localSheetId="0" hidden="1">{"ProdAssump15_2000_2009",#N/A,FALSE,"ProdAssump"}</definedName>
    <definedName name="wrn.ProdAssump15_2000_2009." localSheetId="3" hidden="1">{"ProdAssump15_2000_2009",#N/A,FALSE,"ProdAssump"}</definedName>
    <definedName name="wrn.ProdAssump15_2000_2009." localSheetId="4" hidden="1">{"ProdAssump15_2000_2009",#N/A,FALSE,"ProdAssump"}</definedName>
    <definedName name="wrn.ProdAssump15_2000_2009." localSheetId="28" hidden="1">{"ProdAssump15_2000_2009",#N/A,FALSE,"ProdAssump"}</definedName>
    <definedName name="wrn.ProdAssump15_2000_2009." localSheetId="33" hidden="1">{"ProdAssump15_2000_2009",#N/A,FALSE,"ProdAssump"}</definedName>
    <definedName name="wrn.ProdAssump15_2000_2009." localSheetId="32" hidden="1">{"ProdAssump15_2000_2009",#N/A,FALSE,"ProdAssump"}</definedName>
    <definedName name="wrn.ProdAssump15_2000_2009." localSheetId="7" hidden="1">{"ProdAssump15_2000_2009",#N/A,FALSE,"ProdAssump"}</definedName>
    <definedName name="wrn.ProdAssump15_2000_2009." localSheetId="29" hidden="1">{"ProdAssump15_2000_2009",#N/A,FALSE,"ProdAssump"}</definedName>
    <definedName name="wrn.ProdAssump15_2000_2009." localSheetId="1" hidden="1">{"ProdAssump15_2000_2009",#N/A,FALSE,"ProdAssump"}</definedName>
    <definedName name="wrn.ProdAssump15_2000_2009." localSheetId="31" hidden="1">{"ProdAssump15_2000_2009",#N/A,FALSE,"ProdAssump"}</definedName>
    <definedName name="wrn.ProdAssump15_2000_2009." hidden="1">{"ProdAssump15_2000_2009",#N/A,FALSE,"ProdAssump"}</definedName>
    <definedName name="wrn.ProdAssump16_2010_2019." localSheetId="12" hidden="1">{"ProdAssump16_2010_2019",#N/A,FALSE,"ProdAssump"}</definedName>
    <definedName name="wrn.ProdAssump16_2010_2019." localSheetId="18" hidden="1">{"ProdAssump16_2010_2019",#N/A,FALSE,"ProdAssump"}</definedName>
    <definedName name="wrn.ProdAssump16_2010_2019." localSheetId="19" hidden="1">{"ProdAssump16_2010_2019",#N/A,FALSE,"ProdAssump"}</definedName>
    <definedName name="wrn.ProdAssump16_2010_2019." localSheetId="17" hidden="1">{"ProdAssump16_2010_2019",#N/A,FALSE,"ProdAssump"}</definedName>
    <definedName name="wrn.ProdAssump16_2010_2019." localSheetId="22" hidden="1">{"ProdAssump16_2010_2019",#N/A,FALSE,"ProdAssump"}</definedName>
    <definedName name="wrn.ProdAssump16_2010_2019." localSheetId="10" hidden="1">{"ProdAssump16_2010_2019",#N/A,FALSE,"ProdAssump"}</definedName>
    <definedName name="wrn.ProdAssump16_2010_2019." localSheetId="30" hidden="1">{"ProdAssump16_2010_2019",#N/A,FALSE,"ProdAssump"}</definedName>
    <definedName name="wrn.ProdAssump16_2010_2019." localSheetId="0" hidden="1">{"ProdAssump16_2010_2019",#N/A,FALSE,"ProdAssump"}</definedName>
    <definedName name="wrn.ProdAssump16_2010_2019." localSheetId="3" hidden="1">{"ProdAssump16_2010_2019",#N/A,FALSE,"ProdAssump"}</definedName>
    <definedName name="wrn.ProdAssump16_2010_2019." localSheetId="4" hidden="1">{"ProdAssump16_2010_2019",#N/A,FALSE,"ProdAssump"}</definedName>
    <definedName name="wrn.ProdAssump16_2010_2019." localSheetId="28" hidden="1">{"ProdAssump16_2010_2019",#N/A,FALSE,"ProdAssump"}</definedName>
    <definedName name="wrn.ProdAssump16_2010_2019." localSheetId="33" hidden="1">{"ProdAssump16_2010_2019",#N/A,FALSE,"ProdAssump"}</definedName>
    <definedName name="wrn.ProdAssump16_2010_2019." localSheetId="32" hidden="1">{"ProdAssump16_2010_2019",#N/A,FALSE,"ProdAssump"}</definedName>
    <definedName name="wrn.ProdAssump16_2010_2019." localSheetId="7" hidden="1">{"ProdAssump16_2010_2019",#N/A,FALSE,"ProdAssump"}</definedName>
    <definedName name="wrn.ProdAssump16_2010_2019." localSheetId="29" hidden="1">{"ProdAssump16_2010_2019",#N/A,FALSE,"ProdAssump"}</definedName>
    <definedName name="wrn.ProdAssump16_2010_2019." localSheetId="1" hidden="1">{"ProdAssump16_2010_2019",#N/A,FALSE,"ProdAssump"}</definedName>
    <definedName name="wrn.ProdAssump16_2010_2019." localSheetId="31" hidden="1">{"ProdAssump16_2010_2019",#N/A,FALSE,"ProdAssump"}</definedName>
    <definedName name="wrn.ProdAssump16_2010_2019." hidden="1">{"ProdAssump16_2010_2019",#N/A,FALSE,"ProdAssump"}</definedName>
    <definedName name="wrn.ProdAssump2_2010_2019." localSheetId="12" hidden="1">{"ProdAssump2_2010_2019",#N/A,FALSE,"ProdAssump"}</definedName>
    <definedName name="wrn.ProdAssump2_2010_2019." localSheetId="18" hidden="1">{"ProdAssump2_2010_2019",#N/A,FALSE,"ProdAssump"}</definedName>
    <definedName name="wrn.ProdAssump2_2010_2019." localSheetId="19" hidden="1">{"ProdAssump2_2010_2019",#N/A,FALSE,"ProdAssump"}</definedName>
    <definedName name="wrn.ProdAssump2_2010_2019." localSheetId="17" hidden="1">{"ProdAssump2_2010_2019",#N/A,FALSE,"ProdAssump"}</definedName>
    <definedName name="wrn.ProdAssump2_2010_2019." localSheetId="22" hidden="1">{"ProdAssump2_2010_2019",#N/A,FALSE,"ProdAssump"}</definedName>
    <definedName name="wrn.ProdAssump2_2010_2019." localSheetId="10" hidden="1">{"ProdAssump2_2010_2019",#N/A,FALSE,"ProdAssump"}</definedName>
    <definedName name="wrn.ProdAssump2_2010_2019." localSheetId="30" hidden="1">{"ProdAssump2_2010_2019",#N/A,FALSE,"ProdAssump"}</definedName>
    <definedName name="wrn.ProdAssump2_2010_2019." localSheetId="0" hidden="1">{"ProdAssump2_2010_2019",#N/A,FALSE,"ProdAssump"}</definedName>
    <definedName name="wrn.ProdAssump2_2010_2019." localSheetId="3" hidden="1">{"ProdAssump2_2010_2019",#N/A,FALSE,"ProdAssump"}</definedName>
    <definedName name="wrn.ProdAssump2_2010_2019." localSheetId="4" hidden="1">{"ProdAssump2_2010_2019",#N/A,FALSE,"ProdAssump"}</definedName>
    <definedName name="wrn.ProdAssump2_2010_2019." localSheetId="28" hidden="1">{"ProdAssump2_2010_2019",#N/A,FALSE,"ProdAssump"}</definedName>
    <definedName name="wrn.ProdAssump2_2010_2019." localSheetId="33" hidden="1">{"ProdAssump2_2010_2019",#N/A,FALSE,"ProdAssump"}</definedName>
    <definedName name="wrn.ProdAssump2_2010_2019." localSheetId="32" hidden="1">{"ProdAssump2_2010_2019",#N/A,FALSE,"ProdAssump"}</definedName>
    <definedName name="wrn.ProdAssump2_2010_2019." localSheetId="7" hidden="1">{"ProdAssump2_2010_2019",#N/A,FALSE,"ProdAssump"}</definedName>
    <definedName name="wrn.ProdAssump2_2010_2019." localSheetId="29" hidden="1">{"ProdAssump2_2010_2019",#N/A,FALSE,"ProdAssump"}</definedName>
    <definedName name="wrn.ProdAssump2_2010_2019." localSheetId="1" hidden="1">{"ProdAssump2_2010_2019",#N/A,FALSE,"ProdAssump"}</definedName>
    <definedName name="wrn.ProdAssump2_2010_2019." localSheetId="31" hidden="1">{"ProdAssump2_2010_2019",#N/A,FALSE,"ProdAssump"}</definedName>
    <definedName name="wrn.ProdAssump2_2010_2019." hidden="1">{"ProdAssump2_2010_2019",#N/A,FALSE,"ProdAssump"}</definedName>
    <definedName name="wrn.ProdAssump3_2000_2009." localSheetId="12" hidden="1">{"ProdAssump3_2000_2009",#N/A,FALSE,"ProdAssump"}</definedName>
    <definedName name="wrn.ProdAssump3_2000_2009." localSheetId="18" hidden="1">{"ProdAssump3_2000_2009",#N/A,FALSE,"ProdAssump"}</definedName>
    <definedName name="wrn.ProdAssump3_2000_2009." localSheetId="19" hidden="1">{"ProdAssump3_2000_2009",#N/A,FALSE,"ProdAssump"}</definedName>
    <definedName name="wrn.ProdAssump3_2000_2009." localSheetId="17" hidden="1">{"ProdAssump3_2000_2009",#N/A,FALSE,"ProdAssump"}</definedName>
    <definedName name="wrn.ProdAssump3_2000_2009." localSheetId="22" hidden="1">{"ProdAssump3_2000_2009",#N/A,FALSE,"ProdAssump"}</definedName>
    <definedName name="wrn.ProdAssump3_2000_2009." localSheetId="10" hidden="1">{"ProdAssump3_2000_2009",#N/A,FALSE,"ProdAssump"}</definedName>
    <definedName name="wrn.ProdAssump3_2000_2009." localSheetId="30" hidden="1">{"ProdAssump3_2000_2009",#N/A,FALSE,"ProdAssump"}</definedName>
    <definedName name="wrn.ProdAssump3_2000_2009." localSheetId="0" hidden="1">{"ProdAssump3_2000_2009",#N/A,FALSE,"ProdAssump"}</definedName>
    <definedName name="wrn.ProdAssump3_2000_2009." localSheetId="3" hidden="1">{"ProdAssump3_2000_2009",#N/A,FALSE,"ProdAssump"}</definedName>
    <definedName name="wrn.ProdAssump3_2000_2009." localSheetId="4" hidden="1">{"ProdAssump3_2000_2009",#N/A,FALSE,"ProdAssump"}</definedName>
    <definedName name="wrn.ProdAssump3_2000_2009." localSheetId="28" hidden="1">{"ProdAssump3_2000_2009",#N/A,FALSE,"ProdAssump"}</definedName>
    <definedName name="wrn.ProdAssump3_2000_2009." localSheetId="33" hidden="1">{"ProdAssump3_2000_2009",#N/A,FALSE,"ProdAssump"}</definedName>
    <definedName name="wrn.ProdAssump3_2000_2009." localSheetId="32" hidden="1">{"ProdAssump3_2000_2009",#N/A,FALSE,"ProdAssump"}</definedName>
    <definedName name="wrn.ProdAssump3_2000_2009." localSheetId="7" hidden="1">{"ProdAssump3_2000_2009",#N/A,FALSE,"ProdAssump"}</definedName>
    <definedName name="wrn.ProdAssump3_2000_2009." localSheetId="29" hidden="1">{"ProdAssump3_2000_2009",#N/A,FALSE,"ProdAssump"}</definedName>
    <definedName name="wrn.ProdAssump3_2000_2009." localSheetId="1" hidden="1">{"ProdAssump3_2000_2009",#N/A,FALSE,"ProdAssump"}</definedName>
    <definedName name="wrn.ProdAssump3_2000_2009." localSheetId="31" hidden="1">{"ProdAssump3_2000_2009",#N/A,FALSE,"ProdAssump"}</definedName>
    <definedName name="wrn.ProdAssump3_2000_2009." hidden="1">{"ProdAssump3_2000_2009",#N/A,FALSE,"ProdAssump"}</definedName>
    <definedName name="wrn.ProdAssump4_2010_2019." localSheetId="12" hidden="1">{"ProdAssump4_2010_2019",#N/A,FALSE,"ProdAssump"}</definedName>
    <definedName name="wrn.ProdAssump4_2010_2019." localSheetId="18" hidden="1">{"ProdAssump4_2010_2019",#N/A,FALSE,"ProdAssump"}</definedName>
    <definedName name="wrn.ProdAssump4_2010_2019." localSheetId="19" hidden="1">{"ProdAssump4_2010_2019",#N/A,FALSE,"ProdAssump"}</definedName>
    <definedName name="wrn.ProdAssump4_2010_2019." localSheetId="17" hidden="1">{"ProdAssump4_2010_2019",#N/A,FALSE,"ProdAssump"}</definedName>
    <definedName name="wrn.ProdAssump4_2010_2019." localSheetId="22" hidden="1">{"ProdAssump4_2010_2019",#N/A,FALSE,"ProdAssump"}</definedName>
    <definedName name="wrn.ProdAssump4_2010_2019." localSheetId="10" hidden="1">{"ProdAssump4_2010_2019",#N/A,FALSE,"ProdAssump"}</definedName>
    <definedName name="wrn.ProdAssump4_2010_2019." localSheetId="30" hidden="1">{"ProdAssump4_2010_2019",#N/A,FALSE,"ProdAssump"}</definedName>
    <definedName name="wrn.ProdAssump4_2010_2019." localSheetId="0" hidden="1">{"ProdAssump4_2010_2019",#N/A,FALSE,"ProdAssump"}</definedName>
    <definedName name="wrn.ProdAssump4_2010_2019." localSheetId="3" hidden="1">{"ProdAssump4_2010_2019",#N/A,FALSE,"ProdAssump"}</definedName>
    <definedName name="wrn.ProdAssump4_2010_2019." localSheetId="4" hidden="1">{"ProdAssump4_2010_2019",#N/A,FALSE,"ProdAssump"}</definedName>
    <definedName name="wrn.ProdAssump4_2010_2019." localSheetId="28" hidden="1">{"ProdAssump4_2010_2019",#N/A,FALSE,"ProdAssump"}</definedName>
    <definedName name="wrn.ProdAssump4_2010_2019." localSheetId="33" hidden="1">{"ProdAssump4_2010_2019",#N/A,FALSE,"ProdAssump"}</definedName>
    <definedName name="wrn.ProdAssump4_2010_2019." localSheetId="32" hidden="1">{"ProdAssump4_2010_2019",#N/A,FALSE,"ProdAssump"}</definedName>
    <definedName name="wrn.ProdAssump4_2010_2019." localSheetId="7" hidden="1">{"ProdAssump4_2010_2019",#N/A,FALSE,"ProdAssump"}</definedName>
    <definedName name="wrn.ProdAssump4_2010_2019." localSheetId="29" hidden="1">{"ProdAssump4_2010_2019",#N/A,FALSE,"ProdAssump"}</definedName>
    <definedName name="wrn.ProdAssump4_2010_2019." localSheetId="1" hidden="1">{"ProdAssump4_2010_2019",#N/A,FALSE,"ProdAssump"}</definedName>
    <definedName name="wrn.ProdAssump4_2010_2019." localSheetId="31" hidden="1">{"ProdAssump4_2010_2019",#N/A,FALSE,"ProdAssump"}</definedName>
    <definedName name="wrn.ProdAssump4_2010_2019." hidden="1">{"ProdAssump4_2010_2019",#N/A,FALSE,"ProdAssump"}</definedName>
    <definedName name="wrn.ProdAssump5_2000_2009." localSheetId="12" hidden="1">{"ProdAssump5_2000_2009",#N/A,FALSE,"ProdAssump"}</definedName>
    <definedName name="wrn.ProdAssump5_2000_2009." localSheetId="18" hidden="1">{"ProdAssump5_2000_2009",#N/A,FALSE,"ProdAssump"}</definedName>
    <definedName name="wrn.ProdAssump5_2000_2009." localSheetId="19" hidden="1">{"ProdAssump5_2000_2009",#N/A,FALSE,"ProdAssump"}</definedName>
    <definedName name="wrn.ProdAssump5_2000_2009." localSheetId="17" hidden="1">{"ProdAssump5_2000_2009",#N/A,FALSE,"ProdAssump"}</definedName>
    <definedName name="wrn.ProdAssump5_2000_2009." localSheetId="22" hidden="1">{"ProdAssump5_2000_2009",#N/A,FALSE,"ProdAssump"}</definedName>
    <definedName name="wrn.ProdAssump5_2000_2009." localSheetId="10" hidden="1">{"ProdAssump5_2000_2009",#N/A,FALSE,"ProdAssump"}</definedName>
    <definedName name="wrn.ProdAssump5_2000_2009." localSheetId="30" hidden="1">{"ProdAssump5_2000_2009",#N/A,FALSE,"ProdAssump"}</definedName>
    <definedName name="wrn.ProdAssump5_2000_2009." localSheetId="0" hidden="1">{"ProdAssump5_2000_2009",#N/A,FALSE,"ProdAssump"}</definedName>
    <definedName name="wrn.ProdAssump5_2000_2009." localSheetId="3" hidden="1">{"ProdAssump5_2000_2009",#N/A,FALSE,"ProdAssump"}</definedName>
    <definedName name="wrn.ProdAssump5_2000_2009." localSheetId="4" hidden="1">{"ProdAssump5_2000_2009",#N/A,FALSE,"ProdAssump"}</definedName>
    <definedName name="wrn.ProdAssump5_2000_2009." localSheetId="28" hidden="1">{"ProdAssump5_2000_2009",#N/A,FALSE,"ProdAssump"}</definedName>
    <definedName name="wrn.ProdAssump5_2000_2009." localSheetId="33" hidden="1">{"ProdAssump5_2000_2009",#N/A,FALSE,"ProdAssump"}</definedName>
    <definedName name="wrn.ProdAssump5_2000_2009." localSheetId="32" hidden="1">{"ProdAssump5_2000_2009",#N/A,FALSE,"ProdAssump"}</definedName>
    <definedName name="wrn.ProdAssump5_2000_2009." localSheetId="7" hidden="1">{"ProdAssump5_2000_2009",#N/A,FALSE,"ProdAssump"}</definedName>
    <definedName name="wrn.ProdAssump5_2000_2009." localSheetId="29" hidden="1">{"ProdAssump5_2000_2009",#N/A,FALSE,"ProdAssump"}</definedName>
    <definedName name="wrn.ProdAssump5_2000_2009." localSheetId="1" hidden="1">{"ProdAssump5_2000_2009",#N/A,FALSE,"ProdAssump"}</definedName>
    <definedName name="wrn.ProdAssump5_2000_2009." localSheetId="31" hidden="1">{"ProdAssump5_2000_2009",#N/A,FALSE,"ProdAssump"}</definedName>
    <definedName name="wrn.ProdAssump5_2000_2009." hidden="1">{"ProdAssump5_2000_2009",#N/A,FALSE,"ProdAssump"}</definedName>
    <definedName name="wrn.ProdAssump6_2010_2019." localSheetId="12" hidden="1">{"ProdAssump6_2010_2019",#N/A,FALSE,"ProdAssump"}</definedName>
    <definedName name="wrn.ProdAssump6_2010_2019." localSheetId="18" hidden="1">{"ProdAssump6_2010_2019",#N/A,FALSE,"ProdAssump"}</definedName>
    <definedName name="wrn.ProdAssump6_2010_2019." localSheetId="19" hidden="1">{"ProdAssump6_2010_2019",#N/A,FALSE,"ProdAssump"}</definedName>
    <definedName name="wrn.ProdAssump6_2010_2019." localSheetId="17" hidden="1">{"ProdAssump6_2010_2019",#N/A,FALSE,"ProdAssump"}</definedName>
    <definedName name="wrn.ProdAssump6_2010_2019." localSheetId="22" hidden="1">{"ProdAssump6_2010_2019",#N/A,FALSE,"ProdAssump"}</definedName>
    <definedName name="wrn.ProdAssump6_2010_2019." localSheetId="10" hidden="1">{"ProdAssump6_2010_2019",#N/A,FALSE,"ProdAssump"}</definedName>
    <definedName name="wrn.ProdAssump6_2010_2019." localSheetId="30" hidden="1">{"ProdAssump6_2010_2019",#N/A,FALSE,"ProdAssump"}</definedName>
    <definedName name="wrn.ProdAssump6_2010_2019." localSheetId="0" hidden="1">{"ProdAssump6_2010_2019",#N/A,FALSE,"ProdAssump"}</definedName>
    <definedName name="wrn.ProdAssump6_2010_2019." localSheetId="3" hidden="1">{"ProdAssump6_2010_2019",#N/A,FALSE,"ProdAssump"}</definedName>
    <definedName name="wrn.ProdAssump6_2010_2019." localSheetId="4" hidden="1">{"ProdAssump6_2010_2019",#N/A,FALSE,"ProdAssump"}</definedName>
    <definedName name="wrn.ProdAssump6_2010_2019." localSheetId="28" hidden="1">{"ProdAssump6_2010_2019",#N/A,FALSE,"ProdAssump"}</definedName>
    <definedName name="wrn.ProdAssump6_2010_2019." localSheetId="33" hidden="1">{"ProdAssump6_2010_2019",#N/A,FALSE,"ProdAssump"}</definedName>
    <definedName name="wrn.ProdAssump6_2010_2019." localSheetId="32" hidden="1">{"ProdAssump6_2010_2019",#N/A,FALSE,"ProdAssump"}</definedName>
    <definedName name="wrn.ProdAssump6_2010_2019." localSheetId="7" hidden="1">{"ProdAssump6_2010_2019",#N/A,FALSE,"ProdAssump"}</definedName>
    <definedName name="wrn.ProdAssump6_2010_2019." localSheetId="29" hidden="1">{"ProdAssump6_2010_2019",#N/A,FALSE,"ProdAssump"}</definedName>
    <definedName name="wrn.ProdAssump6_2010_2019." localSheetId="1" hidden="1">{"ProdAssump6_2010_2019",#N/A,FALSE,"ProdAssump"}</definedName>
    <definedName name="wrn.ProdAssump6_2010_2019." localSheetId="31" hidden="1">{"ProdAssump6_2010_2019",#N/A,FALSE,"ProdAssump"}</definedName>
    <definedName name="wrn.ProdAssump6_2010_2019." hidden="1">{"ProdAssump6_2010_2019",#N/A,FALSE,"ProdAssump"}</definedName>
    <definedName name="wrn.ProdAssump7_2000_2009." localSheetId="12" hidden="1">{"ProdAssump7_2000_2009",#N/A,FALSE,"ProdAssump"}</definedName>
    <definedName name="wrn.ProdAssump7_2000_2009." localSheetId="18" hidden="1">{"ProdAssump7_2000_2009",#N/A,FALSE,"ProdAssump"}</definedName>
    <definedName name="wrn.ProdAssump7_2000_2009." localSheetId="19" hidden="1">{"ProdAssump7_2000_2009",#N/A,FALSE,"ProdAssump"}</definedName>
    <definedName name="wrn.ProdAssump7_2000_2009." localSheetId="17" hidden="1">{"ProdAssump7_2000_2009",#N/A,FALSE,"ProdAssump"}</definedName>
    <definedName name="wrn.ProdAssump7_2000_2009." localSheetId="22" hidden="1">{"ProdAssump7_2000_2009",#N/A,FALSE,"ProdAssump"}</definedName>
    <definedName name="wrn.ProdAssump7_2000_2009." localSheetId="10" hidden="1">{"ProdAssump7_2000_2009",#N/A,FALSE,"ProdAssump"}</definedName>
    <definedName name="wrn.ProdAssump7_2000_2009." localSheetId="30" hidden="1">{"ProdAssump7_2000_2009",#N/A,FALSE,"ProdAssump"}</definedName>
    <definedName name="wrn.ProdAssump7_2000_2009." localSheetId="0" hidden="1">{"ProdAssump7_2000_2009",#N/A,FALSE,"ProdAssump"}</definedName>
    <definedName name="wrn.ProdAssump7_2000_2009." localSheetId="3" hidden="1">{"ProdAssump7_2000_2009",#N/A,FALSE,"ProdAssump"}</definedName>
    <definedName name="wrn.ProdAssump7_2000_2009." localSheetId="4" hidden="1">{"ProdAssump7_2000_2009",#N/A,FALSE,"ProdAssump"}</definedName>
    <definedName name="wrn.ProdAssump7_2000_2009." localSheetId="28" hidden="1">{"ProdAssump7_2000_2009",#N/A,FALSE,"ProdAssump"}</definedName>
    <definedName name="wrn.ProdAssump7_2000_2009." localSheetId="33" hidden="1">{"ProdAssump7_2000_2009",#N/A,FALSE,"ProdAssump"}</definedName>
    <definedName name="wrn.ProdAssump7_2000_2009." localSheetId="32" hidden="1">{"ProdAssump7_2000_2009",#N/A,FALSE,"ProdAssump"}</definedName>
    <definedName name="wrn.ProdAssump7_2000_2009." localSheetId="7" hidden="1">{"ProdAssump7_2000_2009",#N/A,FALSE,"ProdAssump"}</definedName>
    <definedName name="wrn.ProdAssump7_2000_2009." localSheetId="29" hidden="1">{"ProdAssump7_2000_2009",#N/A,FALSE,"ProdAssump"}</definedName>
    <definedName name="wrn.ProdAssump7_2000_2009." localSheetId="1" hidden="1">{"ProdAssump7_2000_2009",#N/A,FALSE,"ProdAssump"}</definedName>
    <definedName name="wrn.ProdAssump7_2000_2009." localSheetId="31" hidden="1">{"ProdAssump7_2000_2009",#N/A,FALSE,"ProdAssump"}</definedName>
    <definedName name="wrn.ProdAssump7_2000_2009." hidden="1">{"ProdAssump7_2000_2009",#N/A,FALSE,"ProdAssump"}</definedName>
    <definedName name="wrn.ProdAssump8_2010_2019." localSheetId="12" hidden="1">{"ProdAssump8_2010_2019",#N/A,FALSE,"ProdAssump"}</definedName>
    <definedName name="wrn.ProdAssump8_2010_2019." localSheetId="18" hidden="1">{"ProdAssump8_2010_2019",#N/A,FALSE,"ProdAssump"}</definedName>
    <definedName name="wrn.ProdAssump8_2010_2019." localSheetId="19" hidden="1">{"ProdAssump8_2010_2019",#N/A,FALSE,"ProdAssump"}</definedName>
    <definedName name="wrn.ProdAssump8_2010_2019." localSheetId="17" hidden="1">{"ProdAssump8_2010_2019",#N/A,FALSE,"ProdAssump"}</definedName>
    <definedName name="wrn.ProdAssump8_2010_2019." localSheetId="22" hidden="1">{"ProdAssump8_2010_2019",#N/A,FALSE,"ProdAssump"}</definedName>
    <definedName name="wrn.ProdAssump8_2010_2019." localSheetId="10" hidden="1">{"ProdAssump8_2010_2019",#N/A,FALSE,"ProdAssump"}</definedName>
    <definedName name="wrn.ProdAssump8_2010_2019." localSheetId="30" hidden="1">{"ProdAssump8_2010_2019",#N/A,FALSE,"ProdAssump"}</definedName>
    <definedName name="wrn.ProdAssump8_2010_2019." localSheetId="0" hidden="1">{"ProdAssump8_2010_2019",#N/A,FALSE,"ProdAssump"}</definedName>
    <definedName name="wrn.ProdAssump8_2010_2019." localSheetId="3" hidden="1">{"ProdAssump8_2010_2019",#N/A,FALSE,"ProdAssump"}</definedName>
    <definedName name="wrn.ProdAssump8_2010_2019." localSheetId="4" hidden="1">{"ProdAssump8_2010_2019",#N/A,FALSE,"ProdAssump"}</definedName>
    <definedName name="wrn.ProdAssump8_2010_2019." localSheetId="28" hidden="1">{"ProdAssump8_2010_2019",#N/A,FALSE,"ProdAssump"}</definedName>
    <definedName name="wrn.ProdAssump8_2010_2019." localSheetId="33" hidden="1">{"ProdAssump8_2010_2019",#N/A,FALSE,"ProdAssump"}</definedName>
    <definedName name="wrn.ProdAssump8_2010_2019." localSheetId="32" hidden="1">{"ProdAssump8_2010_2019",#N/A,FALSE,"ProdAssump"}</definedName>
    <definedName name="wrn.ProdAssump8_2010_2019." localSheetId="7" hidden="1">{"ProdAssump8_2010_2019",#N/A,FALSE,"ProdAssump"}</definedName>
    <definedName name="wrn.ProdAssump8_2010_2019." localSheetId="29" hidden="1">{"ProdAssump8_2010_2019",#N/A,FALSE,"ProdAssump"}</definedName>
    <definedName name="wrn.ProdAssump8_2010_2019." localSheetId="1" hidden="1">{"ProdAssump8_2010_2019",#N/A,FALSE,"ProdAssump"}</definedName>
    <definedName name="wrn.ProdAssump8_2010_2019." localSheetId="31" hidden="1">{"ProdAssump8_2010_2019",#N/A,FALSE,"ProdAssump"}</definedName>
    <definedName name="wrn.ProdAssump8_2010_2019." hidden="1">{"ProdAssump8_2010_2019",#N/A,FALSE,"ProdAssump"}</definedName>
    <definedName name="wrn.ProdAssump9_2009_2009." localSheetId="12" hidden="1">{"ProdAssump9_2000_2009",#N/A,FALSE,"ProdAssump"}</definedName>
    <definedName name="wrn.ProdAssump9_2009_2009." localSheetId="18" hidden="1">{"ProdAssump9_2000_2009",#N/A,FALSE,"ProdAssump"}</definedName>
    <definedName name="wrn.ProdAssump9_2009_2009." localSheetId="19" hidden="1">{"ProdAssump9_2000_2009",#N/A,FALSE,"ProdAssump"}</definedName>
    <definedName name="wrn.ProdAssump9_2009_2009." localSheetId="17" hidden="1">{"ProdAssump9_2000_2009",#N/A,FALSE,"ProdAssump"}</definedName>
    <definedName name="wrn.ProdAssump9_2009_2009." localSheetId="22" hidden="1">{"ProdAssump9_2000_2009",#N/A,FALSE,"ProdAssump"}</definedName>
    <definedName name="wrn.ProdAssump9_2009_2009." localSheetId="10" hidden="1">{"ProdAssump9_2000_2009",#N/A,FALSE,"ProdAssump"}</definedName>
    <definedName name="wrn.ProdAssump9_2009_2009." localSheetId="30" hidden="1">{"ProdAssump9_2000_2009",#N/A,FALSE,"ProdAssump"}</definedName>
    <definedName name="wrn.ProdAssump9_2009_2009." localSheetId="0" hidden="1">{"ProdAssump9_2000_2009",#N/A,FALSE,"ProdAssump"}</definedName>
    <definedName name="wrn.ProdAssump9_2009_2009." localSheetId="3" hidden="1">{"ProdAssump9_2000_2009",#N/A,FALSE,"ProdAssump"}</definedName>
    <definedName name="wrn.ProdAssump9_2009_2009." localSheetId="4" hidden="1">{"ProdAssump9_2000_2009",#N/A,FALSE,"ProdAssump"}</definedName>
    <definedName name="wrn.ProdAssump9_2009_2009." localSheetId="28" hidden="1">{"ProdAssump9_2000_2009",#N/A,FALSE,"ProdAssump"}</definedName>
    <definedName name="wrn.ProdAssump9_2009_2009." localSheetId="33" hidden="1">{"ProdAssump9_2000_2009",#N/A,FALSE,"ProdAssump"}</definedName>
    <definedName name="wrn.ProdAssump9_2009_2009." localSheetId="32" hidden="1">{"ProdAssump9_2000_2009",#N/A,FALSE,"ProdAssump"}</definedName>
    <definedName name="wrn.ProdAssump9_2009_2009." localSheetId="7" hidden="1">{"ProdAssump9_2000_2009",#N/A,FALSE,"ProdAssump"}</definedName>
    <definedName name="wrn.ProdAssump9_2009_2009." localSheetId="29" hidden="1">{"ProdAssump9_2000_2009",#N/A,FALSE,"ProdAssump"}</definedName>
    <definedName name="wrn.ProdAssump9_2009_2009." localSheetId="1" hidden="1">{"ProdAssump9_2000_2009",#N/A,FALSE,"ProdAssump"}</definedName>
    <definedName name="wrn.ProdAssump9_2009_2009." localSheetId="31" hidden="1">{"ProdAssump9_2000_2009",#N/A,FALSE,"ProdAssump"}</definedName>
    <definedName name="wrn.ProdAssump9_2009_2009." hidden="1">{"ProdAssump9_2000_2009",#N/A,FALSE,"ProdAssump"}</definedName>
    <definedName name="wrn.ProdAssumpTotal2000_2009." localSheetId="12" hidden="1">{"ProdAssumpTotal1",#N/A,FALSE,"ProdAssump"}</definedName>
    <definedName name="wrn.ProdAssumpTotal2000_2009." localSheetId="18" hidden="1">{"ProdAssumpTotal1",#N/A,FALSE,"ProdAssump"}</definedName>
    <definedName name="wrn.ProdAssumpTotal2000_2009." localSheetId="19" hidden="1">{"ProdAssumpTotal1",#N/A,FALSE,"ProdAssump"}</definedName>
    <definedName name="wrn.ProdAssumpTotal2000_2009." localSheetId="17" hidden="1">{"ProdAssumpTotal1",#N/A,FALSE,"ProdAssump"}</definedName>
    <definedName name="wrn.ProdAssumpTotal2000_2009." localSheetId="22" hidden="1">{"ProdAssumpTotal1",#N/A,FALSE,"ProdAssump"}</definedName>
    <definedName name="wrn.ProdAssumpTotal2000_2009." localSheetId="10" hidden="1">{"ProdAssumpTotal1",#N/A,FALSE,"ProdAssump"}</definedName>
    <definedName name="wrn.ProdAssumpTotal2000_2009." localSheetId="30" hidden="1">{"ProdAssumpTotal1",#N/A,FALSE,"ProdAssump"}</definedName>
    <definedName name="wrn.ProdAssumpTotal2000_2009." localSheetId="0" hidden="1">{"ProdAssumpTotal1",#N/A,FALSE,"ProdAssump"}</definedName>
    <definedName name="wrn.ProdAssumpTotal2000_2009." localSheetId="3" hidden="1">{"ProdAssumpTotal1",#N/A,FALSE,"ProdAssump"}</definedName>
    <definedName name="wrn.ProdAssumpTotal2000_2009." localSheetId="4" hidden="1">{"ProdAssumpTotal1",#N/A,FALSE,"ProdAssump"}</definedName>
    <definedName name="wrn.ProdAssumpTotal2000_2009." localSheetId="28" hidden="1">{"ProdAssumpTotal1",#N/A,FALSE,"ProdAssump"}</definedName>
    <definedName name="wrn.ProdAssumpTotal2000_2009." localSheetId="33" hidden="1">{"ProdAssumpTotal1",#N/A,FALSE,"ProdAssump"}</definedName>
    <definedName name="wrn.ProdAssumpTotal2000_2009." localSheetId="32" hidden="1">{"ProdAssumpTotal1",#N/A,FALSE,"ProdAssump"}</definedName>
    <definedName name="wrn.ProdAssumpTotal2000_2009." localSheetId="7" hidden="1">{"ProdAssumpTotal1",#N/A,FALSE,"ProdAssump"}</definedName>
    <definedName name="wrn.ProdAssumpTotal2000_2009." localSheetId="29" hidden="1">{"ProdAssumpTotal1",#N/A,FALSE,"ProdAssump"}</definedName>
    <definedName name="wrn.ProdAssumpTotal2000_2009." localSheetId="1" hidden="1">{"ProdAssumpTotal1",#N/A,FALSE,"ProdAssump"}</definedName>
    <definedName name="wrn.ProdAssumpTotal2000_2009." localSheetId="31" hidden="1">{"ProdAssumpTotal1",#N/A,FALSE,"ProdAssump"}</definedName>
    <definedName name="wrn.ProdAssumpTotal2000_2009." hidden="1">{"ProdAssumpTotal1",#N/A,FALSE,"ProdAssump"}</definedName>
    <definedName name="wrn.ProdAssumpTotal2010_2019." localSheetId="12" hidden="1">{"ProdAssumpTotal2",#N/A,FALSE,"ProdAssump"}</definedName>
    <definedName name="wrn.ProdAssumpTotal2010_2019." localSheetId="18" hidden="1">{"ProdAssumpTotal2",#N/A,FALSE,"ProdAssump"}</definedName>
    <definedName name="wrn.ProdAssumpTotal2010_2019." localSheetId="19" hidden="1">{"ProdAssumpTotal2",#N/A,FALSE,"ProdAssump"}</definedName>
    <definedName name="wrn.ProdAssumpTotal2010_2019." localSheetId="17" hidden="1">{"ProdAssumpTotal2",#N/A,FALSE,"ProdAssump"}</definedName>
    <definedName name="wrn.ProdAssumpTotal2010_2019." localSheetId="22" hidden="1">{"ProdAssumpTotal2",#N/A,FALSE,"ProdAssump"}</definedName>
    <definedName name="wrn.ProdAssumpTotal2010_2019." localSheetId="10" hidden="1">{"ProdAssumpTotal2",#N/A,FALSE,"ProdAssump"}</definedName>
    <definedName name="wrn.ProdAssumpTotal2010_2019." localSheetId="30" hidden="1">{"ProdAssumpTotal2",#N/A,FALSE,"ProdAssump"}</definedName>
    <definedName name="wrn.ProdAssumpTotal2010_2019." localSheetId="0" hidden="1">{"ProdAssumpTotal2",#N/A,FALSE,"ProdAssump"}</definedName>
    <definedName name="wrn.ProdAssumpTotal2010_2019." localSheetId="3" hidden="1">{"ProdAssumpTotal2",#N/A,FALSE,"ProdAssump"}</definedName>
    <definedName name="wrn.ProdAssumpTotal2010_2019." localSheetId="4" hidden="1">{"ProdAssumpTotal2",#N/A,FALSE,"ProdAssump"}</definedName>
    <definedName name="wrn.ProdAssumpTotal2010_2019." localSheetId="28" hidden="1">{"ProdAssumpTotal2",#N/A,FALSE,"ProdAssump"}</definedName>
    <definedName name="wrn.ProdAssumpTotal2010_2019." localSheetId="33" hidden="1">{"ProdAssumpTotal2",#N/A,FALSE,"ProdAssump"}</definedName>
    <definedName name="wrn.ProdAssumpTotal2010_2019." localSheetId="32" hidden="1">{"ProdAssumpTotal2",#N/A,FALSE,"ProdAssump"}</definedName>
    <definedName name="wrn.ProdAssumpTotal2010_2019." localSheetId="7" hidden="1">{"ProdAssumpTotal2",#N/A,FALSE,"ProdAssump"}</definedName>
    <definedName name="wrn.ProdAssumpTotal2010_2019." localSheetId="29" hidden="1">{"ProdAssumpTotal2",#N/A,FALSE,"ProdAssump"}</definedName>
    <definedName name="wrn.ProdAssumpTotal2010_2019." localSheetId="1" hidden="1">{"ProdAssumpTotal2",#N/A,FALSE,"ProdAssump"}</definedName>
    <definedName name="wrn.ProdAssumpTotal2010_2019." localSheetId="31" hidden="1">{"ProdAssumpTotal2",#N/A,FALSE,"ProdAssump"}</definedName>
    <definedName name="wrn.ProdAssumpTotal2010_2019." hidden="1">{"ProdAssumpTotal2",#N/A,FALSE,"ProdAssump"}</definedName>
    <definedName name="wrn.ProdQuantities1_2000_2009." localSheetId="12" hidden="1">{"ProdQuantities1_2000_2009",#N/A,FALSE,"ProdQuantities"}</definedName>
    <definedName name="wrn.ProdQuantities1_2000_2009." localSheetId="18" hidden="1">{"ProdQuantities1_2000_2009",#N/A,FALSE,"ProdQuantities"}</definedName>
    <definedName name="wrn.ProdQuantities1_2000_2009." localSheetId="19" hidden="1">{"ProdQuantities1_2000_2009",#N/A,FALSE,"ProdQuantities"}</definedName>
    <definedName name="wrn.ProdQuantities1_2000_2009." localSheetId="17" hidden="1">{"ProdQuantities1_2000_2009",#N/A,FALSE,"ProdQuantities"}</definedName>
    <definedName name="wrn.ProdQuantities1_2000_2009." localSheetId="22" hidden="1">{"ProdQuantities1_2000_2009",#N/A,FALSE,"ProdQuantities"}</definedName>
    <definedName name="wrn.ProdQuantities1_2000_2009." localSheetId="10" hidden="1">{"ProdQuantities1_2000_2009",#N/A,FALSE,"ProdQuantities"}</definedName>
    <definedName name="wrn.ProdQuantities1_2000_2009." localSheetId="30" hidden="1">{"ProdQuantities1_2000_2009",#N/A,FALSE,"ProdQuantities"}</definedName>
    <definedName name="wrn.ProdQuantities1_2000_2009." localSheetId="0" hidden="1">{"ProdQuantities1_2000_2009",#N/A,FALSE,"ProdQuantities"}</definedName>
    <definedName name="wrn.ProdQuantities1_2000_2009." localSheetId="3" hidden="1">{"ProdQuantities1_2000_2009",#N/A,FALSE,"ProdQuantities"}</definedName>
    <definedName name="wrn.ProdQuantities1_2000_2009." localSheetId="4" hidden="1">{"ProdQuantities1_2000_2009",#N/A,FALSE,"ProdQuantities"}</definedName>
    <definedName name="wrn.ProdQuantities1_2000_2009." localSheetId="28" hidden="1">{"ProdQuantities1_2000_2009",#N/A,FALSE,"ProdQuantities"}</definedName>
    <definedName name="wrn.ProdQuantities1_2000_2009." localSheetId="33" hidden="1">{"ProdQuantities1_2000_2009",#N/A,FALSE,"ProdQuantities"}</definedName>
    <definedName name="wrn.ProdQuantities1_2000_2009." localSheetId="32" hidden="1">{"ProdQuantities1_2000_2009",#N/A,FALSE,"ProdQuantities"}</definedName>
    <definedName name="wrn.ProdQuantities1_2000_2009." localSheetId="7" hidden="1">{"ProdQuantities1_2000_2009",#N/A,FALSE,"ProdQuantities"}</definedName>
    <definedName name="wrn.ProdQuantities1_2000_2009." localSheetId="29" hidden="1">{"ProdQuantities1_2000_2009",#N/A,FALSE,"ProdQuantities"}</definedName>
    <definedName name="wrn.ProdQuantities1_2000_2009." localSheetId="1" hidden="1">{"ProdQuantities1_2000_2009",#N/A,FALSE,"ProdQuantities"}</definedName>
    <definedName name="wrn.ProdQuantities1_2000_2009." localSheetId="31" hidden="1">{"ProdQuantities1_2000_2009",#N/A,FALSE,"ProdQuantities"}</definedName>
    <definedName name="wrn.ProdQuantities1_2000_2009." hidden="1">{"ProdQuantities1_2000_2009",#N/A,FALSE,"ProdQuantities"}</definedName>
    <definedName name="wrn.ProdQuantities10_2010_2019." localSheetId="12" hidden="1">{"ProdQuantities10_2010_2019",#N/A,FALSE,"ProdQuantities"}</definedName>
    <definedName name="wrn.ProdQuantities10_2010_2019." localSheetId="18" hidden="1">{"ProdQuantities10_2010_2019",#N/A,FALSE,"ProdQuantities"}</definedName>
    <definedName name="wrn.ProdQuantities10_2010_2019." localSheetId="19" hidden="1">{"ProdQuantities10_2010_2019",#N/A,FALSE,"ProdQuantities"}</definedName>
    <definedName name="wrn.ProdQuantities10_2010_2019." localSheetId="17" hidden="1">{"ProdQuantities10_2010_2019",#N/A,FALSE,"ProdQuantities"}</definedName>
    <definedName name="wrn.ProdQuantities10_2010_2019." localSheetId="22" hidden="1">{"ProdQuantities10_2010_2019",#N/A,FALSE,"ProdQuantities"}</definedName>
    <definedName name="wrn.ProdQuantities10_2010_2019." localSheetId="10" hidden="1">{"ProdQuantities10_2010_2019",#N/A,FALSE,"ProdQuantities"}</definedName>
    <definedName name="wrn.ProdQuantities10_2010_2019." localSheetId="30" hidden="1">{"ProdQuantities10_2010_2019",#N/A,FALSE,"ProdQuantities"}</definedName>
    <definedName name="wrn.ProdQuantities10_2010_2019." localSheetId="0" hidden="1">{"ProdQuantities10_2010_2019",#N/A,FALSE,"ProdQuantities"}</definedName>
    <definedName name="wrn.ProdQuantities10_2010_2019." localSheetId="3" hidden="1">{"ProdQuantities10_2010_2019",#N/A,FALSE,"ProdQuantities"}</definedName>
    <definedName name="wrn.ProdQuantities10_2010_2019." localSheetId="4" hidden="1">{"ProdQuantities10_2010_2019",#N/A,FALSE,"ProdQuantities"}</definedName>
    <definedName name="wrn.ProdQuantities10_2010_2019." localSheetId="28" hidden="1">{"ProdQuantities10_2010_2019",#N/A,FALSE,"ProdQuantities"}</definedName>
    <definedName name="wrn.ProdQuantities10_2010_2019." localSheetId="33" hidden="1">{"ProdQuantities10_2010_2019",#N/A,FALSE,"ProdQuantities"}</definedName>
    <definedName name="wrn.ProdQuantities10_2010_2019." localSheetId="32" hidden="1">{"ProdQuantities10_2010_2019",#N/A,FALSE,"ProdQuantities"}</definedName>
    <definedName name="wrn.ProdQuantities10_2010_2019." localSheetId="7" hidden="1">{"ProdQuantities10_2010_2019",#N/A,FALSE,"ProdQuantities"}</definedName>
    <definedName name="wrn.ProdQuantities10_2010_2019." localSheetId="29" hidden="1">{"ProdQuantities10_2010_2019",#N/A,FALSE,"ProdQuantities"}</definedName>
    <definedName name="wrn.ProdQuantities10_2010_2019." localSheetId="1" hidden="1">{"ProdQuantities10_2010_2019",#N/A,FALSE,"ProdQuantities"}</definedName>
    <definedName name="wrn.ProdQuantities10_2010_2019." localSheetId="31" hidden="1">{"ProdQuantities10_2010_2019",#N/A,FALSE,"ProdQuantities"}</definedName>
    <definedName name="wrn.ProdQuantities10_2010_2019." hidden="1">{"ProdQuantities10_2010_2019",#N/A,FALSE,"ProdQuantities"}</definedName>
    <definedName name="wrn.ProdQuantities11_2000_2009." localSheetId="12" hidden="1">{"ProdQuantities11_2000_2009",#N/A,FALSE,"ProdQuantities"}</definedName>
    <definedName name="wrn.ProdQuantities11_2000_2009." localSheetId="18" hidden="1">{"ProdQuantities11_2000_2009",#N/A,FALSE,"ProdQuantities"}</definedName>
    <definedName name="wrn.ProdQuantities11_2000_2009." localSheetId="19" hidden="1">{"ProdQuantities11_2000_2009",#N/A,FALSE,"ProdQuantities"}</definedName>
    <definedName name="wrn.ProdQuantities11_2000_2009." localSheetId="17" hidden="1">{"ProdQuantities11_2000_2009",#N/A,FALSE,"ProdQuantities"}</definedName>
    <definedName name="wrn.ProdQuantities11_2000_2009." localSheetId="22" hidden="1">{"ProdQuantities11_2000_2009",#N/A,FALSE,"ProdQuantities"}</definedName>
    <definedName name="wrn.ProdQuantities11_2000_2009." localSheetId="10" hidden="1">{"ProdQuantities11_2000_2009",#N/A,FALSE,"ProdQuantities"}</definedName>
    <definedName name="wrn.ProdQuantities11_2000_2009." localSheetId="30" hidden="1">{"ProdQuantities11_2000_2009",#N/A,FALSE,"ProdQuantities"}</definedName>
    <definedName name="wrn.ProdQuantities11_2000_2009." localSheetId="0" hidden="1">{"ProdQuantities11_2000_2009",#N/A,FALSE,"ProdQuantities"}</definedName>
    <definedName name="wrn.ProdQuantities11_2000_2009." localSheetId="3" hidden="1">{"ProdQuantities11_2000_2009",#N/A,FALSE,"ProdQuantities"}</definedName>
    <definedName name="wrn.ProdQuantities11_2000_2009." localSheetId="4" hidden="1">{"ProdQuantities11_2000_2009",#N/A,FALSE,"ProdQuantities"}</definedName>
    <definedName name="wrn.ProdQuantities11_2000_2009." localSheetId="28" hidden="1">{"ProdQuantities11_2000_2009",#N/A,FALSE,"ProdQuantities"}</definedName>
    <definedName name="wrn.ProdQuantities11_2000_2009." localSheetId="33" hidden="1">{"ProdQuantities11_2000_2009",#N/A,FALSE,"ProdQuantities"}</definedName>
    <definedName name="wrn.ProdQuantities11_2000_2009." localSheetId="32" hidden="1">{"ProdQuantities11_2000_2009",#N/A,FALSE,"ProdQuantities"}</definedName>
    <definedName name="wrn.ProdQuantities11_2000_2009." localSheetId="7" hidden="1">{"ProdQuantities11_2000_2009",#N/A,FALSE,"ProdQuantities"}</definedName>
    <definedName name="wrn.ProdQuantities11_2000_2009." localSheetId="29" hidden="1">{"ProdQuantities11_2000_2009",#N/A,FALSE,"ProdQuantities"}</definedName>
    <definedName name="wrn.ProdQuantities11_2000_2009." localSheetId="1" hidden="1">{"ProdQuantities11_2000_2009",#N/A,FALSE,"ProdQuantities"}</definedName>
    <definedName name="wrn.ProdQuantities11_2000_2009." localSheetId="31" hidden="1">{"ProdQuantities11_2000_2009",#N/A,FALSE,"ProdQuantities"}</definedName>
    <definedName name="wrn.ProdQuantities11_2000_2009." hidden="1">{"ProdQuantities11_2000_2009",#N/A,FALSE,"ProdQuantities"}</definedName>
    <definedName name="wrn.ProdQuantities12_2010_2019." localSheetId="12" hidden="1">{"ProdQuantities12_2010_2019",#N/A,FALSE,"ProdQuantities"}</definedName>
    <definedName name="wrn.ProdQuantities12_2010_2019." localSheetId="18" hidden="1">{"ProdQuantities12_2010_2019",#N/A,FALSE,"ProdQuantities"}</definedName>
    <definedName name="wrn.ProdQuantities12_2010_2019." localSheetId="19" hidden="1">{"ProdQuantities12_2010_2019",#N/A,FALSE,"ProdQuantities"}</definedName>
    <definedName name="wrn.ProdQuantities12_2010_2019." localSheetId="17" hidden="1">{"ProdQuantities12_2010_2019",#N/A,FALSE,"ProdQuantities"}</definedName>
    <definedName name="wrn.ProdQuantities12_2010_2019." localSheetId="22" hidden="1">{"ProdQuantities12_2010_2019",#N/A,FALSE,"ProdQuantities"}</definedName>
    <definedName name="wrn.ProdQuantities12_2010_2019." localSheetId="10" hidden="1">{"ProdQuantities12_2010_2019",#N/A,FALSE,"ProdQuantities"}</definedName>
    <definedName name="wrn.ProdQuantities12_2010_2019." localSheetId="30" hidden="1">{"ProdQuantities12_2010_2019",#N/A,FALSE,"ProdQuantities"}</definedName>
    <definedName name="wrn.ProdQuantities12_2010_2019." localSheetId="0" hidden="1">{"ProdQuantities12_2010_2019",#N/A,FALSE,"ProdQuantities"}</definedName>
    <definedName name="wrn.ProdQuantities12_2010_2019." localSheetId="3" hidden="1">{"ProdQuantities12_2010_2019",#N/A,FALSE,"ProdQuantities"}</definedName>
    <definedName name="wrn.ProdQuantities12_2010_2019." localSheetId="4" hidden="1">{"ProdQuantities12_2010_2019",#N/A,FALSE,"ProdQuantities"}</definedName>
    <definedName name="wrn.ProdQuantities12_2010_2019." localSheetId="28" hidden="1">{"ProdQuantities12_2010_2019",#N/A,FALSE,"ProdQuantities"}</definedName>
    <definedName name="wrn.ProdQuantities12_2010_2019." localSheetId="33" hidden="1">{"ProdQuantities12_2010_2019",#N/A,FALSE,"ProdQuantities"}</definedName>
    <definedName name="wrn.ProdQuantities12_2010_2019." localSheetId="32" hidden="1">{"ProdQuantities12_2010_2019",#N/A,FALSE,"ProdQuantities"}</definedName>
    <definedName name="wrn.ProdQuantities12_2010_2019." localSheetId="7" hidden="1">{"ProdQuantities12_2010_2019",#N/A,FALSE,"ProdQuantities"}</definedName>
    <definedName name="wrn.ProdQuantities12_2010_2019." localSheetId="29" hidden="1">{"ProdQuantities12_2010_2019",#N/A,FALSE,"ProdQuantities"}</definedName>
    <definedName name="wrn.ProdQuantities12_2010_2019." localSheetId="1" hidden="1">{"ProdQuantities12_2010_2019",#N/A,FALSE,"ProdQuantities"}</definedName>
    <definedName name="wrn.ProdQuantities12_2010_2019." localSheetId="31" hidden="1">{"ProdQuantities12_2010_2019",#N/A,FALSE,"ProdQuantities"}</definedName>
    <definedName name="wrn.ProdQuantities12_2010_2019." hidden="1">{"ProdQuantities12_2010_2019",#N/A,FALSE,"ProdQuantities"}</definedName>
    <definedName name="wrn.ProdQuantities2_2010_2019." localSheetId="12" hidden="1">{"ProdQuantities2_2010_2019",#N/A,FALSE,"ProdQuantities"}</definedName>
    <definedName name="wrn.ProdQuantities2_2010_2019." localSheetId="18" hidden="1">{"ProdQuantities2_2010_2019",#N/A,FALSE,"ProdQuantities"}</definedName>
    <definedName name="wrn.ProdQuantities2_2010_2019." localSheetId="19" hidden="1">{"ProdQuantities2_2010_2019",#N/A,FALSE,"ProdQuantities"}</definedName>
    <definedName name="wrn.ProdQuantities2_2010_2019." localSheetId="17" hidden="1">{"ProdQuantities2_2010_2019",#N/A,FALSE,"ProdQuantities"}</definedName>
    <definedName name="wrn.ProdQuantities2_2010_2019." localSheetId="22" hidden="1">{"ProdQuantities2_2010_2019",#N/A,FALSE,"ProdQuantities"}</definedName>
    <definedName name="wrn.ProdQuantities2_2010_2019." localSheetId="10" hidden="1">{"ProdQuantities2_2010_2019",#N/A,FALSE,"ProdQuantities"}</definedName>
    <definedName name="wrn.ProdQuantities2_2010_2019." localSheetId="30" hidden="1">{"ProdQuantities2_2010_2019",#N/A,FALSE,"ProdQuantities"}</definedName>
    <definedName name="wrn.ProdQuantities2_2010_2019." localSheetId="0" hidden="1">{"ProdQuantities2_2010_2019",#N/A,FALSE,"ProdQuantities"}</definedName>
    <definedName name="wrn.ProdQuantities2_2010_2019." localSheetId="3" hidden="1">{"ProdQuantities2_2010_2019",#N/A,FALSE,"ProdQuantities"}</definedName>
    <definedName name="wrn.ProdQuantities2_2010_2019." localSheetId="4" hidden="1">{"ProdQuantities2_2010_2019",#N/A,FALSE,"ProdQuantities"}</definedName>
    <definedName name="wrn.ProdQuantities2_2010_2019." localSheetId="28" hidden="1">{"ProdQuantities2_2010_2019",#N/A,FALSE,"ProdQuantities"}</definedName>
    <definedName name="wrn.ProdQuantities2_2010_2019." localSheetId="33" hidden="1">{"ProdQuantities2_2010_2019",#N/A,FALSE,"ProdQuantities"}</definedName>
    <definedName name="wrn.ProdQuantities2_2010_2019." localSheetId="32" hidden="1">{"ProdQuantities2_2010_2019",#N/A,FALSE,"ProdQuantities"}</definedName>
    <definedName name="wrn.ProdQuantities2_2010_2019." localSheetId="7" hidden="1">{"ProdQuantities2_2010_2019",#N/A,FALSE,"ProdQuantities"}</definedName>
    <definedName name="wrn.ProdQuantities2_2010_2019." localSheetId="29" hidden="1">{"ProdQuantities2_2010_2019",#N/A,FALSE,"ProdQuantities"}</definedName>
    <definedName name="wrn.ProdQuantities2_2010_2019." localSheetId="1" hidden="1">{"ProdQuantities2_2010_2019",#N/A,FALSE,"ProdQuantities"}</definedName>
    <definedName name="wrn.ProdQuantities2_2010_2019." localSheetId="31" hidden="1">{"ProdQuantities2_2010_2019",#N/A,FALSE,"ProdQuantities"}</definedName>
    <definedName name="wrn.ProdQuantities2_2010_2019." hidden="1">{"ProdQuantities2_2010_2019",#N/A,FALSE,"ProdQuantities"}</definedName>
    <definedName name="wrn.ProdQuantities3_2000_2009." localSheetId="12" hidden="1">{"ProdQuantities3_2000_2009",#N/A,FALSE,"ProdQuantities"}</definedName>
    <definedName name="wrn.ProdQuantities3_2000_2009." localSheetId="18" hidden="1">{"ProdQuantities3_2000_2009",#N/A,FALSE,"ProdQuantities"}</definedName>
    <definedName name="wrn.ProdQuantities3_2000_2009." localSheetId="19" hidden="1">{"ProdQuantities3_2000_2009",#N/A,FALSE,"ProdQuantities"}</definedName>
    <definedName name="wrn.ProdQuantities3_2000_2009." localSheetId="17" hidden="1">{"ProdQuantities3_2000_2009",#N/A,FALSE,"ProdQuantities"}</definedName>
    <definedName name="wrn.ProdQuantities3_2000_2009." localSheetId="22" hidden="1">{"ProdQuantities3_2000_2009",#N/A,FALSE,"ProdQuantities"}</definedName>
    <definedName name="wrn.ProdQuantities3_2000_2009." localSheetId="10" hidden="1">{"ProdQuantities3_2000_2009",#N/A,FALSE,"ProdQuantities"}</definedName>
    <definedName name="wrn.ProdQuantities3_2000_2009." localSheetId="30" hidden="1">{"ProdQuantities3_2000_2009",#N/A,FALSE,"ProdQuantities"}</definedName>
    <definedName name="wrn.ProdQuantities3_2000_2009." localSheetId="0" hidden="1">{"ProdQuantities3_2000_2009",#N/A,FALSE,"ProdQuantities"}</definedName>
    <definedName name="wrn.ProdQuantities3_2000_2009." localSheetId="3" hidden="1">{"ProdQuantities3_2000_2009",#N/A,FALSE,"ProdQuantities"}</definedName>
    <definedName name="wrn.ProdQuantities3_2000_2009." localSheetId="4" hidden="1">{"ProdQuantities3_2000_2009",#N/A,FALSE,"ProdQuantities"}</definedName>
    <definedName name="wrn.ProdQuantities3_2000_2009." localSheetId="28" hidden="1">{"ProdQuantities3_2000_2009",#N/A,FALSE,"ProdQuantities"}</definedName>
    <definedName name="wrn.ProdQuantities3_2000_2009." localSheetId="33" hidden="1">{"ProdQuantities3_2000_2009",#N/A,FALSE,"ProdQuantities"}</definedName>
    <definedName name="wrn.ProdQuantities3_2000_2009." localSheetId="32" hidden="1">{"ProdQuantities3_2000_2009",#N/A,FALSE,"ProdQuantities"}</definedName>
    <definedName name="wrn.ProdQuantities3_2000_2009." localSheetId="7" hidden="1">{"ProdQuantities3_2000_2009",#N/A,FALSE,"ProdQuantities"}</definedName>
    <definedName name="wrn.ProdQuantities3_2000_2009." localSheetId="29" hidden="1">{"ProdQuantities3_2000_2009",#N/A,FALSE,"ProdQuantities"}</definedName>
    <definedName name="wrn.ProdQuantities3_2000_2009." localSheetId="1" hidden="1">{"ProdQuantities3_2000_2009",#N/A,FALSE,"ProdQuantities"}</definedName>
    <definedName name="wrn.ProdQuantities3_2000_2009." localSheetId="31" hidden="1">{"ProdQuantities3_2000_2009",#N/A,FALSE,"ProdQuantities"}</definedName>
    <definedName name="wrn.ProdQuantities3_2000_2009." hidden="1">{"ProdQuantities3_2000_2009",#N/A,FALSE,"ProdQuantities"}</definedName>
    <definedName name="wrn.ProdQuantities5_2000_2009." localSheetId="12" hidden="1">{"ProdQuantities5_2000_2009",#N/A,FALSE,"ProdQuantities"}</definedName>
    <definedName name="wrn.ProdQuantities5_2000_2009." localSheetId="18" hidden="1">{"ProdQuantities5_2000_2009",#N/A,FALSE,"ProdQuantities"}</definedName>
    <definedName name="wrn.ProdQuantities5_2000_2009." localSheetId="19" hidden="1">{"ProdQuantities5_2000_2009",#N/A,FALSE,"ProdQuantities"}</definedName>
    <definedName name="wrn.ProdQuantities5_2000_2009." localSheetId="17" hidden="1">{"ProdQuantities5_2000_2009",#N/A,FALSE,"ProdQuantities"}</definedName>
    <definedName name="wrn.ProdQuantities5_2000_2009." localSheetId="22" hidden="1">{"ProdQuantities5_2000_2009",#N/A,FALSE,"ProdQuantities"}</definedName>
    <definedName name="wrn.ProdQuantities5_2000_2009." localSheetId="10" hidden="1">{"ProdQuantities5_2000_2009",#N/A,FALSE,"ProdQuantities"}</definedName>
    <definedName name="wrn.ProdQuantities5_2000_2009." localSheetId="30" hidden="1">{"ProdQuantities5_2000_2009",#N/A,FALSE,"ProdQuantities"}</definedName>
    <definedName name="wrn.ProdQuantities5_2000_2009." localSheetId="0" hidden="1">{"ProdQuantities5_2000_2009",#N/A,FALSE,"ProdQuantities"}</definedName>
    <definedName name="wrn.ProdQuantities5_2000_2009." localSheetId="3" hidden="1">{"ProdQuantities5_2000_2009",#N/A,FALSE,"ProdQuantities"}</definedName>
    <definedName name="wrn.ProdQuantities5_2000_2009." localSheetId="4" hidden="1">{"ProdQuantities5_2000_2009",#N/A,FALSE,"ProdQuantities"}</definedName>
    <definedName name="wrn.ProdQuantities5_2000_2009." localSheetId="28" hidden="1">{"ProdQuantities5_2000_2009",#N/A,FALSE,"ProdQuantities"}</definedName>
    <definedName name="wrn.ProdQuantities5_2000_2009." localSheetId="33" hidden="1">{"ProdQuantities5_2000_2009",#N/A,FALSE,"ProdQuantities"}</definedName>
    <definedName name="wrn.ProdQuantities5_2000_2009." localSheetId="32" hidden="1">{"ProdQuantities5_2000_2009",#N/A,FALSE,"ProdQuantities"}</definedName>
    <definedName name="wrn.ProdQuantities5_2000_2009." localSheetId="7" hidden="1">{"ProdQuantities5_2000_2009",#N/A,FALSE,"ProdQuantities"}</definedName>
    <definedName name="wrn.ProdQuantities5_2000_2009." localSheetId="29" hidden="1">{"ProdQuantities5_2000_2009",#N/A,FALSE,"ProdQuantities"}</definedName>
    <definedName name="wrn.ProdQuantities5_2000_2009." localSheetId="1" hidden="1">{"ProdQuantities5_2000_2009",#N/A,FALSE,"ProdQuantities"}</definedName>
    <definedName name="wrn.ProdQuantities5_2000_2009." localSheetId="31" hidden="1">{"ProdQuantities5_2000_2009",#N/A,FALSE,"ProdQuantities"}</definedName>
    <definedName name="wrn.ProdQuantities5_2000_2009." hidden="1">{"ProdQuantities5_2000_2009",#N/A,FALSE,"ProdQuantities"}</definedName>
    <definedName name="wrn.ProdQuantities6_2000_2009." localSheetId="12" hidden="1">{"ProdQuantities6_2010_2019",#N/A,FALSE,"ProdQuantities"}</definedName>
    <definedName name="wrn.ProdQuantities6_2000_2009." localSheetId="18" hidden="1">{"ProdQuantities6_2010_2019",#N/A,FALSE,"ProdQuantities"}</definedName>
    <definedName name="wrn.ProdQuantities6_2000_2009." localSheetId="19" hidden="1">{"ProdQuantities6_2010_2019",#N/A,FALSE,"ProdQuantities"}</definedName>
    <definedName name="wrn.ProdQuantities6_2000_2009." localSheetId="17" hidden="1">{"ProdQuantities6_2010_2019",#N/A,FALSE,"ProdQuantities"}</definedName>
    <definedName name="wrn.ProdQuantities6_2000_2009." localSheetId="22" hidden="1">{"ProdQuantities6_2010_2019",#N/A,FALSE,"ProdQuantities"}</definedName>
    <definedName name="wrn.ProdQuantities6_2000_2009." localSheetId="10" hidden="1">{"ProdQuantities6_2010_2019",#N/A,FALSE,"ProdQuantities"}</definedName>
    <definedName name="wrn.ProdQuantities6_2000_2009." localSheetId="30" hidden="1">{"ProdQuantities6_2010_2019",#N/A,FALSE,"ProdQuantities"}</definedName>
    <definedName name="wrn.ProdQuantities6_2000_2009." localSheetId="0" hidden="1">{"ProdQuantities6_2010_2019",#N/A,FALSE,"ProdQuantities"}</definedName>
    <definedName name="wrn.ProdQuantities6_2000_2009." localSheetId="3" hidden="1">{"ProdQuantities6_2010_2019",#N/A,FALSE,"ProdQuantities"}</definedName>
    <definedName name="wrn.ProdQuantities6_2000_2009." localSheetId="4" hidden="1">{"ProdQuantities6_2010_2019",#N/A,FALSE,"ProdQuantities"}</definedName>
    <definedName name="wrn.ProdQuantities6_2000_2009." localSheetId="28" hidden="1">{"ProdQuantities6_2010_2019",#N/A,FALSE,"ProdQuantities"}</definedName>
    <definedName name="wrn.ProdQuantities6_2000_2009." localSheetId="33" hidden="1">{"ProdQuantities6_2010_2019",#N/A,FALSE,"ProdQuantities"}</definedName>
    <definedName name="wrn.ProdQuantities6_2000_2009." localSheetId="32" hidden="1">{"ProdQuantities6_2010_2019",#N/A,FALSE,"ProdQuantities"}</definedName>
    <definedName name="wrn.ProdQuantities6_2000_2009." localSheetId="7" hidden="1">{"ProdQuantities6_2010_2019",#N/A,FALSE,"ProdQuantities"}</definedName>
    <definedName name="wrn.ProdQuantities6_2000_2009." localSheetId="29" hidden="1">{"ProdQuantities6_2010_2019",#N/A,FALSE,"ProdQuantities"}</definedName>
    <definedName name="wrn.ProdQuantities6_2000_2009." localSheetId="1" hidden="1">{"ProdQuantities6_2010_2019",#N/A,FALSE,"ProdQuantities"}</definedName>
    <definedName name="wrn.ProdQuantities6_2000_2009." localSheetId="31" hidden="1">{"ProdQuantities6_2010_2019",#N/A,FALSE,"ProdQuantities"}</definedName>
    <definedName name="wrn.ProdQuantities6_2000_2009." hidden="1">{"ProdQuantities6_2010_2019",#N/A,FALSE,"ProdQuantities"}</definedName>
    <definedName name="wrn.ProdQuantities7_2000_2009." localSheetId="12" hidden="1">{"ProdQuantities7_2000_2009",#N/A,FALSE,"ProdQuantities"}</definedName>
    <definedName name="wrn.ProdQuantities7_2000_2009." localSheetId="18" hidden="1">{"ProdQuantities7_2000_2009",#N/A,FALSE,"ProdQuantities"}</definedName>
    <definedName name="wrn.ProdQuantities7_2000_2009." localSheetId="19" hidden="1">{"ProdQuantities7_2000_2009",#N/A,FALSE,"ProdQuantities"}</definedName>
    <definedName name="wrn.ProdQuantities7_2000_2009." localSheetId="17" hidden="1">{"ProdQuantities7_2000_2009",#N/A,FALSE,"ProdQuantities"}</definedName>
    <definedName name="wrn.ProdQuantities7_2000_2009." localSheetId="22" hidden="1">{"ProdQuantities7_2000_2009",#N/A,FALSE,"ProdQuantities"}</definedName>
    <definedName name="wrn.ProdQuantities7_2000_2009." localSheetId="10" hidden="1">{"ProdQuantities7_2000_2009",#N/A,FALSE,"ProdQuantities"}</definedName>
    <definedName name="wrn.ProdQuantities7_2000_2009." localSheetId="30" hidden="1">{"ProdQuantities7_2000_2009",#N/A,FALSE,"ProdQuantities"}</definedName>
    <definedName name="wrn.ProdQuantities7_2000_2009." localSheetId="0" hidden="1">{"ProdQuantities7_2000_2009",#N/A,FALSE,"ProdQuantities"}</definedName>
    <definedName name="wrn.ProdQuantities7_2000_2009." localSheetId="3" hidden="1">{"ProdQuantities7_2000_2009",#N/A,FALSE,"ProdQuantities"}</definedName>
    <definedName name="wrn.ProdQuantities7_2000_2009." localSheetId="4" hidden="1">{"ProdQuantities7_2000_2009",#N/A,FALSE,"ProdQuantities"}</definedName>
    <definedName name="wrn.ProdQuantities7_2000_2009." localSheetId="28" hidden="1">{"ProdQuantities7_2000_2009",#N/A,FALSE,"ProdQuantities"}</definedName>
    <definedName name="wrn.ProdQuantities7_2000_2009." localSheetId="33" hidden="1">{"ProdQuantities7_2000_2009",#N/A,FALSE,"ProdQuantities"}</definedName>
    <definedName name="wrn.ProdQuantities7_2000_2009." localSheetId="32" hidden="1">{"ProdQuantities7_2000_2009",#N/A,FALSE,"ProdQuantities"}</definedName>
    <definedName name="wrn.ProdQuantities7_2000_2009." localSheetId="7" hidden="1">{"ProdQuantities7_2000_2009",#N/A,FALSE,"ProdQuantities"}</definedName>
    <definedName name="wrn.ProdQuantities7_2000_2009." localSheetId="29" hidden="1">{"ProdQuantities7_2000_2009",#N/A,FALSE,"ProdQuantities"}</definedName>
    <definedName name="wrn.ProdQuantities7_2000_2009." localSheetId="1" hidden="1">{"ProdQuantities7_2000_2009",#N/A,FALSE,"ProdQuantities"}</definedName>
    <definedName name="wrn.ProdQuantities7_2000_2009." localSheetId="31" hidden="1">{"ProdQuantities7_2000_2009",#N/A,FALSE,"ProdQuantities"}</definedName>
    <definedName name="wrn.ProdQuantities7_2000_2009." hidden="1">{"ProdQuantities7_2000_2009",#N/A,FALSE,"ProdQuantities"}</definedName>
    <definedName name="wrn.ProdQuantities8_2010_2019." localSheetId="12" hidden="1">{"ProdQuantities8_2010_2019",#N/A,FALSE,"ProdQuantities"}</definedName>
    <definedName name="wrn.ProdQuantities8_2010_2019." localSheetId="18" hidden="1">{"ProdQuantities8_2010_2019",#N/A,FALSE,"ProdQuantities"}</definedName>
    <definedName name="wrn.ProdQuantities8_2010_2019." localSheetId="19" hidden="1">{"ProdQuantities8_2010_2019",#N/A,FALSE,"ProdQuantities"}</definedName>
    <definedName name="wrn.ProdQuantities8_2010_2019." localSheetId="17" hidden="1">{"ProdQuantities8_2010_2019",#N/A,FALSE,"ProdQuantities"}</definedName>
    <definedName name="wrn.ProdQuantities8_2010_2019." localSheetId="22" hidden="1">{"ProdQuantities8_2010_2019",#N/A,FALSE,"ProdQuantities"}</definedName>
    <definedName name="wrn.ProdQuantities8_2010_2019." localSheetId="10" hidden="1">{"ProdQuantities8_2010_2019",#N/A,FALSE,"ProdQuantities"}</definedName>
    <definedName name="wrn.ProdQuantities8_2010_2019." localSheetId="30" hidden="1">{"ProdQuantities8_2010_2019",#N/A,FALSE,"ProdQuantities"}</definedName>
    <definedName name="wrn.ProdQuantities8_2010_2019." localSheetId="0" hidden="1">{"ProdQuantities8_2010_2019",#N/A,FALSE,"ProdQuantities"}</definedName>
    <definedName name="wrn.ProdQuantities8_2010_2019." localSheetId="3" hidden="1">{"ProdQuantities8_2010_2019",#N/A,FALSE,"ProdQuantities"}</definedName>
    <definedName name="wrn.ProdQuantities8_2010_2019." localSheetId="4" hidden="1">{"ProdQuantities8_2010_2019",#N/A,FALSE,"ProdQuantities"}</definedName>
    <definedName name="wrn.ProdQuantities8_2010_2019." localSheetId="28" hidden="1">{"ProdQuantities8_2010_2019",#N/A,FALSE,"ProdQuantities"}</definedName>
    <definedName name="wrn.ProdQuantities8_2010_2019." localSheetId="33" hidden="1">{"ProdQuantities8_2010_2019",#N/A,FALSE,"ProdQuantities"}</definedName>
    <definedName name="wrn.ProdQuantities8_2010_2019." localSheetId="32" hidden="1">{"ProdQuantities8_2010_2019",#N/A,FALSE,"ProdQuantities"}</definedName>
    <definedName name="wrn.ProdQuantities8_2010_2019." localSheetId="7" hidden="1">{"ProdQuantities8_2010_2019",#N/A,FALSE,"ProdQuantities"}</definedName>
    <definedName name="wrn.ProdQuantities8_2010_2019." localSheetId="29" hidden="1">{"ProdQuantities8_2010_2019",#N/A,FALSE,"ProdQuantities"}</definedName>
    <definedName name="wrn.ProdQuantities8_2010_2019." localSheetId="1" hidden="1">{"ProdQuantities8_2010_2019",#N/A,FALSE,"ProdQuantities"}</definedName>
    <definedName name="wrn.ProdQuantities8_2010_2019." localSheetId="31" hidden="1">{"ProdQuantities8_2010_2019",#N/A,FALSE,"ProdQuantities"}</definedName>
    <definedName name="wrn.ProdQuantities8_2010_2019." hidden="1">{"ProdQuantities8_2010_2019",#N/A,FALSE,"ProdQuantities"}</definedName>
    <definedName name="wrn.ProdQuantities9_2000_2009." localSheetId="12" hidden="1">{"ProdQuantities9_2000_2009",#N/A,FALSE,"ProdQuantities"}</definedName>
    <definedName name="wrn.ProdQuantities9_2000_2009." localSheetId="18" hidden="1">{"ProdQuantities9_2000_2009",#N/A,FALSE,"ProdQuantities"}</definedName>
    <definedName name="wrn.ProdQuantities9_2000_2009." localSheetId="19" hidden="1">{"ProdQuantities9_2000_2009",#N/A,FALSE,"ProdQuantities"}</definedName>
    <definedName name="wrn.ProdQuantities9_2000_2009." localSheetId="17" hidden="1">{"ProdQuantities9_2000_2009",#N/A,FALSE,"ProdQuantities"}</definedName>
    <definedName name="wrn.ProdQuantities9_2000_2009." localSheetId="22" hidden="1">{"ProdQuantities9_2000_2009",#N/A,FALSE,"ProdQuantities"}</definedName>
    <definedName name="wrn.ProdQuantities9_2000_2009." localSheetId="10" hidden="1">{"ProdQuantities9_2000_2009",#N/A,FALSE,"ProdQuantities"}</definedName>
    <definedName name="wrn.ProdQuantities9_2000_2009." localSheetId="30" hidden="1">{"ProdQuantities9_2000_2009",#N/A,FALSE,"ProdQuantities"}</definedName>
    <definedName name="wrn.ProdQuantities9_2000_2009." localSheetId="0" hidden="1">{"ProdQuantities9_2000_2009",#N/A,FALSE,"ProdQuantities"}</definedName>
    <definedName name="wrn.ProdQuantities9_2000_2009." localSheetId="3" hidden="1">{"ProdQuantities9_2000_2009",#N/A,FALSE,"ProdQuantities"}</definedName>
    <definedName name="wrn.ProdQuantities9_2000_2009." localSheetId="4" hidden="1">{"ProdQuantities9_2000_2009",#N/A,FALSE,"ProdQuantities"}</definedName>
    <definedName name="wrn.ProdQuantities9_2000_2009." localSheetId="28" hidden="1">{"ProdQuantities9_2000_2009",#N/A,FALSE,"ProdQuantities"}</definedName>
    <definedName name="wrn.ProdQuantities9_2000_2009." localSheetId="33" hidden="1">{"ProdQuantities9_2000_2009",#N/A,FALSE,"ProdQuantities"}</definedName>
    <definedName name="wrn.ProdQuantities9_2000_2009." localSheetId="32" hidden="1">{"ProdQuantities9_2000_2009",#N/A,FALSE,"ProdQuantities"}</definedName>
    <definedName name="wrn.ProdQuantities9_2000_2009." localSheetId="7" hidden="1">{"ProdQuantities9_2000_2009",#N/A,FALSE,"ProdQuantities"}</definedName>
    <definedName name="wrn.ProdQuantities9_2000_2009." localSheetId="29" hidden="1">{"ProdQuantities9_2000_2009",#N/A,FALSE,"ProdQuantities"}</definedName>
    <definedName name="wrn.ProdQuantities9_2000_2009." localSheetId="1" hidden="1">{"ProdQuantities9_2000_2009",#N/A,FALSE,"ProdQuantities"}</definedName>
    <definedName name="wrn.ProdQuantities9_2000_2009." localSheetId="31" hidden="1">{"ProdQuantities9_2000_2009",#N/A,FALSE,"ProdQuantities"}</definedName>
    <definedName name="wrn.ProdQuantities9_2000_2009." hidden="1">{"ProdQuantities9_2000_2009",#N/A,FALSE,"ProdQuantities"}</definedName>
    <definedName name="wrn.ProdQuantitiesTotal2000_2009." localSheetId="12" hidden="1">{"ProdQuantitiesTotal2000_2009",#N/A,FALSE,"ProdQuantities"}</definedName>
    <definedName name="wrn.ProdQuantitiesTotal2000_2009." localSheetId="18" hidden="1">{"ProdQuantitiesTotal2000_2009",#N/A,FALSE,"ProdQuantities"}</definedName>
    <definedName name="wrn.ProdQuantitiesTotal2000_2009." localSheetId="19" hidden="1">{"ProdQuantitiesTotal2000_2009",#N/A,FALSE,"ProdQuantities"}</definedName>
    <definedName name="wrn.ProdQuantitiesTotal2000_2009." localSheetId="17" hidden="1">{"ProdQuantitiesTotal2000_2009",#N/A,FALSE,"ProdQuantities"}</definedName>
    <definedName name="wrn.ProdQuantitiesTotal2000_2009." localSheetId="22" hidden="1">{"ProdQuantitiesTotal2000_2009",#N/A,FALSE,"ProdQuantities"}</definedName>
    <definedName name="wrn.ProdQuantitiesTotal2000_2009." localSheetId="10" hidden="1">{"ProdQuantitiesTotal2000_2009",#N/A,FALSE,"ProdQuantities"}</definedName>
    <definedName name="wrn.ProdQuantitiesTotal2000_2009." localSheetId="30" hidden="1">{"ProdQuantitiesTotal2000_2009",#N/A,FALSE,"ProdQuantities"}</definedName>
    <definedName name="wrn.ProdQuantitiesTotal2000_2009." localSheetId="0" hidden="1">{"ProdQuantitiesTotal2000_2009",#N/A,FALSE,"ProdQuantities"}</definedName>
    <definedName name="wrn.ProdQuantitiesTotal2000_2009." localSheetId="3" hidden="1">{"ProdQuantitiesTotal2000_2009",#N/A,FALSE,"ProdQuantities"}</definedName>
    <definedName name="wrn.ProdQuantitiesTotal2000_2009." localSheetId="4" hidden="1">{"ProdQuantitiesTotal2000_2009",#N/A,FALSE,"ProdQuantities"}</definedName>
    <definedName name="wrn.ProdQuantitiesTotal2000_2009." localSheetId="28" hidden="1">{"ProdQuantitiesTotal2000_2009",#N/A,FALSE,"ProdQuantities"}</definedName>
    <definedName name="wrn.ProdQuantitiesTotal2000_2009." localSheetId="33" hidden="1">{"ProdQuantitiesTotal2000_2009",#N/A,FALSE,"ProdQuantities"}</definedName>
    <definedName name="wrn.ProdQuantitiesTotal2000_2009." localSheetId="32" hidden="1">{"ProdQuantitiesTotal2000_2009",#N/A,FALSE,"ProdQuantities"}</definedName>
    <definedName name="wrn.ProdQuantitiesTotal2000_2009." localSheetId="7" hidden="1">{"ProdQuantitiesTotal2000_2009",#N/A,FALSE,"ProdQuantities"}</definedName>
    <definedName name="wrn.ProdQuantitiesTotal2000_2009." localSheetId="29" hidden="1">{"ProdQuantitiesTotal2000_2009",#N/A,FALSE,"ProdQuantities"}</definedName>
    <definedName name="wrn.ProdQuantitiesTotal2000_2009." localSheetId="1" hidden="1">{"ProdQuantitiesTotal2000_2009",#N/A,FALSE,"ProdQuantities"}</definedName>
    <definedName name="wrn.ProdQuantitiesTotal2000_2009." localSheetId="31" hidden="1">{"ProdQuantitiesTotal2000_2009",#N/A,FALSE,"ProdQuantities"}</definedName>
    <definedName name="wrn.ProdQuantitiesTotal2000_2009." hidden="1">{"ProdQuantitiesTotal2000_2009",#N/A,FALSE,"ProdQuantities"}</definedName>
    <definedName name="wrn.ProdQuantitiesTotal2010_2019." localSheetId="12" hidden="1">{"ProdQuantitiesTotal2010_2019",#N/A,FALSE,"ProdQuantities"}</definedName>
    <definedName name="wrn.ProdQuantitiesTotal2010_2019." localSheetId="18" hidden="1">{"ProdQuantitiesTotal2010_2019",#N/A,FALSE,"ProdQuantities"}</definedName>
    <definedName name="wrn.ProdQuantitiesTotal2010_2019." localSheetId="19" hidden="1">{"ProdQuantitiesTotal2010_2019",#N/A,FALSE,"ProdQuantities"}</definedName>
    <definedName name="wrn.ProdQuantitiesTotal2010_2019." localSheetId="17" hidden="1">{"ProdQuantitiesTotal2010_2019",#N/A,FALSE,"ProdQuantities"}</definedName>
    <definedName name="wrn.ProdQuantitiesTotal2010_2019." localSheetId="22" hidden="1">{"ProdQuantitiesTotal2010_2019",#N/A,FALSE,"ProdQuantities"}</definedName>
    <definedName name="wrn.ProdQuantitiesTotal2010_2019." localSheetId="10" hidden="1">{"ProdQuantitiesTotal2010_2019",#N/A,FALSE,"ProdQuantities"}</definedName>
    <definedName name="wrn.ProdQuantitiesTotal2010_2019." localSheetId="30" hidden="1">{"ProdQuantitiesTotal2010_2019",#N/A,FALSE,"ProdQuantities"}</definedName>
    <definedName name="wrn.ProdQuantitiesTotal2010_2019." localSheetId="0" hidden="1">{"ProdQuantitiesTotal2010_2019",#N/A,FALSE,"ProdQuantities"}</definedName>
    <definedName name="wrn.ProdQuantitiesTotal2010_2019." localSheetId="3" hidden="1">{"ProdQuantitiesTotal2010_2019",#N/A,FALSE,"ProdQuantities"}</definedName>
    <definedName name="wrn.ProdQuantitiesTotal2010_2019." localSheetId="4" hidden="1">{"ProdQuantitiesTotal2010_2019",#N/A,FALSE,"ProdQuantities"}</definedName>
    <definedName name="wrn.ProdQuantitiesTotal2010_2019." localSheetId="28" hidden="1">{"ProdQuantitiesTotal2010_2019",#N/A,FALSE,"ProdQuantities"}</definedName>
    <definedName name="wrn.ProdQuantitiesTotal2010_2019." localSheetId="33" hidden="1">{"ProdQuantitiesTotal2010_2019",#N/A,FALSE,"ProdQuantities"}</definedName>
    <definedName name="wrn.ProdQuantitiesTotal2010_2019." localSheetId="32" hidden="1">{"ProdQuantitiesTotal2010_2019",#N/A,FALSE,"ProdQuantities"}</definedName>
    <definedName name="wrn.ProdQuantitiesTotal2010_2019." localSheetId="7" hidden="1">{"ProdQuantitiesTotal2010_2019",#N/A,FALSE,"ProdQuantities"}</definedName>
    <definedName name="wrn.ProdQuantitiesTotal2010_2019." localSheetId="29" hidden="1">{"ProdQuantitiesTotal2010_2019",#N/A,FALSE,"ProdQuantities"}</definedName>
    <definedName name="wrn.ProdQuantitiesTotal2010_2019." localSheetId="1" hidden="1">{"ProdQuantitiesTotal2010_2019",#N/A,FALSE,"ProdQuantities"}</definedName>
    <definedName name="wrn.ProdQuantitiesTotal2010_2019." localSheetId="31" hidden="1">{"ProdQuantitiesTotal2010_2019",#N/A,FALSE,"ProdQuantities"}</definedName>
    <definedName name="wrn.ProdQuantitiesTotal2010_2019." hidden="1">{"ProdQuantitiesTotal2010_2019",#N/A,FALSE,"ProdQuantities"}</definedName>
    <definedName name="wrn.report." localSheetId="12" hidden="1">{#N/A,#N/A,FALSE,"Front Sheet";#N/A,#N/A,FALSE,"Profit and Loss";#N/A,#N/A,FALSE,"Balance Sheet";#N/A,#N/A,FALSE,"Cashflow";#N/A,#N/A,FALSE,"Debt and Cred";#N/A,#N/A,FALSE,"Debt Statement";#N/A,#N/A,FALSE,"Tax Computation"}</definedName>
    <definedName name="wrn.report." localSheetId="18" hidden="1">{#N/A,#N/A,FALSE,"Front Sheet";#N/A,#N/A,FALSE,"Profit and Loss";#N/A,#N/A,FALSE,"Balance Sheet";#N/A,#N/A,FALSE,"Cashflow";#N/A,#N/A,FALSE,"Debt and Cred";#N/A,#N/A,FALSE,"Debt Statement";#N/A,#N/A,FALSE,"Tax Computation"}</definedName>
    <definedName name="wrn.report." localSheetId="19" hidden="1">{#N/A,#N/A,FALSE,"Front Sheet";#N/A,#N/A,FALSE,"Profit and Loss";#N/A,#N/A,FALSE,"Balance Sheet";#N/A,#N/A,FALSE,"Cashflow";#N/A,#N/A,FALSE,"Debt and Cred";#N/A,#N/A,FALSE,"Debt Statement";#N/A,#N/A,FALSE,"Tax Computation"}</definedName>
    <definedName name="wrn.report." localSheetId="17" hidden="1">{#N/A,#N/A,FALSE,"Front Sheet";#N/A,#N/A,FALSE,"Profit and Loss";#N/A,#N/A,FALSE,"Balance Sheet";#N/A,#N/A,FALSE,"Cashflow";#N/A,#N/A,FALSE,"Debt and Cred";#N/A,#N/A,FALSE,"Debt Statement";#N/A,#N/A,FALSE,"Tax Computation"}</definedName>
    <definedName name="wrn.report." localSheetId="22" hidden="1">{#N/A,#N/A,FALSE,"Front Sheet";#N/A,#N/A,FALSE,"Profit and Loss";#N/A,#N/A,FALSE,"Balance Sheet";#N/A,#N/A,FALSE,"Cashflow";#N/A,#N/A,FALSE,"Debt and Cred";#N/A,#N/A,FALSE,"Debt Statement";#N/A,#N/A,FALSE,"Tax Computation"}</definedName>
    <definedName name="wrn.report." localSheetId="10" hidden="1">{#N/A,#N/A,FALSE,"Front Sheet";#N/A,#N/A,FALSE,"Profit and Loss";#N/A,#N/A,FALSE,"Balance Sheet";#N/A,#N/A,FALSE,"Cashflow";#N/A,#N/A,FALSE,"Debt and Cred";#N/A,#N/A,FALSE,"Debt Statement";#N/A,#N/A,FALSE,"Tax Computation"}</definedName>
    <definedName name="wrn.report." localSheetId="30" hidden="1">{#N/A,#N/A,FALSE,"Front Sheet";#N/A,#N/A,FALSE,"Profit and Loss";#N/A,#N/A,FALSE,"Balance Sheet";#N/A,#N/A,FALSE,"Cashflow";#N/A,#N/A,FALSE,"Debt and Cred";#N/A,#N/A,FALSE,"Debt Statement";#N/A,#N/A,FALSE,"Tax Computation"}</definedName>
    <definedName name="wrn.report." localSheetId="0" hidden="1">{#N/A,#N/A,FALSE,"Front Sheet";#N/A,#N/A,FALSE,"Profit and Loss";#N/A,#N/A,FALSE,"Balance Sheet";#N/A,#N/A,FALSE,"Cashflow";#N/A,#N/A,FALSE,"Debt and Cred";#N/A,#N/A,FALSE,"Debt Statement";#N/A,#N/A,FALSE,"Tax Computation"}</definedName>
    <definedName name="wrn.report." localSheetId="3" hidden="1">{#N/A,#N/A,FALSE,"Front Sheet";#N/A,#N/A,FALSE,"Profit and Loss";#N/A,#N/A,FALSE,"Balance Sheet";#N/A,#N/A,FALSE,"Cashflow";#N/A,#N/A,FALSE,"Debt and Cred";#N/A,#N/A,FALSE,"Debt Statement";#N/A,#N/A,FALSE,"Tax Computation"}</definedName>
    <definedName name="wrn.report." localSheetId="4" hidden="1">{#N/A,#N/A,FALSE,"Front Sheet";#N/A,#N/A,FALSE,"Profit and Loss";#N/A,#N/A,FALSE,"Balance Sheet";#N/A,#N/A,FALSE,"Cashflow";#N/A,#N/A,FALSE,"Debt and Cred";#N/A,#N/A,FALSE,"Debt Statement";#N/A,#N/A,FALSE,"Tax Computation"}</definedName>
    <definedName name="wrn.report." localSheetId="28" hidden="1">{#N/A,#N/A,FALSE,"Front Sheet";#N/A,#N/A,FALSE,"Profit and Loss";#N/A,#N/A,FALSE,"Balance Sheet";#N/A,#N/A,FALSE,"Cashflow";#N/A,#N/A,FALSE,"Debt and Cred";#N/A,#N/A,FALSE,"Debt Statement";#N/A,#N/A,FALSE,"Tax Computation"}</definedName>
    <definedName name="wrn.report." localSheetId="33" hidden="1">{#N/A,#N/A,FALSE,"Front Sheet";#N/A,#N/A,FALSE,"Profit and Loss";#N/A,#N/A,FALSE,"Balance Sheet";#N/A,#N/A,FALSE,"Cashflow";#N/A,#N/A,FALSE,"Debt and Cred";#N/A,#N/A,FALSE,"Debt Statement";#N/A,#N/A,FALSE,"Tax Computation"}</definedName>
    <definedName name="wrn.report." localSheetId="32" hidden="1">{#N/A,#N/A,FALSE,"Front Sheet";#N/A,#N/A,FALSE,"Profit and Loss";#N/A,#N/A,FALSE,"Balance Sheet";#N/A,#N/A,FALSE,"Cashflow";#N/A,#N/A,FALSE,"Debt and Cred";#N/A,#N/A,FALSE,"Debt Statement";#N/A,#N/A,FALSE,"Tax Computation"}</definedName>
    <definedName name="wrn.report." localSheetId="7" hidden="1">{#N/A,#N/A,FALSE,"Front Sheet";#N/A,#N/A,FALSE,"Profit and Loss";#N/A,#N/A,FALSE,"Balance Sheet";#N/A,#N/A,FALSE,"Cashflow";#N/A,#N/A,FALSE,"Debt and Cred";#N/A,#N/A,FALSE,"Debt Statement";#N/A,#N/A,FALSE,"Tax Computation"}</definedName>
    <definedName name="wrn.report." localSheetId="29" hidden="1">{#N/A,#N/A,FALSE,"Front Sheet";#N/A,#N/A,FALSE,"Profit and Loss";#N/A,#N/A,FALSE,"Balance Sheet";#N/A,#N/A,FALSE,"Cashflow";#N/A,#N/A,FALSE,"Debt and Cred";#N/A,#N/A,FALSE,"Debt Statement";#N/A,#N/A,FALSE,"Tax Computation"}</definedName>
    <definedName name="wrn.report." localSheetId="1" hidden="1">{#N/A,#N/A,FALSE,"Front Sheet";#N/A,#N/A,FALSE,"Profit and Loss";#N/A,#N/A,FALSE,"Balance Sheet";#N/A,#N/A,FALSE,"Cashflow";#N/A,#N/A,FALSE,"Debt and Cred";#N/A,#N/A,FALSE,"Debt Statement";#N/A,#N/A,FALSE,"Tax Computation"}</definedName>
    <definedName name="wrn.report." localSheetId="31" hidden="1">{#N/A,#N/A,FALSE,"Front Sheet";#N/A,#N/A,FALSE,"Profit and Loss";#N/A,#N/A,FALSE,"Balance Sheet";#N/A,#N/A,FALSE,"Cashflow";#N/A,#N/A,FALSE,"Debt and Cred";#N/A,#N/A,FALSE,"Debt Statement";#N/A,#N/A,FALSE,"Tax Computation"}</definedName>
    <definedName name="wrn.report." hidden="1">{#N/A,#N/A,FALSE,"Front Sheet";#N/A,#N/A,FALSE,"Profit and Loss";#N/A,#N/A,FALSE,"Balance Sheet";#N/A,#N/A,FALSE,"Cashflow";#N/A,#N/A,FALSE,"Debt and Cred";#N/A,#N/A,FALSE,"Debt Statement";#N/A,#N/A,FALSE,"Tax Computation"}</definedName>
    <definedName name="wrn.Short._.Form._.Print._.Out." localSheetId="12" hidden="1">{#N/A,#N/A,FALSE,"General Assumptions";#N/A,#N/A,FALSE,"Accounts";#N/A,#N/A,FALSE,"OperatingAssumptions";#N/A,#N/A,FALSE,"Cashflow";#N/A,#N/A,FALSE,"Debt";#N/A,#N/A,FALSE,"Ops Summary";#N/A,#N/A,FALSE,"Summary"}</definedName>
    <definedName name="wrn.Short._.Form._.Print._.Out." localSheetId="18" hidden="1">{#N/A,#N/A,FALSE,"General Assumptions";#N/A,#N/A,FALSE,"Accounts";#N/A,#N/A,FALSE,"OperatingAssumptions";#N/A,#N/A,FALSE,"Cashflow";#N/A,#N/A,FALSE,"Debt";#N/A,#N/A,FALSE,"Ops Summary";#N/A,#N/A,FALSE,"Summary"}</definedName>
    <definedName name="wrn.Short._.Form._.Print._.Out." localSheetId="19" hidden="1">{#N/A,#N/A,FALSE,"General Assumptions";#N/A,#N/A,FALSE,"Accounts";#N/A,#N/A,FALSE,"OperatingAssumptions";#N/A,#N/A,FALSE,"Cashflow";#N/A,#N/A,FALSE,"Debt";#N/A,#N/A,FALSE,"Ops Summary";#N/A,#N/A,FALSE,"Summary"}</definedName>
    <definedName name="wrn.Short._.Form._.Print._.Out." localSheetId="17" hidden="1">{#N/A,#N/A,FALSE,"General Assumptions";#N/A,#N/A,FALSE,"Accounts";#N/A,#N/A,FALSE,"OperatingAssumptions";#N/A,#N/A,FALSE,"Cashflow";#N/A,#N/A,FALSE,"Debt";#N/A,#N/A,FALSE,"Ops Summary";#N/A,#N/A,FALSE,"Summary"}</definedName>
    <definedName name="wrn.Short._.Form._.Print._.Out." localSheetId="22" hidden="1">{#N/A,#N/A,FALSE,"General Assumptions";#N/A,#N/A,FALSE,"Accounts";#N/A,#N/A,FALSE,"OperatingAssumptions";#N/A,#N/A,FALSE,"Cashflow";#N/A,#N/A,FALSE,"Debt";#N/A,#N/A,FALSE,"Ops Summary";#N/A,#N/A,FALSE,"Summary"}</definedName>
    <definedName name="wrn.Short._.Form._.Print._.Out." localSheetId="10" hidden="1">{#N/A,#N/A,FALSE,"General Assumptions";#N/A,#N/A,FALSE,"Accounts";#N/A,#N/A,FALSE,"OperatingAssumptions";#N/A,#N/A,FALSE,"Cashflow";#N/A,#N/A,FALSE,"Debt";#N/A,#N/A,FALSE,"Ops Summary";#N/A,#N/A,FALSE,"Summary"}</definedName>
    <definedName name="wrn.Short._.Form._.Print._.Out." localSheetId="30" hidden="1">{#N/A,#N/A,FALSE,"General Assumptions";#N/A,#N/A,FALSE,"Accounts";#N/A,#N/A,FALSE,"OperatingAssumptions";#N/A,#N/A,FALSE,"Cashflow";#N/A,#N/A,FALSE,"Debt";#N/A,#N/A,FALSE,"Ops Summary";#N/A,#N/A,FALSE,"Summary"}</definedName>
    <definedName name="wrn.Short._.Form._.Print._.Out." localSheetId="0" hidden="1">{#N/A,#N/A,FALSE,"General Assumptions";#N/A,#N/A,FALSE,"Accounts";#N/A,#N/A,FALSE,"OperatingAssumptions";#N/A,#N/A,FALSE,"Cashflow";#N/A,#N/A,FALSE,"Debt";#N/A,#N/A,FALSE,"Ops Summary";#N/A,#N/A,FALSE,"Summary"}</definedName>
    <definedName name="wrn.Short._.Form._.Print._.Out." localSheetId="3" hidden="1">{#N/A,#N/A,FALSE,"General Assumptions";#N/A,#N/A,FALSE,"Accounts";#N/A,#N/A,FALSE,"OperatingAssumptions";#N/A,#N/A,FALSE,"Cashflow";#N/A,#N/A,FALSE,"Debt";#N/A,#N/A,FALSE,"Ops Summary";#N/A,#N/A,FALSE,"Summary"}</definedName>
    <definedName name="wrn.Short._.Form._.Print._.Out." localSheetId="4" hidden="1">{#N/A,#N/A,FALSE,"General Assumptions";#N/A,#N/A,FALSE,"Accounts";#N/A,#N/A,FALSE,"OperatingAssumptions";#N/A,#N/A,FALSE,"Cashflow";#N/A,#N/A,FALSE,"Debt";#N/A,#N/A,FALSE,"Ops Summary";#N/A,#N/A,FALSE,"Summary"}</definedName>
    <definedName name="wrn.Short._.Form._.Print._.Out." localSheetId="28" hidden="1">{#N/A,#N/A,FALSE,"General Assumptions";#N/A,#N/A,FALSE,"Accounts";#N/A,#N/A,FALSE,"OperatingAssumptions";#N/A,#N/A,FALSE,"Cashflow";#N/A,#N/A,FALSE,"Debt";#N/A,#N/A,FALSE,"Ops Summary";#N/A,#N/A,FALSE,"Summary"}</definedName>
    <definedName name="wrn.Short._.Form._.Print._.Out." localSheetId="33" hidden="1">{#N/A,#N/A,FALSE,"General Assumptions";#N/A,#N/A,FALSE,"Accounts";#N/A,#N/A,FALSE,"OperatingAssumptions";#N/A,#N/A,FALSE,"Cashflow";#N/A,#N/A,FALSE,"Debt";#N/A,#N/A,FALSE,"Ops Summary";#N/A,#N/A,FALSE,"Summary"}</definedName>
    <definedName name="wrn.Short._.Form._.Print._.Out." localSheetId="32" hidden="1">{#N/A,#N/A,FALSE,"General Assumptions";#N/A,#N/A,FALSE,"Accounts";#N/A,#N/A,FALSE,"OperatingAssumptions";#N/A,#N/A,FALSE,"Cashflow";#N/A,#N/A,FALSE,"Debt";#N/A,#N/A,FALSE,"Ops Summary";#N/A,#N/A,FALSE,"Summary"}</definedName>
    <definedName name="wrn.Short._.Form._.Print._.Out." localSheetId="7" hidden="1">{#N/A,#N/A,FALSE,"General Assumptions";#N/A,#N/A,FALSE,"Accounts";#N/A,#N/A,FALSE,"OperatingAssumptions";#N/A,#N/A,FALSE,"Cashflow";#N/A,#N/A,FALSE,"Debt";#N/A,#N/A,FALSE,"Ops Summary";#N/A,#N/A,FALSE,"Summary"}</definedName>
    <definedName name="wrn.Short._.Form._.Print._.Out." localSheetId="29" hidden="1">{#N/A,#N/A,FALSE,"General Assumptions";#N/A,#N/A,FALSE,"Accounts";#N/A,#N/A,FALSE,"OperatingAssumptions";#N/A,#N/A,FALSE,"Cashflow";#N/A,#N/A,FALSE,"Debt";#N/A,#N/A,FALSE,"Ops Summary";#N/A,#N/A,FALSE,"Summary"}</definedName>
    <definedName name="wrn.Short._.Form._.Print._.Out." localSheetId="1" hidden="1">{#N/A,#N/A,FALSE,"General Assumptions";#N/A,#N/A,FALSE,"Accounts";#N/A,#N/A,FALSE,"OperatingAssumptions";#N/A,#N/A,FALSE,"Cashflow";#N/A,#N/A,FALSE,"Debt";#N/A,#N/A,FALSE,"Ops Summary";#N/A,#N/A,FALSE,"Summary"}</definedName>
    <definedName name="wrn.Short._.Form._.Print._.Out." localSheetId="31" hidden="1">{#N/A,#N/A,FALSE,"General Assumptions";#N/A,#N/A,FALSE,"Accounts";#N/A,#N/A,FALSE,"OperatingAssumptions";#N/A,#N/A,FALSE,"Cashflow";#N/A,#N/A,FALSE,"Debt";#N/A,#N/A,FALSE,"Ops Summary";#N/A,#N/A,FALSE,"Summary"}</definedName>
    <definedName name="wrn.Short._.Form._.Print._.Out." hidden="1">{#N/A,#N/A,FALSE,"General Assumptions";#N/A,#N/A,FALSE,"Accounts";#N/A,#N/A,FALSE,"OperatingAssumptions";#N/A,#N/A,FALSE,"Cashflow";#N/A,#N/A,FALSE,"Debt";#N/A,#N/A,FALSE,"Ops Summary";#N/A,#N/A,FALSE,"Summary"}</definedName>
    <definedName name="wrn.Shut_Down." localSheetId="12" hidden="1">{#N/A,#N/A,FALSE,"Shut-down"}</definedName>
    <definedName name="wrn.Shut_Down." localSheetId="18" hidden="1">{#N/A,#N/A,FALSE,"Shut-down"}</definedName>
    <definedName name="wrn.Shut_Down." localSheetId="19" hidden="1">{#N/A,#N/A,FALSE,"Shut-down"}</definedName>
    <definedName name="wrn.Shut_Down." localSheetId="17" hidden="1">{#N/A,#N/A,FALSE,"Shut-down"}</definedName>
    <definedName name="wrn.Shut_Down." localSheetId="22" hidden="1">{#N/A,#N/A,FALSE,"Shut-down"}</definedName>
    <definedName name="wrn.Shut_Down." localSheetId="10" hidden="1">{#N/A,#N/A,FALSE,"Shut-down"}</definedName>
    <definedName name="wrn.Shut_Down." localSheetId="30" hidden="1">{#N/A,#N/A,FALSE,"Shut-down"}</definedName>
    <definedName name="wrn.Shut_Down." localSheetId="0" hidden="1">{#N/A,#N/A,FALSE,"Shut-down"}</definedName>
    <definedName name="wrn.Shut_Down." localSheetId="3" hidden="1">{#N/A,#N/A,FALSE,"Shut-down"}</definedName>
    <definedName name="wrn.Shut_Down." localSheetId="4" hidden="1">{#N/A,#N/A,FALSE,"Shut-down"}</definedName>
    <definedName name="wrn.Shut_Down." localSheetId="28" hidden="1">{#N/A,#N/A,FALSE,"Shut-down"}</definedName>
    <definedName name="wrn.Shut_Down." localSheetId="33" hidden="1">{#N/A,#N/A,FALSE,"Shut-down"}</definedName>
    <definedName name="wrn.Shut_Down." localSheetId="32" hidden="1">{#N/A,#N/A,FALSE,"Shut-down"}</definedName>
    <definedName name="wrn.Shut_Down." localSheetId="7" hidden="1">{#N/A,#N/A,FALSE,"Shut-down"}</definedName>
    <definedName name="wrn.Shut_Down." localSheetId="29" hidden="1">{#N/A,#N/A,FALSE,"Shut-down"}</definedName>
    <definedName name="wrn.Shut_Down." localSheetId="1" hidden="1">{#N/A,#N/A,FALSE,"Shut-down"}</definedName>
    <definedName name="wrn.Shut_Down." localSheetId="31" hidden="1">{#N/A,#N/A,FALSE,"Shut-down"}</definedName>
    <definedName name="wrn.Shut_Down." hidden="1">{#N/A,#N/A,FALSE,"Shut-down"}</definedName>
    <definedName name="wrn.SKSCS1." localSheetId="12" hidden="1">{#N/A,#N/A,FALSE,"Antony Financials";#N/A,#N/A,FALSE,"Cowboy Financials";#N/A,#N/A,FALSE,"Combined";#N/A,#N/A,FALSE,"Valuematrix";#N/A,#N/A,FALSE,"DCFAntony";#N/A,#N/A,FALSE,"DCFCowboy";#N/A,#N/A,FALSE,"DCFCombined"}</definedName>
    <definedName name="wrn.SKSCS1." localSheetId="18" hidden="1">{#N/A,#N/A,FALSE,"Antony Financials";#N/A,#N/A,FALSE,"Cowboy Financials";#N/A,#N/A,FALSE,"Combined";#N/A,#N/A,FALSE,"Valuematrix";#N/A,#N/A,FALSE,"DCFAntony";#N/A,#N/A,FALSE,"DCFCowboy";#N/A,#N/A,FALSE,"DCFCombined"}</definedName>
    <definedName name="wrn.SKSCS1." localSheetId="19" hidden="1">{#N/A,#N/A,FALSE,"Antony Financials";#N/A,#N/A,FALSE,"Cowboy Financials";#N/A,#N/A,FALSE,"Combined";#N/A,#N/A,FALSE,"Valuematrix";#N/A,#N/A,FALSE,"DCFAntony";#N/A,#N/A,FALSE,"DCFCowboy";#N/A,#N/A,FALSE,"DCFCombined"}</definedName>
    <definedName name="wrn.SKSCS1." localSheetId="17" hidden="1">{#N/A,#N/A,FALSE,"Antony Financials";#N/A,#N/A,FALSE,"Cowboy Financials";#N/A,#N/A,FALSE,"Combined";#N/A,#N/A,FALSE,"Valuematrix";#N/A,#N/A,FALSE,"DCFAntony";#N/A,#N/A,FALSE,"DCFCowboy";#N/A,#N/A,FALSE,"DCFCombined"}</definedName>
    <definedName name="wrn.SKSCS1." localSheetId="22" hidden="1">{#N/A,#N/A,FALSE,"Antony Financials";#N/A,#N/A,FALSE,"Cowboy Financials";#N/A,#N/A,FALSE,"Combined";#N/A,#N/A,FALSE,"Valuematrix";#N/A,#N/A,FALSE,"DCFAntony";#N/A,#N/A,FALSE,"DCFCowboy";#N/A,#N/A,FALSE,"DCFCombined"}</definedName>
    <definedName name="wrn.SKSCS1." localSheetId="10" hidden="1">{#N/A,#N/A,FALSE,"Antony Financials";#N/A,#N/A,FALSE,"Cowboy Financials";#N/A,#N/A,FALSE,"Combined";#N/A,#N/A,FALSE,"Valuematrix";#N/A,#N/A,FALSE,"DCFAntony";#N/A,#N/A,FALSE,"DCFCowboy";#N/A,#N/A,FALSE,"DCFCombined"}</definedName>
    <definedName name="wrn.SKSCS1." localSheetId="30" hidden="1">{#N/A,#N/A,FALSE,"Antony Financials";#N/A,#N/A,FALSE,"Cowboy Financials";#N/A,#N/A,FALSE,"Combined";#N/A,#N/A,FALSE,"Valuematrix";#N/A,#N/A,FALSE,"DCFAntony";#N/A,#N/A,FALSE,"DCFCowboy";#N/A,#N/A,FALSE,"DCFCombined"}</definedName>
    <definedName name="wrn.SKSCS1." localSheetId="0" hidden="1">{#N/A,#N/A,FALSE,"Antony Financials";#N/A,#N/A,FALSE,"Cowboy Financials";#N/A,#N/A,FALSE,"Combined";#N/A,#N/A,FALSE,"Valuematrix";#N/A,#N/A,FALSE,"DCFAntony";#N/A,#N/A,FALSE,"DCFCowboy";#N/A,#N/A,FALSE,"DCFCombined"}</definedName>
    <definedName name="wrn.SKSCS1." localSheetId="3" hidden="1">{#N/A,#N/A,FALSE,"Antony Financials";#N/A,#N/A,FALSE,"Cowboy Financials";#N/A,#N/A,FALSE,"Combined";#N/A,#N/A,FALSE,"Valuematrix";#N/A,#N/A,FALSE,"DCFAntony";#N/A,#N/A,FALSE,"DCFCowboy";#N/A,#N/A,FALSE,"DCFCombined"}</definedName>
    <definedName name="wrn.SKSCS1." localSheetId="4" hidden="1">{#N/A,#N/A,FALSE,"Antony Financials";#N/A,#N/A,FALSE,"Cowboy Financials";#N/A,#N/A,FALSE,"Combined";#N/A,#N/A,FALSE,"Valuematrix";#N/A,#N/A,FALSE,"DCFAntony";#N/A,#N/A,FALSE,"DCFCowboy";#N/A,#N/A,FALSE,"DCFCombined"}</definedName>
    <definedName name="wrn.SKSCS1." localSheetId="28" hidden="1">{#N/A,#N/A,FALSE,"Antony Financials";#N/A,#N/A,FALSE,"Cowboy Financials";#N/A,#N/A,FALSE,"Combined";#N/A,#N/A,FALSE,"Valuematrix";#N/A,#N/A,FALSE,"DCFAntony";#N/A,#N/A,FALSE,"DCFCowboy";#N/A,#N/A,FALSE,"DCFCombined"}</definedName>
    <definedName name="wrn.SKSCS1." localSheetId="33" hidden="1">{#N/A,#N/A,FALSE,"Antony Financials";#N/A,#N/A,FALSE,"Cowboy Financials";#N/A,#N/A,FALSE,"Combined";#N/A,#N/A,FALSE,"Valuematrix";#N/A,#N/A,FALSE,"DCFAntony";#N/A,#N/A,FALSE,"DCFCowboy";#N/A,#N/A,FALSE,"DCFCombined"}</definedName>
    <definedName name="wrn.SKSCS1." localSheetId="32" hidden="1">{#N/A,#N/A,FALSE,"Antony Financials";#N/A,#N/A,FALSE,"Cowboy Financials";#N/A,#N/A,FALSE,"Combined";#N/A,#N/A,FALSE,"Valuematrix";#N/A,#N/A,FALSE,"DCFAntony";#N/A,#N/A,FALSE,"DCFCowboy";#N/A,#N/A,FALSE,"DCFCombined"}</definedName>
    <definedName name="wrn.SKSCS1." localSheetId="7" hidden="1">{#N/A,#N/A,FALSE,"Antony Financials";#N/A,#N/A,FALSE,"Cowboy Financials";#N/A,#N/A,FALSE,"Combined";#N/A,#N/A,FALSE,"Valuematrix";#N/A,#N/A,FALSE,"DCFAntony";#N/A,#N/A,FALSE,"DCFCowboy";#N/A,#N/A,FALSE,"DCFCombined"}</definedName>
    <definedName name="wrn.SKSCS1." localSheetId="29" hidden="1">{#N/A,#N/A,FALSE,"Antony Financials";#N/A,#N/A,FALSE,"Cowboy Financials";#N/A,#N/A,FALSE,"Combined";#N/A,#N/A,FALSE,"Valuematrix";#N/A,#N/A,FALSE,"DCFAntony";#N/A,#N/A,FALSE,"DCFCowboy";#N/A,#N/A,FALSE,"DCFCombined"}</definedName>
    <definedName name="wrn.SKSCS1." localSheetId="1" hidden="1">{#N/A,#N/A,FALSE,"Antony Financials";#N/A,#N/A,FALSE,"Cowboy Financials";#N/A,#N/A,FALSE,"Combined";#N/A,#N/A,FALSE,"Valuematrix";#N/A,#N/A,FALSE,"DCFAntony";#N/A,#N/A,FALSE,"DCFCowboy";#N/A,#N/A,FALSE,"DCFCombined"}</definedName>
    <definedName name="wrn.SKSCS1." localSheetId="31" hidden="1">{#N/A,#N/A,FALSE,"Antony Financials";#N/A,#N/A,FALSE,"Cowboy Financials";#N/A,#N/A,FALSE,"Combined";#N/A,#N/A,FALSE,"Valuematrix";#N/A,#N/A,FALSE,"DCFAntony";#N/A,#N/A,FALSE,"DCFCowboy";#N/A,#N/A,FALSE,"DCFCombined"}</definedName>
    <definedName name="wrn.SKSCS1." hidden="1">{#N/A,#N/A,FALSE,"Antony Financials";#N/A,#N/A,FALSE,"Cowboy Financials";#N/A,#N/A,FALSE,"Combined";#N/A,#N/A,FALSE,"Valuematrix";#N/A,#N/A,FALSE,"DCFAntony";#N/A,#N/A,FALSE,"DCFCowboy";#N/A,#N/A,FALSE,"DCFCombined"}</definedName>
    <definedName name="wrn.Summary." localSheetId="12" hidden="1">{"Summary",#N/A,FALSE,"Summary"}</definedName>
    <definedName name="wrn.Summary." localSheetId="18" hidden="1">{"Summary",#N/A,FALSE,"Summary"}</definedName>
    <definedName name="wrn.Summary." localSheetId="19" hidden="1">{"Summary",#N/A,FALSE,"Summary"}</definedName>
    <definedName name="wrn.Summary." localSheetId="17" hidden="1">{"Summary",#N/A,FALSE,"Summary"}</definedName>
    <definedName name="wrn.Summary." localSheetId="22" hidden="1">{"Summary",#N/A,FALSE,"Summary"}</definedName>
    <definedName name="wrn.Summary." localSheetId="10" hidden="1">{"Summary",#N/A,FALSE,"Summary"}</definedName>
    <definedName name="wrn.Summary." localSheetId="30" hidden="1">{"Summary",#N/A,FALSE,"Summary"}</definedName>
    <definedName name="wrn.Summary." localSheetId="0" hidden="1">{"Summary",#N/A,FALSE,"Summary"}</definedName>
    <definedName name="wrn.Summary." localSheetId="3" hidden="1">{"Summary",#N/A,FALSE,"Summary"}</definedName>
    <definedName name="wrn.Summary." localSheetId="4" hidden="1">{"Summary",#N/A,FALSE,"Summary"}</definedName>
    <definedName name="wrn.Summary." localSheetId="28" hidden="1">{"Summary",#N/A,FALSE,"Summary"}</definedName>
    <definedName name="wrn.Summary." localSheetId="33" hidden="1">{"Summary",#N/A,FALSE,"Summary"}</definedName>
    <definedName name="wrn.Summary." localSheetId="32" hidden="1">{"Summary",#N/A,FALSE,"Summary"}</definedName>
    <definedName name="wrn.Summary." localSheetId="7" hidden="1">{"Summary",#N/A,FALSE,"Summary"}</definedName>
    <definedName name="wrn.Summary." localSheetId="29" hidden="1">{"Summary",#N/A,FALSE,"Summary"}</definedName>
    <definedName name="wrn.Summary." localSheetId="1" hidden="1">{"Summary",#N/A,FALSE,"Summary"}</definedName>
    <definedName name="wrn.Summary." localSheetId="31" hidden="1">{"Summary",#N/A,FALSE,"Summary"}</definedName>
    <definedName name="wrn.Summary." hidden="1">{"Summary",#N/A,FALSE,"Summary"}</definedName>
    <definedName name="wrn.SummaryPgs." localSheetId="12" hidden="1">{#N/A,#N/A,FALSE,"CreditStat";#N/A,#N/A,FALSE,"SPbrkup";#N/A,#N/A,FALSE,"MerSPsyn";#N/A,#N/A,FALSE,"MerSPwKCsyn";#N/A,#N/A,FALSE,"MerSPwKCsyn (2)";#N/A,#N/A,FALSE,"CreditStat (2)"}</definedName>
    <definedName name="wrn.SummaryPgs." localSheetId="18" hidden="1">{#N/A,#N/A,FALSE,"CreditStat";#N/A,#N/A,FALSE,"SPbrkup";#N/A,#N/A,FALSE,"MerSPsyn";#N/A,#N/A,FALSE,"MerSPwKCsyn";#N/A,#N/A,FALSE,"MerSPwKCsyn (2)";#N/A,#N/A,FALSE,"CreditStat (2)"}</definedName>
    <definedName name="wrn.SummaryPgs." localSheetId="19" hidden="1">{#N/A,#N/A,FALSE,"CreditStat";#N/A,#N/A,FALSE,"SPbrkup";#N/A,#N/A,FALSE,"MerSPsyn";#N/A,#N/A,FALSE,"MerSPwKCsyn";#N/A,#N/A,FALSE,"MerSPwKCsyn (2)";#N/A,#N/A,FALSE,"CreditStat (2)"}</definedName>
    <definedName name="wrn.SummaryPgs." localSheetId="17" hidden="1">{#N/A,#N/A,FALSE,"CreditStat";#N/A,#N/A,FALSE,"SPbrkup";#N/A,#N/A,FALSE,"MerSPsyn";#N/A,#N/A,FALSE,"MerSPwKCsyn";#N/A,#N/A,FALSE,"MerSPwKCsyn (2)";#N/A,#N/A,FALSE,"CreditStat (2)"}</definedName>
    <definedName name="wrn.SummaryPgs." localSheetId="22" hidden="1">{#N/A,#N/A,FALSE,"CreditStat";#N/A,#N/A,FALSE,"SPbrkup";#N/A,#N/A,FALSE,"MerSPsyn";#N/A,#N/A,FALSE,"MerSPwKCsyn";#N/A,#N/A,FALSE,"MerSPwKCsyn (2)";#N/A,#N/A,FALSE,"CreditStat (2)"}</definedName>
    <definedName name="wrn.SummaryPgs." localSheetId="10" hidden="1">{#N/A,#N/A,FALSE,"CreditStat";#N/A,#N/A,FALSE,"SPbrkup";#N/A,#N/A,FALSE,"MerSPsyn";#N/A,#N/A,FALSE,"MerSPwKCsyn";#N/A,#N/A,FALSE,"MerSPwKCsyn (2)";#N/A,#N/A,FALSE,"CreditStat (2)"}</definedName>
    <definedName name="wrn.SummaryPgs." localSheetId="30" hidden="1">{#N/A,#N/A,FALSE,"CreditStat";#N/A,#N/A,FALSE,"SPbrkup";#N/A,#N/A,FALSE,"MerSPsyn";#N/A,#N/A,FALSE,"MerSPwKCsyn";#N/A,#N/A,FALSE,"MerSPwKCsyn (2)";#N/A,#N/A,FALSE,"CreditStat (2)"}</definedName>
    <definedName name="wrn.SummaryPgs." localSheetId="0" hidden="1">{#N/A,#N/A,FALSE,"CreditStat";#N/A,#N/A,FALSE,"SPbrkup";#N/A,#N/A,FALSE,"MerSPsyn";#N/A,#N/A,FALSE,"MerSPwKCsyn";#N/A,#N/A,FALSE,"MerSPwKCsyn (2)";#N/A,#N/A,FALSE,"CreditStat (2)"}</definedName>
    <definedName name="wrn.SummaryPgs." localSheetId="3" hidden="1">{#N/A,#N/A,FALSE,"CreditStat";#N/A,#N/A,FALSE,"SPbrkup";#N/A,#N/A,FALSE,"MerSPsyn";#N/A,#N/A,FALSE,"MerSPwKCsyn";#N/A,#N/A,FALSE,"MerSPwKCsyn (2)";#N/A,#N/A,FALSE,"CreditStat (2)"}</definedName>
    <definedName name="wrn.SummaryPgs." localSheetId="4" hidden="1">{#N/A,#N/A,FALSE,"CreditStat";#N/A,#N/A,FALSE,"SPbrkup";#N/A,#N/A,FALSE,"MerSPsyn";#N/A,#N/A,FALSE,"MerSPwKCsyn";#N/A,#N/A,FALSE,"MerSPwKCsyn (2)";#N/A,#N/A,FALSE,"CreditStat (2)"}</definedName>
    <definedName name="wrn.SummaryPgs." localSheetId="28" hidden="1">{#N/A,#N/A,FALSE,"CreditStat";#N/A,#N/A,FALSE,"SPbrkup";#N/A,#N/A,FALSE,"MerSPsyn";#N/A,#N/A,FALSE,"MerSPwKCsyn";#N/A,#N/A,FALSE,"MerSPwKCsyn (2)";#N/A,#N/A,FALSE,"CreditStat (2)"}</definedName>
    <definedName name="wrn.SummaryPgs." localSheetId="33" hidden="1">{#N/A,#N/A,FALSE,"CreditStat";#N/A,#N/A,FALSE,"SPbrkup";#N/A,#N/A,FALSE,"MerSPsyn";#N/A,#N/A,FALSE,"MerSPwKCsyn";#N/A,#N/A,FALSE,"MerSPwKCsyn (2)";#N/A,#N/A,FALSE,"CreditStat (2)"}</definedName>
    <definedName name="wrn.SummaryPgs." localSheetId="32" hidden="1">{#N/A,#N/A,FALSE,"CreditStat";#N/A,#N/A,FALSE,"SPbrkup";#N/A,#N/A,FALSE,"MerSPsyn";#N/A,#N/A,FALSE,"MerSPwKCsyn";#N/A,#N/A,FALSE,"MerSPwKCsyn (2)";#N/A,#N/A,FALSE,"CreditStat (2)"}</definedName>
    <definedName name="wrn.SummaryPgs." localSheetId="7" hidden="1">{#N/A,#N/A,FALSE,"CreditStat";#N/A,#N/A,FALSE,"SPbrkup";#N/A,#N/A,FALSE,"MerSPsyn";#N/A,#N/A,FALSE,"MerSPwKCsyn";#N/A,#N/A,FALSE,"MerSPwKCsyn (2)";#N/A,#N/A,FALSE,"CreditStat (2)"}</definedName>
    <definedName name="wrn.SummaryPgs." localSheetId="29" hidden="1">{#N/A,#N/A,FALSE,"CreditStat";#N/A,#N/A,FALSE,"SPbrkup";#N/A,#N/A,FALSE,"MerSPsyn";#N/A,#N/A,FALSE,"MerSPwKCsyn";#N/A,#N/A,FALSE,"MerSPwKCsyn (2)";#N/A,#N/A,FALSE,"CreditStat (2)"}</definedName>
    <definedName name="wrn.SummaryPgs." localSheetId="1" hidden="1">{#N/A,#N/A,FALSE,"CreditStat";#N/A,#N/A,FALSE,"SPbrkup";#N/A,#N/A,FALSE,"MerSPsyn";#N/A,#N/A,FALSE,"MerSPwKCsyn";#N/A,#N/A,FALSE,"MerSPwKCsyn (2)";#N/A,#N/A,FALSE,"CreditStat (2)"}</definedName>
    <definedName name="wrn.SummaryPgs." localSheetId="31" hidden="1">{#N/A,#N/A,FALSE,"CreditStat";#N/A,#N/A,FALSE,"SPbrkup";#N/A,#N/A,FALSE,"MerSPsyn";#N/A,#N/A,FALSE,"MerSPwKCsyn";#N/A,#N/A,FALSE,"MerSPwKCsyn (2)";#N/A,#N/A,FALSE,"CreditStat (2)"}</definedName>
    <definedName name="wrn.SummaryPgs." hidden="1">{#N/A,#N/A,FALSE,"CreditStat";#N/A,#N/A,FALSE,"SPbrkup";#N/A,#N/A,FALSE,"MerSPsyn";#N/A,#N/A,FALSE,"MerSPwKCsyn";#N/A,#N/A,FALSE,"MerSPwKCsyn (2)";#N/A,#N/A,FALSE,"CreditStat (2)"}</definedName>
    <definedName name="wrn.Tariff._.Analysis." localSheetId="12" hidden="1">{"Tarifica91",#N/A,FALSE,"Tariffs";"Tarifica92",#N/A,FALSE,"Tariffs";"Tarifica93",#N/A,FALSE,"Tariffs";"Tarifica94",#N/A,FALSE,"Tariffs";"Tarifica95",#N/A,FALSE,"Tariffs";"Tarifica96",#N/A,FALSE,"Tariffs"}</definedName>
    <definedName name="wrn.Tariff._.Analysis." localSheetId="18" hidden="1">{"Tarifica91",#N/A,FALSE,"Tariffs";"Tarifica92",#N/A,FALSE,"Tariffs";"Tarifica93",#N/A,FALSE,"Tariffs";"Tarifica94",#N/A,FALSE,"Tariffs";"Tarifica95",#N/A,FALSE,"Tariffs";"Tarifica96",#N/A,FALSE,"Tariffs"}</definedName>
    <definedName name="wrn.Tariff._.Analysis." localSheetId="19" hidden="1">{"Tarifica91",#N/A,FALSE,"Tariffs";"Tarifica92",#N/A,FALSE,"Tariffs";"Tarifica93",#N/A,FALSE,"Tariffs";"Tarifica94",#N/A,FALSE,"Tariffs";"Tarifica95",#N/A,FALSE,"Tariffs";"Tarifica96",#N/A,FALSE,"Tariffs"}</definedName>
    <definedName name="wrn.Tariff._.Analysis." localSheetId="17" hidden="1">{"Tarifica91",#N/A,FALSE,"Tariffs";"Tarifica92",#N/A,FALSE,"Tariffs";"Tarifica93",#N/A,FALSE,"Tariffs";"Tarifica94",#N/A,FALSE,"Tariffs";"Tarifica95",#N/A,FALSE,"Tariffs";"Tarifica96",#N/A,FALSE,"Tariffs"}</definedName>
    <definedName name="wrn.Tariff._.Analysis." localSheetId="22" hidden="1">{"Tarifica91",#N/A,FALSE,"Tariffs";"Tarifica92",#N/A,FALSE,"Tariffs";"Tarifica93",#N/A,FALSE,"Tariffs";"Tarifica94",#N/A,FALSE,"Tariffs";"Tarifica95",#N/A,FALSE,"Tariffs";"Tarifica96",#N/A,FALSE,"Tariffs"}</definedName>
    <definedName name="wrn.Tariff._.Analysis." localSheetId="10" hidden="1">{"Tarifica91",#N/A,FALSE,"Tariffs";"Tarifica92",#N/A,FALSE,"Tariffs";"Tarifica93",#N/A,FALSE,"Tariffs";"Tarifica94",#N/A,FALSE,"Tariffs";"Tarifica95",#N/A,FALSE,"Tariffs";"Tarifica96",#N/A,FALSE,"Tariffs"}</definedName>
    <definedName name="wrn.Tariff._.Analysis." localSheetId="30" hidden="1">{"Tarifica91",#N/A,FALSE,"Tariffs";"Tarifica92",#N/A,FALSE,"Tariffs";"Tarifica93",#N/A,FALSE,"Tariffs";"Tarifica94",#N/A,FALSE,"Tariffs";"Tarifica95",#N/A,FALSE,"Tariffs";"Tarifica96",#N/A,FALSE,"Tariffs"}</definedName>
    <definedName name="wrn.Tariff._.Analysis." localSheetId="0" hidden="1">{"Tarifica91",#N/A,FALSE,"Tariffs";"Tarifica92",#N/A,FALSE,"Tariffs";"Tarifica93",#N/A,FALSE,"Tariffs";"Tarifica94",#N/A,FALSE,"Tariffs";"Tarifica95",#N/A,FALSE,"Tariffs";"Tarifica96",#N/A,FALSE,"Tariffs"}</definedName>
    <definedName name="wrn.Tariff._.Analysis." localSheetId="3" hidden="1">{"Tarifica91",#N/A,FALSE,"Tariffs";"Tarifica92",#N/A,FALSE,"Tariffs";"Tarifica93",#N/A,FALSE,"Tariffs";"Tarifica94",#N/A,FALSE,"Tariffs";"Tarifica95",#N/A,FALSE,"Tariffs";"Tarifica96",#N/A,FALSE,"Tariffs"}</definedName>
    <definedName name="wrn.Tariff._.Analysis." localSheetId="4" hidden="1">{"Tarifica91",#N/A,FALSE,"Tariffs";"Tarifica92",#N/A,FALSE,"Tariffs";"Tarifica93",#N/A,FALSE,"Tariffs";"Tarifica94",#N/A,FALSE,"Tariffs";"Tarifica95",#N/A,FALSE,"Tariffs";"Tarifica96",#N/A,FALSE,"Tariffs"}</definedName>
    <definedName name="wrn.Tariff._.Analysis." localSheetId="28" hidden="1">{"Tarifica91",#N/A,FALSE,"Tariffs";"Tarifica92",#N/A,FALSE,"Tariffs";"Tarifica93",#N/A,FALSE,"Tariffs";"Tarifica94",#N/A,FALSE,"Tariffs";"Tarifica95",#N/A,FALSE,"Tariffs";"Tarifica96",#N/A,FALSE,"Tariffs"}</definedName>
    <definedName name="wrn.Tariff._.Analysis." localSheetId="33" hidden="1">{"Tarifica91",#N/A,FALSE,"Tariffs";"Tarifica92",#N/A,FALSE,"Tariffs";"Tarifica93",#N/A,FALSE,"Tariffs";"Tarifica94",#N/A,FALSE,"Tariffs";"Tarifica95",#N/A,FALSE,"Tariffs";"Tarifica96",#N/A,FALSE,"Tariffs"}</definedName>
    <definedName name="wrn.Tariff._.Analysis." localSheetId="32" hidden="1">{"Tarifica91",#N/A,FALSE,"Tariffs";"Tarifica92",#N/A,FALSE,"Tariffs";"Tarifica93",#N/A,FALSE,"Tariffs";"Tarifica94",#N/A,FALSE,"Tariffs";"Tarifica95",#N/A,FALSE,"Tariffs";"Tarifica96",#N/A,FALSE,"Tariffs"}</definedName>
    <definedName name="wrn.Tariff._.Analysis." localSheetId="7" hidden="1">{"Tarifica91",#N/A,FALSE,"Tariffs";"Tarifica92",#N/A,FALSE,"Tariffs";"Tarifica93",#N/A,FALSE,"Tariffs";"Tarifica94",#N/A,FALSE,"Tariffs";"Tarifica95",#N/A,FALSE,"Tariffs";"Tarifica96",#N/A,FALSE,"Tariffs"}</definedName>
    <definedName name="wrn.Tariff._.Analysis." localSheetId="29" hidden="1">{"Tarifica91",#N/A,FALSE,"Tariffs";"Tarifica92",#N/A,FALSE,"Tariffs";"Tarifica93",#N/A,FALSE,"Tariffs";"Tarifica94",#N/A,FALSE,"Tariffs";"Tarifica95",#N/A,FALSE,"Tariffs";"Tarifica96",#N/A,FALSE,"Tariffs"}</definedName>
    <definedName name="wrn.Tariff._.Analysis." localSheetId="1" hidden="1">{"Tarifica91",#N/A,FALSE,"Tariffs";"Tarifica92",#N/A,FALSE,"Tariffs";"Tarifica93",#N/A,FALSE,"Tariffs";"Tarifica94",#N/A,FALSE,"Tariffs";"Tarifica95",#N/A,FALSE,"Tariffs";"Tarifica96",#N/A,FALSE,"Tariffs"}</definedName>
    <definedName name="wrn.Tariff._.Analysis." localSheetId="31" hidden="1">{"Tarifica91",#N/A,FALSE,"Tariffs";"Tarifica92",#N/A,FALSE,"Tariffs";"Tarifica93",#N/A,FALSE,"Tariffs";"Tarifica94",#N/A,FALSE,"Tariffs";"Tarifica95",#N/A,FALSE,"Tariffs";"Tarifica96",#N/A,FALSE,"Tariffs"}</definedName>
    <definedName name="wrn.Tariff._.Analysis." hidden="1">{"Tarifica91",#N/A,FALSE,"Tariffs";"Tarifica92",#N/A,FALSE,"Tariffs";"Tarifica93",#N/A,FALSE,"Tariffs";"Tarifica94",#N/A,FALSE,"Tariffs";"Tarifica95",#N/A,FALSE,"Tariffs";"Tarifica96",#N/A,FALSE,"Tariffs"}</definedName>
    <definedName name="wrn.Tariff._.Comaprison." localSheetId="12" hidden="1">{"Tariff Comparison",#N/A,FALSE,"Benchmarking";"Tariff Comparison 2",#N/A,FALSE,"Benchmarking";"Tariff Comparison 3",#N/A,FALSE,"Benchmarking"}</definedName>
    <definedName name="wrn.Tariff._.Comaprison." localSheetId="18" hidden="1">{"Tariff Comparison",#N/A,FALSE,"Benchmarking";"Tariff Comparison 2",#N/A,FALSE,"Benchmarking";"Tariff Comparison 3",#N/A,FALSE,"Benchmarking"}</definedName>
    <definedName name="wrn.Tariff._.Comaprison." localSheetId="19" hidden="1">{"Tariff Comparison",#N/A,FALSE,"Benchmarking";"Tariff Comparison 2",#N/A,FALSE,"Benchmarking";"Tariff Comparison 3",#N/A,FALSE,"Benchmarking"}</definedName>
    <definedName name="wrn.Tariff._.Comaprison." localSheetId="17" hidden="1">{"Tariff Comparison",#N/A,FALSE,"Benchmarking";"Tariff Comparison 2",#N/A,FALSE,"Benchmarking";"Tariff Comparison 3",#N/A,FALSE,"Benchmarking"}</definedName>
    <definedName name="wrn.Tariff._.Comaprison." localSheetId="22" hidden="1">{"Tariff Comparison",#N/A,FALSE,"Benchmarking";"Tariff Comparison 2",#N/A,FALSE,"Benchmarking";"Tariff Comparison 3",#N/A,FALSE,"Benchmarking"}</definedName>
    <definedName name="wrn.Tariff._.Comaprison." localSheetId="10" hidden="1">{"Tariff Comparison",#N/A,FALSE,"Benchmarking";"Tariff Comparison 2",#N/A,FALSE,"Benchmarking";"Tariff Comparison 3",#N/A,FALSE,"Benchmarking"}</definedName>
    <definedName name="wrn.Tariff._.Comaprison." localSheetId="30" hidden="1">{"Tariff Comparison",#N/A,FALSE,"Benchmarking";"Tariff Comparison 2",#N/A,FALSE,"Benchmarking";"Tariff Comparison 3",#N/A,FALSE,"Benchmarking"}</definedName>
    <definedName name="wrn.Tariff._.Comaprison." localSheetId="0" hidden="1">{"Tariff Comparison",#N/A,FALSE,"Benchmarking";"Tariff Comparison 2",#N/A,FALSE,"Benchmarking";"Tariff Comparison 3",#N/A,FALSE,"Benchmarking"}</definedName>
    <definedName name="wrn.Tariff._.Comaprison." localSheetId="3" hidden="1">{"Tariff Comparison",#N/A,FALSE,"Benchmarking";"Tariff Comparison 2",#N/A,FALSE,"Benchmarking";"Tariff Comparison 3",#N/A,FALSE,"Benchmarking"}</definedName>
    <definedName name="wrn.Tariff._.Comaprison." localSheetId="4" hidden="1">{"Tariff Comparison",#N/A,FALSE,"Benchmarking";"Tariff Comparison 2",#N/A,FALSE,"Benchmarking";"Tariff Comparison 3",#N/A,FALSE,"Benchmarking"}</definedName>
    <definedName name="wrn.Tariff._.Comaprison." localSheetId="28" hidden="1">{"Tariff Comparison",#N/A,FALSE,"Benchmarking";"Tariff Comparison 2",#N/A,FALSE,"Benchmarking";"Tariff Comparison 3",#N/A,FALSE,"Benchmarking"}</definedName>
    <definedName name="wrn.Tariff._.Comaprison." localSheetId="33" hidden="1">{"Tariff Comparison",#N/A,FALSE,"Benchmarking";"Tariff Comparison 2",#N/A,FALSE,"Benchmarking";"Tariff Comparison 3",#N/A,FALSE,"Benchmarking"}</definedName>
    <definedName name="wrn.Tariff._.Comaprison." localSheetId="32" hidden="1">{"Tariff Comparison",#N/A,FALSE,"Benchmarking";"Tariff Comparison 2",#N/A,FALSE,"Benchmarking";"Tariff Comparison 3",#N/A,FALSE,"Benchmarking"}</definedName>
    <definedName name="wrn.Tariff._.Comaprison." localSheetId="7" hidden="1">{"Tariff Comparison",#N/A,FALSE,"Benchmarking";"Tariff Comparison 2",#N/A,FALSE,"Benchmarking";"Tariff Comparison 3",#N/A,FALSE,"Benchmarking"}</definedName>
    <definedName name="wrn.Tariff._.Comaprison." localSheetId="29" hidden="1">{"Tariff Comparison",#N/A,FALSE,"Benchmarking";"Tariff Comparison 2",#N/A,FALSE,"Benchmarking";"Tariff Comparison 3",#N/A,FALSE,"Benchmarking"}</definedName>
    <definedName name="wrn.Tariff._.Comaprison." localSheetId="1" hidden="1">{"Tariff Comparison",#N/A,FALSE,"Benchmarking";"Tariff Comparison 2",#N/A,FALSE,"Benchmarking";"Tariff Comparison 3",#N/A,FALSE,"Benchmarking"}</definedName>
    <definedName name="wrn.Tariff._.Comaprison." localSheetId="31" hidden="1">{"Tariff Comparison",#N/A,FALSE,"Benchmarking";"Tariff Comparison 2",#N/A,FALSE,"Benchmarking";"Tariff Comparison 3",#N/A,FALSE,"Benchmarking"}</definedName>
    <definedName name="wrn.Tariff._.Comaprison." hidden="1">{"Tariff Comparison",#N/A,FALSE,"Benchmarking";"Tariff Comparison 2",#N/A,FALSE,"Benchmarking";"Tariff Comparison 3",#N/A,FALSE,"Benchmarking"}</definedName>
    <definedName name="wrn.Temp." localSheetId="12" hidden="1">{"Side 1",#N/A,FALSE,"Hovedark";"Valuation",#N/A,FALSE,"Valuation";"Side 2",#N/A,FALSE,"Hovedark";"Cash Flow",#N/A,FALSE,"Hovedark";"Bidrag",#N/A,FALSE,"Bidrag"}</definedName>
    <definedName name="wrn.Temp." localSheetId="18" hidden="1">{"Side 1",#N/A,FALSE,"Hovedark";"Valuation",#N/A,FALSE,"Valuation";"Side 2",#N/A,FALSE,"Hovedark";"Cash Flow",#N/A,FALSE,"Hovedark";"Bidrag",#N/A,FALSE,"Bidrag"}</definedName>
    <definedName name="wrn.Temp." localSheetId="19" hidden="1">{"Side 1",#N/A,FALSE,"Hovedark";"Valuation",#N/A,FALSE,"Valuation";"Side 2",#N/A,FALSE,"Hovedark";"Cash Flow",#N/A,FALSE,"Hovedark";"Bidrag",#N/A,FALSE,"Bidrag"}</definedName>
    <definedName name="wrn.Temp." localSheetId="17" hidden="1">{"Side 1",#N/A,FALSE,"Hovedark";"Valuation",#N/A,FALSE,"Valuation";"Side 2",#N/A,FALSE,"Hovedark";"Cash Flow",#N/A,FALSE,"Hovedark";"Bidrag",#N/A,FALSE,"Bidrag"}</definedName>
    <definedName name="wrn.Temp." localSheetId="22" hidden="1">{"Side 1",#N/A,FALSE,"Hovedark";"Valuation",#N/A,FALSE,"Valuation";"Side 2",#N/A,FALSE,"Hovedark";"Cash Flow",#N/A,FALSE,"Hovedark";"Bidrag",#N/A,FALSE,"Bidrag"}</definedName>
    <definedName name="wrn.Temp." localSheetId="10" hidden="1">{"Side 1",#N/A,FALSE,"Hovedark";"Valuation",#N/A,FALSE,"Valuation";"Side 2",#N/A,FALSE,"Hovedark";"Cash Flow",#N/A,FALSE,"Hovedark";"Bidrag",#N/A,FALSE,"Bidrag"}</definedName>
    <definedName name="wrn.Temp." localSheetId="30" hidden="1">{"Side 1",#N/A,FALSE,"Hovedark";"Valuation",#N/A,FALSE,"Valuation";"Side 2",#N/A,FALSE,"Hovedark";"Cash Flow",#N/A,FALSE,"Hovedark";"Bidrag",#N/A,FALSE,"Bidrag"}</definedName>
    <definedName name="wrn.Temp." localSheetId="0" hidden="1">{"Side 1",#N/A,FALSE,"Hovedark";"Valuation",#N/A,FALSE,"Valuation";"Side 2",#N/A,FALSE,"Hovedark";"Cash Flow",#N/A,FALSE,"Hovedark";"Bidrag",#N/A,FALSE,"Bidrag"}</definedName>
    <definedName name="wrn.Temp." localSheetId="3" hidden="1">{"Side 1",#N/A,FALSE,"Hovedark";"Valuation",#N/A,FALSE,"Valuation";"Side 2",#N/A,FALSE,"Hovedark";"Cash Flow",#N/A,FALSE,"Hovedark";"Bidrag",#N/A,FALSE,"Bidrag"}</definedName>
    <definedName name="wrn.Temp." localSheetId="4" hidden="1">{"Side 1",#N/A,FALSE,"Hovedark";"Valuation",#N/A,FALSE,"Valuation";"Side 2",#N/A,FALSE,"Hovedark";"Cash Flow",#N/A,FALSE,"Hovedark";"Bidrag",#N/A,FALSE,"Bidrag"}</definedName>
    <definedName name="wrn.Temp." localSheetId="28" hidden="1">{"Side 1",#N/A,FALSE,"Hovedark";"Valuation",#N/A,FALSE,"Valuation";"Side 2",#N/A,FALSE,"Hovedark";"Cash Flow",#N/A,FALSE,"Hovedark";"Bidrag",#N/A,FALSE,"Bidrag"}</definedName>
    <definedName name="wrn.Temp." localSheetId="33" hidden="1">{"Side 1",#N/A,FALSE,"Hovedark";"Valuation",#N/A,FALSE,"Valuation";"Side 2",#N/A,FALSE,"Hovedark";"Cash Flow",#N/A,FALSE,"Hovedark";"Bidrag",#N/A,FALSE,"Bidrag"}</definedName>
    <definedName name="wrn.Temp." localSheetId="32" hidden="1">{"Side 1",#N/A,FALSE,"Hovedark";"Valuation",#N/A,FALSE,"Valuation";"Side 2",#N/A,FALSE,"Hovedark";"Cash Flow",#N/A,FALSE,"Hovedark";"Bidrag",#N/A,FALSE,"Bidrag"}</definedName>
    <definedName name="wrn.Temp." localSheetId="7" hidden="1">{"Side 1",#N/A,FALSE,"Hovedark";"Valuation",#N/A,FALSE,"Valuation";"Side 2",#N/A,FALSE,"Hovedark";"Cash Flow",#N/A,FALSE,"Hovedark";"Bidrag",#N/A,FALSE,"Bidrag"}</definedName>
    <definedName name="wrn.Temp." localSheetId="29" hidden="1">{"Side 1",#N/A,FALSE,"Hovedark";"Valuation",#N/A,FALSE,"Valuation";"Side 2",#N/A,FALSE,"Hovedark";"Cash Flow",#N/A,FALSE,"Hovedark";"Bidrag",#N/A,FALSE,"Bidrag"}</definedName>
    <definedName name="wrn.Temp." localSheetId="1" hidden="1">{"Side 1",#N/A,FALSE,"Hovedark";"Valuation",#N/A,FALSE,"Valuation";"Side 2",#N/A,FALSE,"Hovedark";"Cash Flow",#N/A,FALSE,"Hovedark";"Bidrag",#N/A,FALSE,"Bidrag"}</definedName>
    <definedName name="wrn.Temp." localSheetId="31" hidden="1">{"Side 1",#N/A,FALSE,"Hovedark";"Valuation",#N/A,FALSE,"Valuation";"Side 2",#N/A,FALSE,"Hovedark";"Cash Flow",#N/A,FALSE,"Hovedark";"Bidrag",#N/A,FALSE,"Bidrag"}</definedName>
    <definedName name="wrn.Temp." hidden="1">{"Side 1",#N/A,FALSE,"Hovedark";"Valuation",#N/A,FALSE,"Valuation";"Side 2",#N/A,FALSE,"Hovedark";"Cash Flow",#N/A,FALSE,"Hovedark";"Bidrag",#N/A,FALSE,"Bidrag"}</definedName>
    <definedName name="wrn.test." localSheetId="12" hidden="1">{"test2",#N/A,TRUE,"Prices"}</definedName>
    <definedName name="wrn.test." localSheetId="18" hidden="1">{"test2",#N/A,TRUE,"Prices"}</definedName>
    <definedName name="wrn.test." localSheetId="19" hidden="1">{"test2",#N/A,TRUE,"Prices"}</definedName>
    <definedName name="wrn.test." localSheetId="17" hidden="1">{"test2",#N/A,TRUE,"Prices"}</definedName>
    <definedName name="wrn.test." localSheetId="22" hidden="1">{"test2",#N/A,TRUE,"Prices"}</definedName>
    <definedName name="wrn.test." localSheetId="10" hidden="1">{"test2",#N/A,TRUE,"Prices"}</definedName>
    <definedName name="wrn.test." localSheetId="30" hidden="1">{"test2",#N/A,TRUE,"Prices"}</definedName>
    <definedName name="wrn.test." localSheetId="0" hidden="1">{"test2",#N/A,TRUE,"Prices"}</definedName>
    <definedName name="wrn.test." localSheetId="3" hidden="1">{"test2",#N/A,TRUE,"Prices"}</definedName>
    <definedName name="wrn.test." localSheetId="4" hidden="1">{"test2",#N/A,TRUE,"Prices"}</definedName>
    <definedName name="wrn.test." localSheetId="28" hidden="1">{"test2",#N/A,TRUE,"Prices"}</definedName>
    <definedName name="wrn.test." localSheetId="33" hidden="1">{"test2",#N/A,TRUE,"Prices"}</definedName>
    <definedName name="wrn.test." localSheetId="32" hidden="1">{"test2",#N/A,TRUE,"Prices"}</definedName>
    <definedName name="wrn.test." localSheetId="7" hidden="1">{"test2",#N/A,TRUE,"Prices"}</definedName>
    <definedName name="wrn.test." localSheetId="29" hidden="1">{"test2",#N/A,TRUE,"Prices"}</definedName>
    <definedName name="wrn.test." localSheetId="1" hidden="1">{"test2",#N/A,TRUE,"Prices"}</definedName>
    <definedName name="wrn.test." localSheetId="31" hidden="1">{"test2",#N/A,TRUE,"Prices"}</definedName>
    <definedName name="wrn.test." hidden="1">{"test2",#N/A,TRUE,"Prices"}</definedName>
    <definedName name="wrn.Total._.Informes." localSheetId="12" hidden="1">{#N/A,#N/A,FALSE,"CA";#N/A,#N/A,FALSE,"CN";#N/A,#N/A,FALSE,"Inv";#N/A,#N/A,FALSE,"Inv Acc";"Miguel_balance",#N/A,FALSE,"Bal";#N/A,#N/A,FALSE,"Plantilla";#N/A,#N/A,FALSE,"CA (2)";#N/A,#N/A,FALSE,"CN (2)"}</definedName>
    <definedName name="wrn.Total._.Informes." localSheetId="18" hidden="1">{#N/A,#N/A,FALSE,"CA";#N/A,#N/A,FALSE,"CN";#N/A,#N/A,FALSE,"Inv";#N/A,#N/A,FALSE,"Inv Acc";"Miguel_balance",#N/A,FALSE,"Bal";#N/A,#N/A,FALSE,"Plantilla";#N/A,#N/A,FALSE,"CA (2)";#N/A,#N/A,FALSE,"CN (2)"}</definedName>
    <definedName name="wrn.Total._.Informes." localSheetId="19" hidden="1">{#N/A,#N/A,FALSE,"CA";#N/A,#N/A,FALSE,"CN";#N/A,#N/A,FALSE,"Inv";#N/A,#N/A,FALSE,"Inv Acc";"Miguel_balance",#N/A,FALSE,"Bal";#N/A,#N/A,FALSE,"Plantilla";#N/A,#N/A,FALSE,"CA (2)";#N/A,#N/A,FALSE,"CN (2)"}</definedName>
    <definedName name="wrn.Total._.Informes." localSheetId="17" hidden="1">{#N/A,#N/A,FALSE,"CA";#N/A,#N/A,FALSE,"CN";#N/A,#N/A,FALSE,"Inv";#N/A,#N/A,FALSE,"Inv Acc";"Miguel_balance",#N/A,FALSE,"Bal";#N/A,#N/A,FALSE,"Plantilla";#N/A,#N/A,FALSE,"CA (2)";#N/A,#N/A,FALSE,"CN (2)"}</definedName>
    <definedName name="wrn.Total._.Informes." localSheetId="22" hidden="1">{#N/A,#N/A,FALSE,"CA";#N/A,#N/A,FALSE,"CN";#N/A,#N/A,FALSE,"Inv";#N/A,#N/A,FALSE,"Inv Acc";"Miguel_balance",#N/A,FALSE,"Bal";#N/A,#N/A,FALSE,"Plantilla";#N/A,#N/A,FALSE,"CA (2)";#N/A,#N/A,FALSE,"CN (2)"}</definedName>
    <definedName name="wrn.Total._.Informes." localSheetId="10" hidden="1">{#N/A,#N/A,FALSE,"CA";#N/A,#N/A,FALSE,"CN";#N/A,#N/A,FALSE,"Inv";#N/A,#N/A,FALSE,"Inv Acc";"Miguel_balance",#N/A,FALSE,"Bal";#N/A,#N/A,FALSE,"Plantilla";#N/A,#N/A,FALSE,"CA (2)";#N/A,#N/A,FALSE,"CN (2)"}</definedName>
    <definedName name="wrn.Total._.Informes." localSheetId="30" hidden="1">{#N/A,#N/A,FALSE,"CA";#N/A,#N/A,FALSE,"CN";#N/A,#N/A,FALSE,"Inv";#N/A,#N/A,FALSE,"Inv Acc";"Miguel_balance",#N/A,FALSE,"Bal";#N/A,#N/A,FALSE,"Plantilla";#N/A,#N/A,FALSE,"CA (2)";#N/A,#N/A,FALSE,"CN (2)"}</definedName>
    <definedName name="wrn.Total._.Informes." localSheetId="0" hidden="1">{#N/A,#N/A,FALSE,"CA";#N/A,#N/A,FALSE,"CN";#N/A,#N/A,FALSE,"Inv";#N/A,#N/A,FALSE,"Inv Acc";"Miguel_balance",#N/A,FALSE,"Bal";#N/A,#N/A,FALSE,"Plantilla";#N/A,#N/A,FALSE,"CA (2)";#N/A,#N/A,FALSE,"CN (2)"}</definedName>
    <definedName name="wrn.Total._.Informes." localSheetId="3" hidden="1">{#N/A,#N/A,FALSE,"CA";#N/A,#N/A,FALSE,"CN";#N/A,#N/A,FALSE,"Inv";#N/A,#N/A,FALSE,"Inv Acc";"Miguel_balance",#N/A,FALSE,"Bal";#N/A,#N/A,FALSE,"Plantilla";#N/A,#N/A,FALSE,"CA (2)";#N/A,#N/A,FALSE,"CN (2)"}</definedName>
    <definedName name="wrn.Total._.Informes." localSheetId="4" hidden="1">{#N/A,#N/A,FALSE,"CA";#N/A,#N/A,FALSE,"CN";#N/A,#N/A,FALSE,"Inv";#N/A,#N/A,FALSE,"Inv Acc";"Miguel_balance",#N/A,FALSE,"Bal";#N/A,#N/A,FALSE,"Plantilla";#N/A,#N/A,FALSE,"CA (2)";#N/A,#N/A,FALSE,"CN (2)"}</definedName>
    <definedName name="wrn.Total._.Informes." localSheetId="28" hidden="1">{#N/A,#N/A,FALSE,"CA";#N/A,#N/A,FALSE,"CN";#N/A,#N/A,FALSE,"Inv";#N/A,#N/A,FALSE,"Inv Acc";"Miguel_balance",#N/A,FALSE,"Bal";#N/A,#N/A,FALSE,"Plantilla";#N/A,#N/A,FALSE,"CA (2)";#N/A,#N/A,FALSE,"CN (2)"}</definedName>
    <definedName name="wrn.Total._.Informes." localSheetId="33" hidden="1">{#N/A,#N/A,FALSE,"CA";#N/A,#N/A,FALSE,"CN";#N/A,#N/A,FALSE,"Inv";#N/A,#N/A,FALSE,"Inv Acc";"Miguel_balance",#N/A,FALSE,"Bal";#N/A,#N/A,FALSE,"Plantilla";#N/A,#N/A,FALSE,"CA (2)";#N/A,#N/A,FALSE,"CN (2)"}</definedName>
    <definedName name="wrn.Total._.Informes." localSheetId="32" hidden="1">{#N/A,#N/A,FALSE,"CA";#N/A,#N/A,FALSE,"CN";#N/A,#N/A,FALSE,"Inv";#N/A,#N/A,FALSE,"Inv Acc";"Miguel_balance",#N/A,FALSE,"Bal";#N/A,#N/A,FALSE,"Plantilla";#N/A,#N/A,FALSE,"CA (2)";#N/A,#N/A,FALSE,"CN (2)"}</definedName>
    <definedName name="wrn.Total._.Informes." localSheetId="7" hidden="1">{#N/A,#N/A,FALSE,"CA";#N/A,#N/A,FALSE,"CN";#N/A,#N/A,FALSE,"Inv";#N/A,#N/A,FALSE,"Inv Acc";"Miguel_balance",#N/A,FALSE,"Bal";#N/A,#N/A,FALSE,"Plantilla";#N/A,#N/A,FALSE,"CA (2)";#N/A,#N/A,FALSE,"CN (2)"}</definedName>
    <definedName name="wrn.Total._.Informes." localSheetId="29" hidden="1">{#N/A,#N/A,FALSE,"CA";#N/A,#N/A,FALSE,"CN";#N/A,#N/A,FALSE,"Inv";#N/A,#N/A,FALSE,"Inv Acc";"Miguel_balance",#N/A,FALSE,"Bal";#N/A,#N/A,FALSE,"Plantilla";#N/A,#N/A,FALSE,"CA (2)";#N/A,#N/A,FALSE,"CN (2)"}</definedName>
    <definedName name="wrn.Total._.Informes." localSheetId="1" hidden="1">{#N/A,#N/A,FALSE,"CA";#N/A,#N/A,FALSE,"CN";#N/A,#N/A,FALSE,"Inv";#N/A,#N/A,FALSE,"Inv Acc";"Miguel_balance",#N/A,FALSE,"Bal";#N/A,#N/A,FALSE,"Plantilla";#N/A,#N/A,FALSE,"CA (2)";#N/A,#N/A,FALSE,"CN (2)"}</definedName>
    <definedName name="wrn.Total._.Informes." localSheetId="31" hidden="1">{#N/A,#N/A,FALSE,"CA";#N/A,#N/A,FALSE,"CN";#N/A,#N/A,FALSE,"Inv";#N/A,#N/A,FALSE,"Inv Acc";"Miguel_balance",#N/A,FALSE,"Bal";#N/A,#N/A,FALSE,"Plantilla";#N/A,#N/A,FALSE,"CA (2)";#N/A,#N/A,FALSE,"CN (2)"}</definedName>
    <definedName name="wrn.Total._.Informes." hidden="1">{#N/A,#N/A,FALSE,"CA";#N/A,#N/A,FALSE,"CN";#N/A,#N/A,FALSE,"Inv";#N/A,#N/A,FALSE,"Inv Acc";"Miguel_balance",#N/A,FALSE,"Bal";#N/A,#N/A,FALSE,"Plantilla";#N/A,#N/A,FALSE,"CA (2)";#N/A,#N/A,FALSE,"CN (2)"}</definedName>
    <definedName name="wrn.Tweety." localSheetId="12" hidden="1">{#N/A,#N/A,FALSE,"A&amp;E";#N/A,#N/A,FALSE,"HighTop";#N/A,#N/A,FALSE,"JG";#N/A,#N/A,FALSE,"RI";#N/A,#N/A,FALSE,"woHT";#N/A,#N/A,FALSE,"woHT&amp;JG"}</definedName>
    <definedName name="wrn.Tweety." localSheetId="18" hidden="1">{#N/A,#N/A,FALSE,"A&amp;E";#N/A,#N/A,FALSE,"HighTop";#N/A,#N/A,FALSE,"JG";#N/A,#N/A,FALSE,"RI";#N/A,#N/A,FALSE,"woHT";#N/A,#N/A,FALSE,"woHT&amp;JG"}</definedName>
    <definedName name="wrn.Tweety." localSheetId="19" hidden="1">{#N/A,#N/A,FALSE,"A&amp;E";#N/A,#N/A,FALSE,"HighTop";#N/A,#N/A,FALSE,"JG";#N/A,#N/A,FALSE,"RI";#N/A,#N/A,FALSE,"woHT";#N/A,#N/A,FALSE,"woHT&amp;JG"}</definedName>
    <definedName name="wrn.Tweety." localSheetId="17" hidden="1">{#N/A,#N/A,FALSE,"A&amp;E";#N/A,#N/A,FALSE,"HighTop";#N/A,#N/A,FALSE,"JG";#N/A,#N/A,FALSE,"RI";#N/A,#N/A,FALSE,"woHT";#N/A,#N/A,FALSE,"woHT&amp;JG"}</definedName>
    <definedName name="wrn.Tweety." localSheetId="22" hidden="1">{#N/A,#N/A,FALSE,"A&amp;E";#N/A,#N/A,FALSE,"HighTop";#N/A,#N/A,FALSE,"JG";#N/A,#N/A,FALSE,"RI";#N/A,#N/A,FALSE,"woHT";#N/A,#N/A,FALSE,"woHT&amp;JG"}</definedName>
    <definedName name="wrn.Tweety." localSheetId="10" hidden="1">{#N/A,#N/A,FALSE,"A&amp;E";#N/A,#N/A,FALSE,"HighTop";#N/A,#N/A,FALSE,"JG";#N/A,#N/A,FALSE,"RI";#N/A,#N/A,FALSE,"woHT";#N/A,#N/A,FALSE,"woHT&amp;JG"}</definedName>
    <definedName name="wrn.Tweety." localSheetId="30" hidden="1">{#N/A,#N/A,FALSE,"A&amp;E";#N/A,#N/A,FALSE,"HighTop";#N/A,#N/A,FALSE,"JG";#N/A,#N/A,FALSE,"RI";#N/A,#N/A,FALSE,"woHT";#N/A,#N/A,FALSE,"woHT&amp;JG"}</definedName>
    <definedName name="wrn.Tweety." localSheetId="0" hidden="1">{#N/A,#N/A,FALSE,"A&amp;E";#N/A,#N/A,FALSE,"HighTop";#N/A,#N/A,FALSE,"JG";#N/A,#N/A,FALSE,"RI";#N/A,#N/A,FALSE,"woHT";#N/A,#N/A,FALSE,"woHT&amp;JG"}</definedName>
    <definedName name="wrn.Tweety." localSheetId="3" hidden="1">{#N/A,#N/A,FALSE,"A&amp;E";#N/A,#N/A,FALSE,"HighTop";#N/A,#N/A,FALSE,"JG";#N/A,#N/A,FALSE,"RI";#N/A,#N/A,FALSE,"woHT";#N/A,#N/A,FALSE,"woHT&amp;JG"}</definedName>
    <definedName name="wrn.Tweety." localSheetId="4" hidden="1">{#N/A,#N/A,FALSE,"A&amp;E";#N/A,#N/A,FALSE,"HighTop";#N/A,#N/A,FALSE,"JG";#N/A,#N/A,FALSE,"RI";#N/A,#N/A,FALSE,"woHT";#N/A,#N/A,FALSE,"woHT&amp;JG"}</definedName>
    <definedName name="wrn.Tweety." localSheetId="28" hidden="1">{#N/A,#N/A,FALSE,"A&amp;E";#N/A,#N/A,FALSE,"HighTop";#N/A,#N/A,FALSE,"JG";#N/A,#N/A,FALSE,"RI";#N/A,#N/A,FALSE,"woHT";#N/A,#N/A,FALSE,"woHT&amp;JG"}</definedName>
    <definedName name="wrn.Tweety." localSheetId="33" hidden="1">{#N/A,#N/A,FALSE,"A&amp;E";#N/A,#N/A,FALSE,"HighTop";#N/A,#N/A,FALSE,"JG";#N/A,#N/A,FALSE,"RI";#N/A,#N/A,FALSE,"woHT";#N/A,#N/A,FALSE,"woHT&amp;JG"}</definedName>
    <definedName name="wrn.Tweety." localSheetId="32" hidden="1">{#N/A,#N/A,FALSE,"A&amp;E";#N/A,#N/A,FALSE,"HighTop";#N/A,#N/A,FALSE,"JG";#N/A,#N/A,FALSE,"RI";#N/A,#N/A,FALSE,"woHT";#N/A,#N/A,FALSE,"woHT&amp;JG"}</definedName>
    <definedName name="wrn.Tweety." localSheetId="7" hidden="1">{#N/A,#N/A,FALSE,"A&amp;E";#N/A,#N/A,FALSE,"HighTop";#N/A,#N/A,FALSE,"JG";#N/A,#N/A,FALSE,"RI";#N/A,#N/A,FALSE,"woHT";#N/A,#N/A,FALSE,"woHT&amp;JG"}</definedName>
    <definedName name="wrn.Tweety." localSheetId="29" hidden="1">{#N/A,#N/A,FALSE,"A&amp;E";#N/A,#N/A,FALSE,"HighTop";#N/A,#N/A,FALSE,"JG";#N/A,#N/A,FALSE,"RI";#N/A,#N/A,FALSE,"woHT";#N/A,#N/A,FALSE,"woHT&amp;JG"}</definedName>
    <definedName name="wrn.Tweety." localSheetId="1" hidden="1">{#N/A,#N/A,FALSE,"A&amp;E";#N/A,#N/A,FALSE,"HighTop";#N/A,#N/A,FALSE,"JG";#N/A,#N/A,FALSE,"RI";#N/A,#N/A,FALSE,"woHT";#N/A,#N/A,FALSE,"woHT&amp;JG"}</definedName>
    <definedName name="wrn.Tweety." localSheetId="31" hidden="1">{#N/A,#N/A,FALSE,"A&amp;E";#N/A,#N/A,FALSE,"HighTop";#N/A,#N/A,FALSE,"JG";#N/A,#N/A,FALSE,"RI";#N/A,#N/A,FALSE,"woHT";#N/A,#N/A,FALSE,"woHT&amp;JG"}</definedName>
    <definedName name="wrn.Tweety." hidden="1">{#N/A,#N/A,FALSE,"A&amp;E";#N/A,#N/A,FALSE,"HighTop";#N/A,#N/A,FALSE,"JG";#N/A,#N/A,FALSE,"RI";#N/A,#N/A,FALSE,"woHT";#N/A,#N/A,FALSE,"woHT&amp;JG"}</definedName>
    <definedName name="wrn.USW." localSheetId="12" hidden="1">{"IS",#N/A,FALSE,"IS";"RPTIS",#N/A,FALSE,"RPTIS";"STATS",#N/A,FALSE,"STATS";"BS",#N/A,FALSE,"BS"}</definedName>
    <definedName name="wrn.USW." localSheetId="18" hidden="1">{"IS",#N/A,FALSE,"IS";"RPTIS",#N/A,FALSE,"RPTIS";"STATS",#N/A,FALSE,"STATS";"BS",#N/A,FALSE,"BS"}</definedName>
    <definedName name="wrn.USW." localSheetId="19" hidden="1">{"IS",#N/A,FALSE,"IS";"RPTIS",#N/A,FALSE,"RPTIS";"STATS",#N/A,FALSE,"STATS";"BS",#N/A,FALSE,"BS"}</definedName>
    <definedName name="wrn.USW." localSheetId="17" hidden="1">{"IS",#N/A,FALSE,"IS";"RPTIS",#N/A,FALSE,"RPTIS";"STATS",#N/A,FALSE,"STATS";"BS",#N/A,FALSE,"BS"}</definedName>
    <definedName name="wrn.USW." localSheetId="22" hidden="1">{"IS",#N/A,FALSE,"IS";"RPTIS",#N/A,FALSE,"RPTIS";"STATS",#N/A,FALSE,"STATS";"BS",#N/A,FALSE,"BS"}</definedName>
    <definedName name="wrn.USW." localSheetId="10" hidden="1">{"IS",#N/A,FALSE,"IS";"RPTIS",#N/A,FALSE,"RPTIS";"STATS",#N/A,FALSE,"STATS";"BS",#N/A,FALSE,"BS"}</definedName>
    <definedName name="wrn.USW." localSheetId="30" hidden="1">{"IS",#N/A,FALSE,"IS";"RPTIS",#N/A,FALSE,"RPTIS";"STATS",#N/A,FALSE,"STATS";"BS",#N/A,FALSE,"BS"}</definedName>
    <definedName name="wrn.USW." localSheetId="0" hidden="1">{"IS",#N/A,FALSE,"IS";"RPTIS",#N/A,FALSE,"RPTIS";"STATS",#N/A,FALSE,"STATS";"BS",#N/A,FALSE,"BS"}</definedName>
    <definedName name="wrn.USW." localSheetId="3" hidden="1">{"IS",#N/A,FALSE,"IS";"RPTIS",#N/A,FALSE,"RPTIS";"STATS",#N/A,FALSE,"STATS";"BS",#N/A,FALSE,"BS"}</definedName>
    <definedName name="wrn.USW." localSheetId="4" hidden="1">{"IS",#N/A,FALSE,"IS";"RPTIS",#N/A,FALSE,"RPTIS";"STATS",#N/A,FALSE,"STATS";"BS",#N/A,FALSE,"BS"}</definedName>
    <definedName name="wrn.USW." localSheetId="28" hidden="1">{"IS",#N/A,FALSE,"IS";"RPTIS",#N/A,FALSE,"RPTIS";"STATS",#N/A,FALSE,"STATS";"BS",#N/A,FALSE,"BS"}</definedName>
    <definedName name="wrn.USW." localSheetId="33" hidden="1">{"IS",#N/A,FALSE,"IS";"RPTIS",#N/A,FALSE,"RPTIS";"STATS",#N/A,FALSE,"STATS";"BS",#N/A,FALSE,"BS"}</definedName>
    <definedName name="wrn.USW." localSheetId="32" hidden="1">{"IS",#N/A,FALSE,"IS";"RPTIS",#N/A,FALSE,"RPTIS";"STATS",#N/A,FALSE,"STATS";"BS",#N/A,FALSE,"BS"}</definedName>
    <definedName name="wrn.USW." localSheetId="7" hidden="1">{"IS",#N/A,FALSE,"IS";"RPTIS",#N/A,FALSE,"RPTIS";"STATS",#N/A,FALSE,"STATS";"BS",#N/A,FALSE,"BS"}</definedName>
    <definedName name="wrn.USW." localSheetId="29" hidden="1">{"IS",#N/A,FALSE,"IS";"RPTIS",#N/A,FALSE,"RPTIS";"STATS",#N/A,FALSE,"STATS";"BS",#N/A,FALSE,"BS"}</definedName>
    <definedName name="wrn.USW." localSheetId="1" hidden="1">{"IS",#N/A,FALSE,"IS";"RPTIS",#N/A,FALSE,"RPTIS";"STATS",#N/A,FALSE,"STATS";"BS",#N/A,FALSE,"BS"}</definedName>
    <definedName name="wrn.USW." localSheetId="31" hidden="1">{"IS",#N/A,FALSE,"IS";"RPTIS",#N/A,FALSE,"RPTIS";"STATS",#N/A,FALSE,"STATS";"BS",#N/A,FALSE,"BS"}</definedName>
    <definedName name="wrn.USW." hidden="1">{"IS",#N/A,FALSE,"IS";"RPTIS",#N/A,FALSE,"RPTIS";"STATS",#N/A,FALSE,"STATS";"BS",#N/A,FALSE,"BS"}</definedName>
    <definedName name="wrn.WorkingCapGermanGAAP2000_2009." localSheetId="12" hidden="1">{"WCGGAAP1",#N/A,FALSE,"P&amp;L G GAAP"}</definedName>
    <definedName name="wrn.WorkingCapGermanGAAP2000_2009." localSheetId="18" hidden="1">{"WCGGAAP1",#N/A,FALSE,"P&amp;L G GAAP"}</definedName>
    <definedName name="wrn.WorkingCapGermanGAAP2000_2009." localSheetId="19" hidden="1">{"WCGGAAP1",#N/A,FALSE,"P&amp;L G GAAP"}</definedName>
    <definedName name="wrn.WorkingCapGermanGAAP2000_2009." localSheetId="17" hidden="1">{"WCGGAAP1",#N/A,FALSE,"P&amp;L G GAAP"}</definedName>
    <definedName name="wrn.WorkingCapGermanGAAP2000_2009." localSheetId="22" hidden="1">{"WCGGAAP1",#N/A,FALSE,"P&amp;L G GAAP"}</definedName>
    <definedName name="wrn.WorkingCapGermanGAAP2000_2009." localSheetId="10" hidden="1">{"WCGGAAP1",#N/A,FALSE,"P&amp;L G GAAP"}</definedName>
    <definedName name="wrn.WorkingCapGermanGAAP2000_2009." localSheetId="30" hidden="1">{"WCGGAAP1",#N/A,FALSE,"P&amp;L G GAAP"}</definedName>
    <definedName name="wrn.WorkingCapGermanGAAP2000_2009." localSheetId="0" hidden="1">{"WCGGAAP1",#N/A,FALSE,"P&amp;L G GAAP"}</definedName>
    <definedName name="wrn.WorkingCapGermanGAAP2000_2009." localSheetId="3" hidden="1">{"WCGGAAP1",#N/A,FALSE,"P&amp;L G GAAP"}</definedName>
    <definedName name="wrn.WorkingCapGermanGAAP2000_2009." localSheetId="4" hidden="1">{"WCGGAAP1",#N/A,FALSE,"P&amp;L G GAAP"}</definedName>
    <definedName name="wrn.WorkingCapGermanGAAP2000_2009." localSheetId="28" hidden="1">{"WCGGAAP1",#N/A,FALSE,"P&amp;L G GAAP"}</definedName>
    <definedName name="wrn.WorkingCapGermanGAAP2000_2009." localSheetId="33" hidden="1">{"WCGGAAP1",#N/A,FALSE,"P&amp;L G GAAP"}</definedName>
    <definedName name="wrn.WorkingCapGermanGAAP2000_2009." localSheetId="32" hidden="1">{"WCGGAAP1",#N/A,FALSE,"P&amp;L G GAAP"}</definedName>
    <definedName name="wrn.WorkingCapGermanGAAP2000_2009." localSheetId="7" hidden="1">{"WCGGAAP1",#N/A,FALSE,"P&amp;L G GAAP"}</definedName>
    <definedName name="wrn.WorkingCapGermanGAAP2000_2009." localSheetId="29" hidden="1">{"WCGGAAP1",#N/A,FALSE,"P&amp;L G GAAP"}</definedName>
    <definedName name="wrn.WorkingCapGermanGAAP2000_2009." localSheetId="1" hidden="1">{"WCGGAAP1",#N/A,FALSE,"P&amp;L G GAAP"}</definedName>
    <definedName name="wrn.WorkingCapGermanGAAP2000_2009." localSheetId="31" hidden="1">{"WCGGAAP1",#N/A,FALSE,"P&amp;L G GAAP"}</definedName>
    <definedName name="wrn.WorkingCapGermanGAAP2000_2009." hidden="1">{"WCGGAAP1",#N/A,FALSE,"P&amp;L G GAAP"}</definedName>
    <definedName name="wrn.WorkingCapGermanGAAP2010_2019." localSheetId="12" hidden="1">{"WCGGAAP2",#N/A,FALSE,"P&amp;L G GAAP"}</definedName>
    <definedName name="wrn.WorkingCapGermanGAAP2010_2019." localSheetId="18" hidden="1">{"WCGGAAP2",#N/A,FALSE,"P&amp;L G GAAP"}</definedName>
    <definedName name="wrn.WorkingCapGermanGAAP2010_2019." localSheetId="19" hidden="1">{"WCGGAAP2",#N/A,FALSE,"P&amp;L G GAAP"}</definedName>
    <definedName name="wrn.WorkingCapGermanGAAP2010_2019." localSheetId="17" hidden="1">{"WCGGAAP2",#N/A,FALSE,"P&amp;L G GAAP"}</definedName>
    <definedName name="wrn.WorkingCapGermanGAAP2010_2019." localSheetId="22" hidden="1">{"WCGGAAP2",#N/A,FALSE,"P&amp;L G GAAP"}</definedName>
    <definedName name="wrn.WorkingCapGermanGAAP2010_2019." localSheetId="10" hidden="1">{"WCGGAAP2",#N/A,FALSE,"P&amp;L G GAAP"}</definedName>
    <definedName name="wrn.WorkingCapGermanGAAP2010_2019." localSheetId="30" hidden="1">{"WCGGAAP2",#N/A,FALSE,"P&amp;L G GAAP"}</definedName>
    <definedName name="wrn.WorkingCapGermanGAAP2010_2019." localSheetId="0" hidden="1">{"WCGGAAP2",#N/A,FALSE,"P&amp;L G GAAP"}</definedName>
    <definedName name="wrn.WorkingCapGermanGAAP2010_2019." localSheetId="3" hidden="1">{"WCGGAAP2",#N/A,FALSE,"P&amp;L G GAAP"}</definedName>
    <definedName name="wrn.WorkingCapGermanGAAP2010_2019." localSheetId="4" hidden="1">{"WCGGAAP2",#N/A,FALSE,"P&amp;L G GAAP"}</definedName>
    <definedName name="wrn.WorkingCapGermanGAAP2010_2019." localSheetId="28" hidden="1">{"WCGGAAP2",#N/A,FALSE,"P&amp;L G GAAP"}</definedName>
    <definedName name="wrn.WorkingCapGermanGAAP2010_2019." localSheetId="33" hidden="1">{"WCGGAAP2",#N/A,FALSE,"P&amp;L G GAAP"}</definedName>
    <definedName name="wrn.WorkingCapGermanGAAP2010_2019." localSheetId="32" hidden="1">{"WCGGAAP2",#N/A,FALSE,"P&amp;L G GAAP"}</definedName>
    <definedName name="wrn.WorkingCapGermanGAAP2010_2019." localSheetId="7" hidden="1">{"WCGGAAP2",#N/A,FALSE,"P&amp;L G GAAP"}</definedName>
    <definedName name="wrn.WorkingCapGermanGAAP2010_2019." localSheetId="29" hidden="1">{"WCGGAAP2",#N/A,FALSE,"P&amp;L G GAAP"}</definedName>
    <definedName name="wrn.WorkingCapGermanGAAP2010_2019." localSheetId="1" hidden="1">{"WCGGAAP2",#N/A,FALSE,"P&amp;L G GAAP"}</definedName>
    <definedName name="wrn.WorkingCapGermanGAAP2010_2019." localSheetId="31" hidden="1">{"WCGGAAP2",#N/A,FALSE,"P&amp;L G GAAP"}</definedName>
    <definedName name="wrn.WorkingCapGermanGAAP2010_2019." hidden="1">{"WCGGAAP2",#N/A,FALSE,"P&amp;L G GAAP"}</definedName>
    <definedName name="wrn.WorkingCapUSGAAP2000_2009." localSheetId="12" hidden="1">{"WCUSGAAP1",#N/A,FALSE,"P&amp;L US GAAP"}</definedName>
    <definedName name="wrn.WorkingCapUSGAAP2000_2009." localSheetId="18" hidden="1">{"WCUSGAAP1",#N/A,FALSE,"P&amp;L US GAAP"}</definedName>
    <definedName name="wrn.WorkingCapUSGAAP2000_2009." localSheetId="19" hidden="1">{"WCUSGAAP1",#N/A,FALSE,"P&amp;L US GAAP"}</definedName>
    <definedName name="wrn.WorkingCapUSGAAP2000_2009." localSheetId="17" hidden="1">{"WCUSGAAP1",#N/A,FALSE,"P&amp;L US GAAP"}</definedName>
    <definedName name="wrn.WorkingCapUSGAAP2000_2009." localSheetId="22" hidden="1">{"WCUSGAAP1",#N/A,FALSE,"P&amp;L US GAAP"}</definedName>
    <definedName name="wrn.WorkingCapUSGAAP2000_2009." localSheetId="10" hidden="1">{"WCUSGAAP1",#N/A,FALSE,"P&amp;L US GAAP"}</definedName>
    <definedName name="wrn.WorkingCapUSGAAP2000_2009." localSheetId="30" hidden="1">{"WCUSGAAP1",#N/A,FALSE,"P&amp;L US GAAP"}</definedName>
    <definedName name="wrn.WorkingCapUSGAAP2000_2009." localSheetId="0" hidden="1">{"WCUSGAAP1",#N/A,FALSE,"P&amp;L US GAAP"}</definedName>
    <definedName name="wrn.WorkingCapUSGAAP2000_2009." localSheetId="3" hidden="1">{"WCUSGAAP1",#N/A,FALSE,"P&amp;L US GAAP"}</definedName>
    <definedName name="wrn.WorkingCapUSGAAP2000_2009." localSheetId="4" hidden="1">{"WCUSGAAP1",#N/A,FALSE,"P&amp;L US GAAP"}</definedName>
    <definedName name="wrn.WorkingCapUSGAAP2000_2009." localSheetId="28" hidden="1">{"WCUSGAAP1",#N/A,FALSE,"P&amp;L US GAAP"}</definedName>
    <definedName name="wrn.WorkingCapUSGAAP2000_2009." localSheetId="33" hidden="1">{"WCUSGAAP1",#N/A,FALSE,"P&amp;L US GAAP"}</definedName>
    <definedName name="wrn.WorkingCapUSGAAP2000_2009." localSheetId="32" hidden="1">{"WCUSGAAP1",#N/A,FALSE,"P&amp;L US GAAP"}</definedName>
    <definedName name="wrn.WorkingCapUSGAAP2000_2009." localSheetId="7" hidden="1">{"WCUSGAAP1",#N/A,FALSE,"P&amp;L US GAAP"}</definedName>
    <definedName name="wrn.WorkingCapUSGAAP2000_2009." localSheetId="29" hidden="1">{"WCUSGAAP1",#N/A,FALSE,"P&amp;L US GAAP"}</definedName>
    <definedName name="wrn.WorkingCapUSGAAP2000_2009." localSheetId="1" hidden="1">{"WCUSGAAP1",#N/A,FALSE,"P&amp;L US GAAP"}</definedName>
    <definedName name="wrn.WorkingCapUSGAAP2000_2009." localSheetId="31" hidden="1">{"WCUSGAAP1",#N/A,FALSE,"P&amp;L US GAAP"}</definedName>
    <definedName name="wrn.WorkingCapUSGAAP2000_2009." hidden="1">{"WCUSGAAP1",#N/A,FALSE,"P&amp;L US GAAP"}</definedName>
    <definedName name="wrn.WorkingCapUSGAAP2010_2019." localSheetId="12" hidden="1">{"WCUSGAAP2",#N/A,FALSE,"P&amp;L US GAAP"}</definedName>
    <definedName name="wrn.WorkingCapUSGAAP2010_2019." localSheetId="18" hidden="1">{"WCUSGAAP2",#N/A,FALSE,"P&amp;L US GAAP"}</definedName>
    <definedName name="wrn.WorkingCapUSGAAP2010_2019." localSheetId="19" hidden="1">{"WCUSGAAP2",#N/A,FALSE,"P&amp;L US GAAP"}</definedName>
    <definedName name="wrn.WorkingCapUSGAAP2010_2019." localSheetId="17" hidden="1">{"WCUSGAAP2",#N/A,FALSE,"P&amp;L US GAAP"}</definedName>
    <definedName name="wrn.WorkingCapUSGAAP2010_2019." localSheetId="22" hidden="1">{"WCUSGAAP2",#N/A,FALSE,"P&amp;L US GAAP"}</definedName>
    <definedName name="wrn.WorkingCapUSGAAP2010_2019." localSheetId="10" hidden="1">{"WCUSGAAP2",#N/A,FALSE,"P&amp;L US GAAP"}</definedName>
    <definedName name="wrn.WorkingCapUSGAAP2010_2019." localSheetId="30" hidden="1">{"WCUSGAAP2",#N/A,FALSE,"P&amp;L US GAAP"}</definedName>
    <definedName name="wrn.WorkingCapUSGAAP2010_2019." localSheetId="0" hidden="1">{"WCUSGAAP2",#N/A,FALSE,"P&amp;L US GAAP"}</definedName>
    <definedName name="wrn.WorkingCapUSGAAP2010_2019." localSheetId="3" hidden="1">{"WCUSGAAP2",#N/A,FALSE,"P&amp;L US GAAP"}</definedName>
    <definedName name="wrn.WorkingCapUSGAAP2010_2019." localSheetId="4" hidden="1">{"WCUSGAAP2",#N/A,FALSE,"P&amp;L US GAAP"}</definedName>
    <definedName name="wrn.WorkingCapUSGAAP2010_2019." localSheetId="28" hidden="1">{"WCUSGAAP2",#N/A,FALSE,"P&amp;L US GAAP"}</definedName>
    <definedName name="wrn.WorkingCapUSGAAP2010_2019." localSheetId="33" hidden="1">{"WCUSGAAP2",#N/A,FALSE,"P&amp;L US GAAP"}</definedName>
    <definedName name="wrn.WorkingCapUSGAAP2010_2019." localSheetId="32" hidden="1">{"WCUSGAAP2",#N/A,FALSE,"P&amp;L US GAAP"}</definedName>
    <definedName name="wrn.WorkingCapUSGAAP2010_2019." localSheetId="7" hidden="1">{"WCUSGAAP2",#N/A,FALSE,"P&amp;L US GAAP"}</definedName>
    <definedName name="wrn.WorkingCapUSGAAP2010_2019." localSheetId="29" hidden="1">{"WCUSGAAP2",#N/A,FALSE,"P&amp;L US GAAP"}</definedName>
    <definedName name="wrn.WorkingCapUSGAAP2010_2019." localSheetId="1" hidden="1">{"WCUSGAAP2",#N/A,FALSE,"P&amp;L US GAAP"}</definedName>
    <definedName name="wrn.WorkingCapUSGAAP2010_2019." localSheetId="31" hidden="1">{"WCUSGAAP2",#N/A,FALSE,"P&amp;L US GAAP"}</definedName>
    <definedName name="wrn.WorkingCapUSGAAP2010_2019." hidden="1">{"WCUSGAAP2",#N/A,FALSE,"P&amp;L US GAAP"}</definedName>
    <definedName name="wrn2.All_Excl_depr." localSheetId="12"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2.All_Excl_depr." localSheetId="18"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2.All_Excl_depr." localSheetId="19"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2.All_Excl_depr." localSheetId="17"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2.All_Excl_depr." localSheetId="22"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2.All_Excl_depr." localSheetId="10"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2.All_Excl_depr." localSheetId="30"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2.All_Excl_depr." localSheetId="0"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2.All_Excl_depr." localSheetId="3"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2.All_Excl_depr." localSheetId="4"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2.All_Excl_depr." localSheetId="28"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2.All_Excl_depr." localSheetId="33"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2.All_Excl_depr." localSheetId="32"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2.All_Excl_depr." localSheetId="7"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2.All_Excl_depr." localSheetId="29"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2.All_Excl_depr." localSheetId="1"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2.All_Excl_depr." localSheetId="31"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rn2.All_Excl_depr." hidden="1">{"Front_Page",#N/A,TRUE,"Front Page";#N/A,#N/A,TRUE,"Summary";#N/A,#N/A,TRUE,"GenAssump";#N/A,#N/A,TRUE,"Shut-down";"ProdAssump1_2000_2009",#N/A,TRUE,"ProdAssump";"ProdAssump2_2010_2019",#N/A,TRUE,"ProdAssump";"ProdAssump3_2000_2009",#N/A,TRUE,"ProdAssump";"ProdAssump4_2010_2019",#N/A,TRUE,"ProdAssump";"ProdAssump5_2000_2009",#N/A,TRUE,"ProdAssump";"ProdAssump6_2010_2019",#N/A,TRUE,"ProdAssump";"ProdAssump7_2000_2009",#N/A,TRUE,"ProdAssump";"ProdAssump8_2010_2019",#N/A,TRUE,"ProdAssump";"ProdAssump9_2000_2009",#N/A,TRUE,"ProdAssump";"ProdAssump10_2010_2019",#N/A,TRUE,"ProdAssump";"ProdAssump11_2000_2009",#N/A,TRUE,"ProdAssump";"ProdAssump12_2010_2019",#N/A,TRUE,"ProdAssump";"ProdAssump13_2000_2009",#N/A,TRUE,"ProdAssump";"ProdAssump14_2010_2019",#N/A,TRUE,"ProdAssump";"ProdAssump15_2000_2009",#N/A,TRUE,"ProdAssump";"ProdAssump16_2010_2019",#N/A,TRUE,"ProdAssump";"ProdAssumpTotal1",#N/A,TRUE,"ProdAssump";"ProdAssumpTotal2",#N/A,TRUE,"ProdAssump";"ProdQuantities1_2000_2009",#N/A,TRUE,"ProdAssump";"ProdQuantities2_2010_2019",#N/A,TRUE,"ProdAssump";"ProdQuantities3_2000_2009",#N/A,TRUE,"ProdAssump";"ProdQuantities4_2010_2019",#N/A,TRUE,"ProdAssump";"ProdQuantities5_2000_2009",#N/A,TRUE,"ProdAssump";"ProdQuantities6_2010_2019",#N/A,TRUE,"ProdAssump";"ProdQuantities7_2000_2009",#N/A,TRUE,"ProdAssump";"ProdQuantities8_2010_2019",#N/A,TRUE,"ProdAssump";"ProdQuantities9_2000_2009",#N/A,TRUE,"ProdAssump";"ProdQuantities10_2010_2019",#N/A,TRUE,"ProdAssump";"ProdQuantities11_2000_2009",#N/A,TRUE,"ProdAssump";"ProdQuantities12_2010_2019",#N/A,TRUE,"ProdAssump";"ProdQuantitiesTotal2000_2009",#N/A,TRUE,"ProdAssump";"ProdQuantitiesTotal2010_2019",#N/A,TRUE,"ProdAssump";"Capex1",#N/A,TRUE,"ProdAssump";"Capex2",#N/A,TRUE,"ProdAssump";"Capex3",#N/A,TRUE,"ProdAssump";"PLGGAAP1",#N/A,TRUE,"BS US GAAP";"PLGGAAP2",#N/A,TRUE,"BS US GAAP";"PLGGAAP3",#N/A,TRUE,"BS US GAAP";"PLGGAAP4",#N/A,TRUE,"BS US GAAP";"CFGGAAP1a",#N/A,TRUE,"BS US GAAP";"CFGGAAP2a",#N/A,TRUE,"BS US GAAP";"WCGGAAP1",#N/A,TRUE,"BS US GAAP";"WCGGAAP2",#N/A,TRUE,"BS US GAAP";"DebtGGAAP1",#N/A,TRUE,"BS US GAAP";"DebtGGAAP2",#N/A,TRUE,"BS US GAAP";"BSGGAAP1",#N/A,TRUE,"BS G GAAP";"BSGGAAP2",#N/A,TRUE,"BS G GAAP";"PLUSGAAP1",#N/A,TRUE,"P&amp;L US GAAP";"PLUSGAAP2",#N/A,TRUE,"P&amp;L US GAAP";"PLUSGAAP3",#N/A,TRUE,"P&amp;L US GAAP";"PLUSGAAP4",#N/A,TRUE,"P&amp;L US GAAP";"CFUSGAAP1a",#N/A,TRUE,"P&amp;L US GAAP";"CFUSGAAP2a",#N/A,TRUE,"P&amp;L US GAAP";"WCUSGAAP1",#N/A,TRUE,"P&amp;L US GAAP";"WCUSGAAP2",#N/A,TRUE,"P&amp;L US GAAP";"DebtUSGAAP1",#N/A,TRUE,"P&amp;L US GAAP";"DebtUSGAAP2",#N/A,TRUE,"P&amp;L US GAAP";"BSUSGAAP1",#N/A,TRUE,"P&amp;L US GAAP";"BSUSGAAP2",#N/A,TRUE,"P&amp;L US GAAP";"CFUSGAAP1",#N/A,TRUE,"CF US GAAP";"CFUSGAAP2",#N/A,TRUE,"CF US GAAP";"CFGGAAP1",#N/A,TRUE,"CF G GAAP";"CFGGAAP2",#N/A,TRUE,"CF G GAAP"}</definedName>
    <definedName name="wvu.inputs._.raw._.data." localSheetId="1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8"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9"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7"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2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0"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30"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0"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28"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3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3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7"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29"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3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summary1." localSheetId="1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8"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7"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2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3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28"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3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3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7"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2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3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1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8"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7"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2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3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28"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3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3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7"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2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3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1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8"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7"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2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3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28"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3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3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7"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2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3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x" localSheetId="12" hidden="1">{"CONSEJO",#N/A,FALSE,"Dist p0";"CONSEJO",#N/A,FALSE,"Ficha CODICE"}</definedName>
    <definedName name="x" localSheetId="18" hidden="1">{"CONSEJO",#N/A,FALSE,"Dist p0";"CONSEJO",#N/A,FALSE,"Ficha CODICE"}</definedName>
    <definedName name="x" localSheetId="19" hidden="1">{"CONSEJO",#N/A,FALSE,"Dist p0";"CONSEJO",#N/A,FALSE,"Ficha CODICE"}</definedName>
    <definedName name="x" localSheetId="17" hidden="1">{"CONSEJO",#N/A,FALSE,"Dist p0";"CONSEJO",#N/A,FALSE,"Ficha CODICE"}</definedName>
    <definedName name="x" localSheetId="22" hidden="1">{"CONSEJO",#N/A,FALSE,"Dist p0";"CONSEJO",#N/A,FALSE,"Ficha CODICE"}</definedName>
    <definedName name="x" localSheetId="10" hidden="1">{"CONSEJO",#N/A,FALSE,"Dist p0";"CONSEJO",#N/A,FALSE,"Ficha CODICE"}</definedName>
    <definedName name="x" localSheetId="30" hidden="1">{"CONSEJO",#N/A,FALSE,"Dist p0";"CONSEJO",#N/A,FALSE,"Ficha CODICE"}</definedName>
    <definedName name="x" localSheetId="0" hidden="1">{"CONSEJO",#N/A,FALSE,"Dist p0";"CONSEJO",#N/A,FALSE,"Ficha CODICE"}</definedName>
    <definedName name="x" localSheetId="3" hidden="1">{"CONSEJO",#N/A,FALSE,"Dist p0";"CONSEJO",#N/A,FALSE,"Ficha CODICE"}</definedName>
    <definedName name="x" localSheetId="4" hidden="1">{"CONSEJO",#N/A,FALSE,"Dist p0";"CONSEJO",#N/A,FALSE,"Ficha CODICE"}</definedName>
    <definedName name="x" localSheetId="28" hidden="1">{"CONSEJO",#N/A,FALSE,"Dist p0";"CONSEJO",#N/A,FALSE,"Ficha CODICE"}</definedName>
    <definedName name="x" localSheetId="33" hidden="1">{"CONSEJO",#N/A,FALSE,"Dist p0";"CONSEJO",#N/A,FALSE,"Ficha CODICE"}</definedName>
    <definedName name="x" localSheetId="32" hidden="1">{"CONSEJO",#N/A,FALSE,"Dist p0";"CONSEJO",#N/A,FALSE,"Ficha CODICE"}</definedName>
    <definedName name="x" localSheetId="7" hidden="1">{"CONSEJO",#N/A,FALSE,"Dist p0";"CONSEJO",#N/A,FALSE,"Ficha CODICE"}</definedName>
    <definedName name="x" localSheetId="29" hidden="1">{"CONSEJO",#N/A,FALSE,"Dist p0";"CONSEJO",#N/A,FALSE,"Ficha CODICE"}</definedName>
    <definedName name="x" localSheetId="1" hidden="1">{"CONSEJO",#N/A,FALSE,"Dist p0";"CONSEJO",#N/A,FALSE,"Ficha CODICE"}</definedName>
    <definedName name="x" localSheetId="31" hidden="1">{"CONSEJO",#N/A,FALSE,"Dist p0";"CONSEJO",#N/A,FALSE,"Ficha CODICE"}</definedName>
    <definedName name="x" hidden="1">{"CONSEJO",#N/A,FALSE,"Dist p0";"CONSEJO",#N/A,FALSE,"Ficha CODICE"}</definedName>
    <definedName name="xx" localSheetId="12" hidden="1">{"uno",#N/A,FALSE,"Dist total";"COMENTARIO",#N/A,FALSE,"Ficha CODICE"}</definedName>
    <definedName name="xx" localSheetId="18" hidden="1">{"uno",#N/A,FALSE,"Dist total";"COMENTARIO",#N/A,FALSE,"Ficha CODICE"}</definedName>
    <definedName name="xx" localSheetId="19" hidden="1">{"uno",#N/A,FALSE,"Dist total";"COMENTARIO",#N/A,FALSE,"Ficha CODICE"}</definedName>
    <definedName name="xx" localSheetId="17" hidden="1">{"uno",#N/A,FALSE,"Dist total";"COMENTARIO",#N/A,FALSE,"Ficha CODICE"}</definedName>
    <definedName name="xx" localSheetId="22" hidden="1">{"uno",#N/A,FALSE,"Dist total";"COMENTARIO",#N/A,FALSE,"Ficha CODICE"}</definedName>
    <definedName name="xx" localSheetId="10" hidden="1">{"uno",#N/A,FALSE,"Dist total";"COMENTARIO",#N/A,FALSE,"Ficha CODICE"}</definedName>
    <definedName name="xx" localSheetId="30" hidden="1">{"uno",#N/A,FALSE,"Dist total";"COMENTARIO",#N/A,FALSE,"Ficha CODICE"}</definedName>
    <definedName name="xx" localSheetId="0" hidden="1">{"uno",#N/A,FALSE,"Dist total";"COMENTARIO",#N/A,FALSE,"Ficha CODICE"}</definedName>
    <definedName name="xx" localSheetId="3" hidden="1">{"uno",#N/A,FALSE,"Dist total";"COMENTARIO",#N/A,FALSE,"Ficha CODICE"}</definedName>
    <definedName name="xx" localSheetId="4" hidden="1">{"uno",#N/A,FALSE,"Dist total";"COMENTARIO",#N/A,FALSE,"Ficha CODICE"}</definedName>
    <definedName name="xx" localSheetId="28" hidden="1">{"uno",#N/A,FALSE,"Dist total";"COMENTARIO",#N/A,FALSE,"Ficha CODICE"}</definedName>
    <definedName name="xx" localSheetId="33" hidden="1">{"uno",#N/A,FALSE,"Dist total";"COMENTARIO",#N/A,FALSE,"Ficha CODICE"}</definedName>
    <definedName name="xx" localSheetId="32" hidden="1">{"uno",#N/A,FALSE,"Dist total";"COMENTARIO",#N/A,FALSE,"Ficha CODICE"}</definedName>
    <definedName name="xx" localSheetId="7" hidden="1">{"uno",#N/A,FALSE,"Dist total";"COMENTARIO",#N/A,FALSE,"Ficha CODICE"}</definedName>
    <definedName name="xx" localSheetId="29" hidden="1">{"uno",#N/A,FALSE,"Dist total";"COMENTARIO",#N/A,FALSE,"Ficha CODICE"}</definedName>
    <definedName name="xx" localSheetId="1" hidden="1">{"uno",#N/A,FALSE,"Dist total";"COMENTARIO",#N/A,FALSE,"Ficha CODICE"}</definedName>
    <definedName name="xx" localSheetId="31" hidden="1">{"uno",#N/A,FALSE,"Dist total";"COMENTARIO",#N/A,FALSE,"Ficha CODICE"}</definedName>
    <definedName name="xx" hidden="1">{"uno",#N/A,FALSE,"Dist total";"COMENTARIO",#N/A,FALSE,"Ficha CODICE"}</definedName>
    <definedName name="yui" localSheetId="12" hidden="1">{#N/A,#N/A,FALSE,"CA";#N/A,#N/A,FALSE,"CN";#N/A,#N/A,FALSE,"Inv";#N/A,#N/A,FALSE,"Inv Acc";"Miguel_balance",#N/A,FALSE,"Bal";#N/A,#N/A,FALSE,"Plantilla";#N/A,#N/A,FALSE,"CA (2)";#N/A,#N/A,FALSE,"CN (2)"}</definedName>
    <definedName name="yui" localSheetId="18" hidden="1">{#N/A,#N/A,FALSE,"CA";#N/A,#N/A,FALSE,"CN";#N/A,#N/A,FALSE,"Inv";#N/A,#N/A,FALSE,"Inv Acc";"Miguel_balance",#N/A,FALSE,"Bal";#N/A,#N/A,FALSE,"Plantilla";#N/A,#N/A,FALSE,"CA (2)";#N/A,#N/A,FALSE,"CN (2)"}</definedName>
    <definedName name="yui" localSheetId="19" hidden="1">{#N/A,#N/A,FALSE,"CA";#N/A,#N/A,FALSE,"CN";#N/A,#N/A,FALSE,"Inv";#N/A,#N/A,FALSE,"Inv Acc";"Miguel_balance",#N/A,FALSE,"Bal";#N/A,#N/A,FALSE,"Plantilla";#N/A,#N/A,FALSE,"CA (2)";#N/A,#N/A,FALSE,"CN (2)"}</definedName>
    <definedName name="yui" localSheetId="17" hidden="1">{#N/A,#N/A,FALSE,"CA";#N/A,#N/A,FALSE,"CN";#N/A,#N/A,FALSE,"Inv";#N/A,#N/A,FALSE,"Inv Acc";"Miguel_balance",#N/A,FALSE,"Bal";#N/A,#N/A,FALSE,"Plantilla";#N/A,#N/A,FALSE,"CA (2)";#N/A,#N/A,FALSE,"CN (2)"}</definedName>
    <definedName name="yui" localSheetId="22" hidden="1">{#N/A,#N/A,FALSE,"CA";#N/A,#N/A,FALSE,"CN";#N/A,#N/A,FALSE,"Inv";#N/A,#N/A,FALSE,"Inv Acc";"Miguel_balance",#N/A,FALSE,"Bal";#N/A,#N/A,FALSE,"Plantilla";#N/A,#N/A,FALSE,"CA (2)";#N/A,#N/A,FALSE,"CN (2)"}</definedName>
    <definedName name="yui" localSheetId="10" hidden="1">{#N/A,#N/A,FALSE,"CA";#N/A,#N/A,FALSE,"CN";#N/A,#N/A,FALSE,"Inv";#N/A,#N/A,FALSE,"Inv Acc";"Miguel_balance",#N/A,FALSE,"Bal";#N/A,#N/A,FALSE,"Plantilla";#N/A,#N/A,FALSE,"CA (2)";#N/A,#N/A,FALSE,"CN (2)"}</definedName>
    <definedName name="yui" localSheetId="30" hidden="1">{#N/A,#N/A,FALSE,"CA";#N/A,#N/A,FALSE,"CN";#N/A,#N/A,FALSE,"Inv";#N/A,#N/A,FALSE,"Inv Acc";"Miguel_balance",#N/A,FALSE,"Bal";#N/A,#N/A,FALSE,"Plantilla";#N/A,#N/A,FALSE,"CA (2)";#N/A,#N/A,FALSE,"CN (2)"}</definedName>
    <definedName name="yui" localSheetId="0" hidden="1">{#N/A,#N/A,FALSE,"CA";#N/A,#N/A,FALSE,"CN";#N/A,#N/A,FALSE,"Inv";#N/A,#N/A,FALSE,"Inv Acc";"Miguel_balance",#N/A,FALSE,"Bal";#N/A,#N/A,FALSE,"Plantilla";#N/A,#N/A,FALSE,"CA (2)";#N/A,#N/A,FALSE,"CN (2)"}</definedName>
    <definedName name="yui" localSheetId="3" hidden="1">{#N/A,#N/A,FALSE,"CA";#N/A,#N/A,FALSE,"CN";#N/A,#N/A,FALSE,"Inv";#N/A,#N/A,FALSE,"Inv Acc";"Miguel_balance",#N/A,FALSE,"Bal";#N/A,#N/A,FALSE,"Plantilla";#N/A,#N/A,FALSE,"CA (2)";#N/A,#N/A,FALSE,"CN (2)"}</definedName>
    <definedName name="yui" localSheetId="4" hidden="1">{#N/A,#N/A,FALSE,"CA";#N/A,#N/A,FALSE,"CN";#N/A,#N/A,FALSE,"Inv";#N/A,#N/A,FALSE,"Inv Acc";"Miguel_balance",#N/A,FALSE,"Bal";#N/A,#N/A,FALSE,"Plantilla";#N/A,#N/A,FALSE,"CA (2)";#N/A,#N/A,FALSE,"CN (2)"}</definedName>
    <definedName name="yui" localSheetId="28" hidden="1">{#N/A,#N/A,FALSE,"CA";#N/A,#N/A,FALSE,"CN";#N/A,#N/A,FALSE,"Inv";#N/A,#N/A,FALSE,"Inv Acc";"Miguel_balance",#N/A,FALSE,"Bal";#N/A,#N/A,FALSE,"Plantilla";#N/A,#N/A,FALSE,"CA (2)";#N/A,#N/A,FALSE,"CN (2)"}</definedName>
    <definedName name="yui" localSheetId="33" hidden="1">{#N/A,#N/A,FALSE,"CA";#N/A,#N/A,FALSE,"CN";#N/A,#N/A,FALSE,"Inv";#N/A,#N/A,FALSE,"Inv Acc";"Miguel_balance",#N/A,FALSE,"Bal";#N/A,#N/A,FALSE,"Plantilla";#N/A,#N/A,FALSE,"CA (2)";#N/A,#N/A,FALSE,"CN (2)"}</definedName>
    <definedName name="yui" localSheetId="32" hidden="1">{#N/A,#N/A,FALSE,"CA";#N/A,#N/A,FALSE,"CN";#N/A,#N/A,FALSE,"Inv";#N/A,#N/A,FALSE,"Inv Acc";"Miguel_balance",#N/A,FALSE,"Bal";#N/A,#N/A,FALSE,"Plantilla";#N/A,#N/A,FALSE,"CA (2)";#N/A,#N/A,FALSE,"CN (2)"}</definedName>
    <definedName name="yui" localSheetId="7" hidden="1">{#N/A,#N/A,FALSE,"CA";#N/A,#N/A,FALSE,"CN";#N/A,#N/A,FALSE,"Inv";#N/A,#N/A,FALSE,"Inv Acc";"Miguel_balance",#N/A,FALSE,"Bal";#N/A,#N/A,FALSE,"Plantilla";#N/A,#N/A,FALSE,"CA (2)";#N/A,#N/A,FALSE,"CN (2)"}</definedName>
    <definedName name="yui" localSheetId="29" hidden="1">{#N/A,#N/A,FALSE,"CA";#N/A,#N/A,FALSE,"CN";#N/A,#N/A,FALSE,"Inv";#N/A,#N/A,FALSE,"Inv Acc";"Miguel_balance",#N/A,FALSE,"Bal";#N/A,#N/A,FALSE,"Plantilla";#N/A,#N/A,FALSE,"CA (2)";#N/A,#N/A,FALSE,"CN (2)"}</definedName>
    <definedName name="yui" localSheetId="1" hidden="1">{#N/A,#N/A,FALSE,"CA";#N/A,#N/A,FALSE,"CN";#N/A,#N/A,FALSE,"Inv";#N/A,#N/A,FALSE,"Inv Acc";"Miguel_balance",#N/A,FALSE,"Bal";#N/A,#N/A,FALSE,"Plantilla";#N/A,#N/A,FALSE,"CA (2)";#N/A,#N/A,FALSE,"CN (2)"}</definedName>
    <definedName name="yui" localSheetId="31" hidden="1">{#N/A,#N/A,FALSE,"CA";#N/A,#N/A,FALSE,"CN";#N/A,#N/A,FALSE,"Inv";#N/A,#N/A,FALSE,"Inv Acc";"Miguel_balance",#N/A,FALSE,"Bal";#N/A,#N/A,FALSE,"Plantilla";#N/A,#N/A,FALSE,"CA (2)";#N/A,#N/A,FALSE,"CN (2)"}</definedName>
    <definedName name="yui" hidden="1">{#N/A,#N/A,FALSE,"CA";#N/A,#N/A,FALSE,"CN";#N/A,#N/A,FALSE,"Inv";#N/A,#N/A,FALSE,"Inv Acc";"Miguel_balance",#N/A,FALSE,"Bal";#N/A,#N/A,FALSE,"Plantilla";#N/A,#N/A,FALSE,"CA (2)";#N/A,#N/A,FALSE,"CN (2)"}</definedName>
    <definedName name="yyyy" localSheetId="12" hidden="1">{TRUE,TRUE,-1.25,-15.5,604.5,369,FALSE,FALSE,TRUE,TRUE,0,1,83,1,38,4,5,4,TRUE,TRUE,3,TRUE,1,TRUE,75,"Swvu.inputs._.raw._.data.","ACwvu.inputs._.raw._.data.",#N/A,FALSE,FALSE,0.5,0.5,0.5,0.5,2,"&amp;F","&amp;A&amp;RPage &amp;P",FALSE,FALSE,FALSE,FALSE,1,60,#N/A,#N/A,"=R1C61:R53C89","=C1:C5",#N/A,#N/A,FALSE,FALSE,FALSE,1,600,600,FALSE,FALSE,TRUE,TRUE,TRUE}</definedName>
    <definedName name="yyyy" localSheetId="18" hidden="1">{TRUE,TRUE,-1.25,-15.5,604.5,369,FALSE,FALSE,TRUE,TRUE,0,1,83,1,38,4,5,4,TRUE,TRUE,3,TRUE,1,TRUE,75,"Swvu.inputs._.raw._.data.","ACwvu.inputs._.raw._.data.",#N/A,FALSE,FALSE,0.5,0.5,0.5,0.5,2,"&amp;F","&amp;A&amp;RPage &amp;P",FALSE,FALSE,FALSE,FALSE,1,60,#N/A,#N/A,"=R1C61:R53C89","=C1:C5",#N/A,#N/A,FALSE,FALSE,FALSE,1,600,600,FALSE,FALSE,TRUE,TRUE,TRUE}</definedName>
    <definedName name="yyyy" localSheetId="19" hidden="1">{TRUE,TRUE,-1.25,-15.5,604.5,369,FALSE,FALSE,TRUE,TRUE,0,1,83,1,38,4,5,4,TRUE,TRUE,3,TRUE,1,TRUE,75,"Swvu.inputs._.raw._.data.","ACwvu.inputs._.raw._.data.",#N/A,FALSE,FALSE,0.5,0.5,0.5,0.5,2,"&amp;F","&amp;A&amp;RPage &amp;P",FALSE,FALSE,FALSE,FALSE,1,60,#N/A,#N/A,"=R1C61:R53C89","=C1:C5",#N/A,#N/A,FALSE,FALSE,FALSE,1,600,600,FALSE,FALSE,TRUE,TRUE,TRUE}</definedName>
    <definedName name="yyyy" localSheetId="17" hidden="1">{TRUE,TRUE,-1.25,-15.5,604.5,369,FALSE,FALSE,TRUE,TRUE,0,1,83,1,38,4,5,4,TRUE,TRUE,3,TRUE,1,TRUE,75,"Swvu.inputs._.raw._.data.","ACwvu.inputs._.raw._.data.",#N/A,FALSE,FALSE,0.5,0.5,0.5,0.5,2,"&amp;F","&amp;A&amp;RPage &amp;P",FALSE,FALSE,FALSE,FALSE,1,60,#N/A,#N/A,"=R1C61:R53C89","=C1:C5",#N/A,#N/A,FALSE,FALSE,FALSE,1,600,600,FALSE,FALSE,TRUE,TRUE,TRUE}</definedName>
    <definedName name="yyyy" localSheetId="22" hidden="1">{TRUE,TRUE,-1.25,-15.5,604.5,369,FALSE,FALSE,TRUE,TRUE,0,1,83,1,38,4,5,4,TRUE,TRUE,3,TRUE,1,TRUE,75,"Swvu.inputs._.raw._.data.","ACwvu.inputs._.raw._.data.",#N/A,FALSE,FALSE,0.5,0.5,0.5,0.5,2,"&amp;F","&amp;A&amp;RPage &amp;P",FALSE,FALSE,FALSE,FALSE,1,60,#N/A,#N/A,"=R1C61:R53C89","=C1:C5",#N/A,#N/A,FALSE,FALSE,FALSE,1,600,600,FALSE,FALSE,TRUE,TRUE,TRUE}</definedName>
    <definedName name="yyyy" localSheetId="10" hidden="1">{TRUE,TRUE,-1.25,-15.5,604.5,369,FALSE,FALSE,TRUE,TRUE,0,1,83,1,38,4,5,4,TRUE,TRUE,3,TRUE,1,TRUE,75,"Swvu.inputs._.raw._.data.","ACwvu.inputs._.raw._.data.",#N/A,FALSE,FALSE,0.5,0.5,0.5,0.5,2,"&amp;F","&amp;A&amp;RPage &amp;P",FALSE,FALSE,FALSE,FALSE,1,60,#N/A,#N/A,"=R1C61:R53C89","=C1:C5",#N/A,#N/A,FALSE,FALSE,FALSE,1,600,600,FALSE,FALSE,TRUE,TRUE,TRUE}</definedName>
    <definedName name="yyyy" localSheetId="30" hidden="1">{TRUE,TRUE,-1.25,-15.5,604.5,369,FALSE,FALSE,TRUE,TRUE,0,1,83,1,38,4,5,4,TRUE,TRUE,3,TRUE,1,TRUE,75,"Swvu.inputs._.raw._.data.","ACwvu.inputs._.raw._.data.",#N/A,FALSE,FALSE,0.5,0.5,0.5,0.5,2,"&amp;F","&amp;A&amp;RPage &amp;P",FALSE,FALSE,FALSE,FALSE,1,60,#N/A,#N/A,"=R1C61:R53C89","=C1:C5",#N/A,#N/A,FALSE,FALSE,FALSE,1,600,600,FALSE,FALSE,TRUE,TRUE,TRUE}</definedName>
    <definedName name="yyyy" localSheetId="0" hidden="1">{TRUE,TRUE,-1.25,-15.5,604.5,369,FALSE,FALSE,TRUE,TRUE,0,1,83,1,38,4,5,4,TRUE,TRUE,3,TRUE,1,TRUE,75,"Swvu.inputs._.raw._.data.","ACwvu.inputs._.raw._.data.",#N/A,FALSE,FALSE,0.5,0.5,0.5,0.5,2,"&amp;F","&amp;A&amp;RPage &amp;P",FALSE,FALSE,FALSE,FALSE,1,60,#N/A,#N/A,"=R1C61:R53C89","=C1:C5",#N/A,#N/A,FALSE,FALSE,FALSE,1,600,600,FALSE,FALSE,TRUE,TRUE,TRUE}</definedName>
    <definedName name="yyyy"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yyyy" localSheetId="4" hidden="1">{TRUE,TRUE,-1.25,-15.5,604.5,369,FALSE,FALSE,TRUE,TRUE,0,1,83,1,38,4,5,4,TRUE,TRUE,3,TRUE,1,TRUE,75,"Swvu.inputs._.raw._.data.","ACwvu.inputs._.raw._.data.",#N/A,FALSE,FALSE,0.5,0.5,0.5,0.5,2,"&amp;F","&amp;A&amp;RPage &amp;P",FALSE,FALSE,FALSE,FALSE,1,60,#N/A,#N/A,"=R1C61:R53C89","=C1:C5",#N/A,#N/A,FALSE,FALSE,FALSE,1,600,600,FALSE,FALSE,TRUE,TRUE,TRUE}</definedName>
    <definedName name="yyyy" localSheetId="28" hidden="1">{TRUE,TRUE,-1.25,-15.5,604.5,369,FALSE,FALSE,TRUE,TRUE,0,1,83,1,38,4,5,4,TRUE,TRUE,3,TRUE,1,TRUE,75,"Swvu.inputs._.raw._.data.","ACwvu.inputs._.raw._.data.",#N/A,FALSE,FALSE,0.5,0.5,0.5,0.5,2,"&amp;F","&amp;A&amp;RPage &amp;P",FALSE,FALSE,FALSE,FALSE,1,60,#N/A,#N/A,"=R1C61:R53C89","=C1:C5",#N/A,#N/A,FALSE,FALSE,FALSE,1,600,600,FALSE,FALSE,TRUE,TRUE,TRUE}</definedName>
    <definedName name="yyyy" localSheetId="33" hidden="1">{TRUE,TRUE,-1.25,-15.5,604.5,369,FALSE,FALSE,TRUE,TRUE,0,1,83,1,38,4,5,4,TRUE,TRUE,3,TRUE,1,TRUE,75,"Swvu.inputs._.raw._.data.","ACwvu.inputs._.raw._.data.",#N/A,FALSE,FALSE,0.5,0.5,0.5,0.5,2,"&amp;F","&amp;A&amp;RPage &amp;P",FALSE,FALSE,FALSE,FALSE,1,60,#N/A,#N/A,"=R1C61:R53C89","=C1:C5",#N/A,#N/A,FALSE,FALSE,FALSE,1,600,600,FALSE,FALSE,TRUE,TRUE,TRUE}</definedName>
    <definedName name="yyyy" localSheetId="32" hidden="1">{TRUE,TRUE,-1.25,-15.5,604.5,369,FALSE,FALSE,TRUE,TRUE,0,1,83,1,38,4,5,4,TRUE,TRUE,3,TRUE,1,TRUE,75,"Swvu.inputs._.raw._.data.","ACwvu.inputs._.raw._.data.",#N/A,FALSE,FALSE,0.5,0.5,0.5,0.5,2,"&amp;F","&amp;A&amp;RPage &amp;P",FALSE,FALSE,FALSE,FALSE,1,60,#N/A,#N/A,"=R1C61:R53C89","=C1:C5",#N/A,#N/A,FALSE,FALSE,FALSE,1,600,600,FALSE,FALSE,TRUE,TRUE,TRUE}</definedName>
    <definedName name="yyyy" localSheetId="7" hidden="1">{TRUE,TRUE,-1.25,-15.5,604.5,369,FALSE,FALSE,TRUE,TRUE,0,1,83,1,38,4,5,4,TRUE,TRUE,3,TRUE,1,TRUE,75,"Swvu.inputs._.raw._.data.","ACwvu.inputs._.raw._.data.",#N/A,FALSE,FALSE,0.5,0.5,0.5,0.5,2,"&amp;F","&amp;A&amp;RPage &amp;P",FALSE,FALSE,FALSE,FALSE,1,60,#N/A,#N/A,"=R1C61:R53C89","=C1:C5",#N/A,#N/A,FALSE,FALSE,FALSE,1,600,600,FALSE,FALSE,TRUE,TRUE,TRUE}</definedName>
    <definedName name="yyyy" localSheetId="29" hidden="1">{TRUE,TRUE,-1.25,-15.5,604.5,369,FALSE,FALSE,TRUE,TRUE,0,1,83,1,38,4,5,4,TRUE,TRUE,3,TRUE,1,TRUE,75,"Swvu.inputs._.raw._.data.","ACwvu.inputs._.raw._.data.",#N/A,FALSE,FALSE,0.5,0.5,0.5,0.5,2,"&amp;F","&amp;A&amp;RPage &amp;P",FALSE,FALSE,FALSE,FALSE,1,60,#N/A,#N/A,"=R1C61:R53C89","=C1:C5",#N/A,#N/A,FALSE,FALSE,FALSE,1,600,600,FALSE,FALSE,TRUE,TRUE,TRUE}</definedName>
    <definedName name="yyyy"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yyyy" localSheetId="31" hidden="1">{TRUE,TRUE,-1.25,-15.5,604.5,369,FALSE,FALSE,TRUE,TRUE,0,1,83,1,38,4,5,4,TRUE,TRUE,3,TRUE,1,TRUE,75,"Swvu.inputs._.raw._.data.","ACwvu.inputs._.raw._.data.",#N/A,FALSE,FALSE,0.5,0.5,0.5,0.5,2,"&amp;F","&amp;A&amp;RPage &amp;P",FALSE,FALSE,FALSE,FALSE,1,60,#N/A,#N/A,"=R1C61:R53C89","=C1:C5",#N/A,#N/A,FALSE,FALSE,FALSE,1,600,600,FALSE,FALSE,TRUE,TRUE,TRUE}</definedName>
    <definedName name="yyyy" hidden="1">{TRUE,TRUE,-1.25,-15.5,604.5,369,FALSE,FALSE,TRUE,TRUE,0,1,83,1,38,4,5,4,TRUE,TRUE,3,TRUE,1,TRUE,75,"Swvu.inputs._.raw._.data.","ACwvu.inputs._.raw._.data.",#N/A,FALSE,FALSE,0.5,0.5,0.5,0.5,2,"&amp;F","&amp;A&amp;RPage &amp;P",FALSE,FALSE,FALSE,FALSE,1,60,#N/A,#N/A,"=R1C61:R53C89","=C1:C5",#N/A,#N/A,FALSE,FALSE,FALSE,1,600,600,FALSE,FALSE,TRUE,TRUE,TRUE}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 i="32" l="1"/>
  <c r="I24" i="32"/>
  <c r="G24" i="32"/>
  <c r="I21" i="32"/>
  <c r="G21" i="32"/>
  <c r="F21" i="32"/>
  <c r="V31" i="20" l="1"/>
  <c r="V200" i="20" s="1"/>
  <c r="S258" i="58" l="1"/>
  <c r="K152" i="58"/>
  <c r="S144" i="58"/>
  <c r="Q48" i="20" l="1"/>
  <c r="T59" i="27"/>
  <c r="T77" i="27"/>
  <c r="T76" i="27"/>
  <c r="T100" i="27"/>
  <c r="T105" i="27"/>
  <c r="O103" i="27"/>
  <c r="J6" i="21" l="1"/>
  <c r="J6" i="59"/>
  <c r="N152" i="58"/>
  <c r="S158" i="58"/>
  <c r="S80" i="43"/>
  <c r="S79" i="43"/>
  <c r="H18" i="25"/>
  <c r="H17" i="25"/>
  <c r="H16" i="25"/>
  <c r="S7" i="49"/>
  <c r="S7" i="25"/>
  <c r="S120" i="58"/>
  <c r="S93" i="58"/>
  <c r="S53" i="58"/>
  <c r="S11" i="58"/>
  <c r="S7" i="43"/>
  <c r="S45" i="43"/>
  <c r="S44" i="43"/>
  <c r="N70" i="43" l="1"/>
  <c r="K70" i="43"/>
  <c r="H58" i="58"/>
  <c r="N98" i="43"/>
  <c r="K98" i="43"/>
  <c r="R152" i="58"/>
  <c r="S152" i="58" s="1"/>
  <c r="S146" i="58" s="1"/>
  <c r="N151" i="58"/>
  <c r="K151" i="58"/>
  <c r="R151" i="58" l="1"/>
  <c r="S151" i="58" s="1"/>
  <c r="R98" i="43"/>
  <c r="S98" i="43" s="1"/>
  <c r="R70" i="43"/>
  <c r="S70" i="43" s="1"/>
  <c r="N69" i="43"/>
  <c r="K69" i="43"/>
  <c r="N68" i="43"/>
  <c r="K68" i="43"/>
  <c r="R68" i="43" l="1"/>
  <c r="S68" i="43" s="1"/>
  <c r="S59" i="43" s="1"/>
  <c r="R69" i="43"/>
  <c r="S69" i="43" s="1"/>
  <c r="C206" i="58"/>
  <c r="C205" i="58"/>
  <c r="C204" i="58"/>
  <c r="C203" i="58"/>
  <c r="C202" i="58"/>
  <c r="C201" i="58"/>
  <c r="C200" i="58"/>
  <c r="C199" i="58"/>
  <c r="K9" i="43" l="1"/>
  <c r="N9" i="43"/>
  <c r="S12" i="43"/>
  <c r="G16" i="32"/>
  <c r="G13" i="32"/>
  <c r="N10" i="25"/>
  <c r="K10" i="25"/>
  <c r="R10" i="25" s="1"/>
  <c r="R9" i="43" l="1"/>
  <c r="S9" i="43" s="1"/>
  <c r="S10" i="25"/>
  <c r="L103" i="27"/>
  <c r="S103" i="27" s="1"/>
  <c r="T103" i="27" s="1"/>
  <c r="T104" i="27" s="1"/>
  <c r="O98" i="27"/>
  <c r="L98" i="27"/>
  <c r="O97" i="27"/>
  <c r="L97" i="27"/>
  <c r="O96" i="27"/>
  <c r="L96" i="27"/>
  <c r="O95" i="27"/>
  <c r="L95" i="27"/>
  <c r="O94" i="27"/>
  <c r="L94" i="27"/>
  <c r="O93" i="27"/>
  <c r="L93" i="27"/>
  <c r="O92" i="27"/>
  <c r="L92" i="27"/>
  <c r="O91" i="27"/>
  <c r="L91" i="27"/>
  <c r="O90" i="27"/>
  <c r="L90" i="27"/>
  <c r="O89" i="27"/>
  <c r="L89" i="27"/>
  <c r="O87" i="27"/>
  <c r="L87" i="27"/>
  <c r="O86" i="27"/>
  <c r="L86" i="27"/>
  <c r="O85" i="27"/>
  <c r="L85" i="27"/>
  <c r="O84" i="27"/>
  <c r="L84" i="27"/>
  <c r="O83" i="27"/>
  <c r="L83" i="27"/>
  <c r="O82" i="27"/>
  <c r="L82" i="27"/>
  <c r="O81" i="27"/>
  <c r="L81" i="27"/>
  <c r="O75" i="27"/>
  <c r="L75" i="27"/>
  <c r="O74" i="27"/>
  <c r="L74" i="27"/>
  <c r="O73" i="27"/>
  <c r="L73" i="27"/>
  <c r="O71" i="27"/>
  <c r="L71" i="27"/>
  <c r="O70" i="27"/>
  <c r="L70" i="27"/>
  <c r="O69" i="27"/>
  <c r="L69" i="27"/>
  <c r="O67" i="27"/>
  <c r="L67" i="27"/>
  <c r="O66" i="27"/>
  <c r="L66" i="27"/>
  <c r="O65" i="27"/>
  <c r="L65" i="27"/>
  <c r="O64" i="27"/>
  <c r="L64" i="27"/>
  <c r="O63" i="27"/>
  <c r="L63" i="27"/>
  <c r="O57" i="27"/>
  <c r="L57" i="27"/>
  <c r="O56" i="27"/>
  <c r="L56" i="27"/>
  <c r="O55" i="27"/>
  <c r="L55" i="27"/>
  <c r="O54" i="27"/>
  <c r="L54" i="27"/>
  <c r="S54" i="27" s="1"/>
  <c r="O53" i="27"/>
  <c r="L53" i="27"/>
  <c r="O52" i="27"/>
  <c r="L52" i="27"/>
  <c r="O51" i="27"/>
  <c r="L51" i="27"/>
  <c r="O49" i="27"/>
  <c r="L49" i="27"/>
  <c r="O48" i="27"/>
  <c r="L48" i="27"/>
  <c r="O47" i="27"/>
  <c r="L47" i="27"/>
  <c r="O46" i="27"/>
  <c r="L46" i="27"/>
  <c r="O45" i="27"/>
  <c r="L45" i="27"/>
  <c r="O43" i="27"/>
  <c r="L43" i="27"/>
  <c r="O42" i="27"/>
  <c r="L42" i="27"/>
  <c r="O41" i="27"/>
  <c r="L41" i="27"/>
  <c r="O40" i="27"/>
  <c r="L40" i="27"/>
  <c r="O39" i="27"/>
  <c r="L39" i="27"/>
  <c r="O38" i="27"/>
  <c r="L38" i="27"/>
  <c r="O37" i="27"/>
  <c r="L37" i="27"/>
  <c r="O31" i="27"/>
  <c r="L31" i="27"/>
  <c r="O30" i="27"/>
  <c r="L30" i="27"/>
  <c r="O29" i="27"/>
  <c r="L29" i="27"/>
  <c r="O28" i="27"/>
  <c r="L28" i="27"/>
  <c r="O27" i="27"/>
  <c r="L27" i="27"/>
  <c r="O26" i="27"/>
  <c r="L26" i="27"/>
  <c r="O25" i="27"/>
  <c r="L25" i="27"/>
  <c r="O23" i="27"/>
  <c r="L23" i="27"/>
  <c r="O22" i="27"/>
  <c r="L22" i="27"/>
  <c r="O21" i="27"/>
  <c r="L21" i="27"/>
  <c r="O20" i="27"/>
  <c r="L20" i="27"/>
  <c r="O19" i="27"/>
  <c r="L19" i="27"/>
  <c r="O18" i="27"/>
  <c r="L18" i="27"/>
  <c r="O17" i="27"/>
  <c r="L17" i="27"/>
  <c r="O16" i="27"/>
  <c r="L16" i="27"/>
  <c r="O15" i="27"/>
  <c r="L15" i="27"/>
  <c r="O14" i="27"/>
  <c r="L14" i="27"/>
  <c r="O13" i="27"/>
  <c r="L13" i="27"/>
  <c r="O11" i="27"/>
  <c r="L11" i="27"/>
  <c r="K187" i="20"/>
  <c r="K186" i="20"/>
  <c r="K185" i="20"/>
  <c r="K183" i="20"/>
  <c r="K182" i="20"/>
  <c r="K181" i="20"/>
  <c r="K180" i="20"/>
  <c r="K179" i="20"/>
  <c r="K177" i="20"/>
  <c r="K176" i="20"/>
  <c r="K175" i="20"/>
  <c r="K174" i="20"/>
  <c r="K173" i="20"/>
  <c r="K171" i="20"/>
  <c r="K170" i="20"/>
  <c r="K169" i="20"/>
  <c r="K168" i="20"/>
  <c r="K167" i="20"/>
  <c r="K166" i="20"/>
  <c r="K165" i="20"/>
  <c r="K164" i="20"/>
  <c r="K163" i="20"/>
  <c r="K161" i="20"/>
  <c r="K160" i="20"/>
  <c r="K159" i="20"/>
  <c r="K156" i="20"/>
  <c r="K155" i="20"/>
  <c r="K154" i="20"/>
  <c r="K153" i="20"/>
  <c r="K152" i="20"/>
  <c r="K149" i="20"/>
  <c r="K148" i="20"/>
  <c r="K147" i="20"/>
  <c r="K146" i="20"/>
  <c r="K145" i="20"/>
  <c r="K144" i="20"/>
  <c r="K143" i="20"/>
  <c r="K142" i="20"/>
  <c r="K141" i="20"/>
  <c r="K140" i="20"/>
  <c r="K139" i="20"/>
  <c r="K138" i="20"/>
  <c r="K137" i="20"/>
  <c r="K136" i="20"/>
  <c r="K135" i="20"/>
  <c r="K134" i="20"/>
  <c r="AA4" i="20"/>
  <c r="AB4" i="20"/>
  <c r="AC4" i="20"/>
  <c r="AD4" i="20"/>
  <c r="AE4" i="20"/>
  <c r="AF4" i="20"/>
  <c r="AG4" i="20"/>
  <c r="AH4" i="20"/>
  <c r="AI4" i="20"/>
  <c r="AJ4" i="20"/>
  <c r="AK4" i="20"/>
  <c r="Q197" i="20"/>
  <c r="N197" i="20"/>
  <c r="Q192" i="20"/>
  <c r="N192" i="20"/>
  <c r="Q188" i="20"/>
  <c r="N188" i="20"/>
  <c r="Q187" i="20"/>
  <c r="N187" i="20"/>
  <c r="Q186" i="20"/>
  <c r="N186" i="20"/>
  <c r="Q185" i="20"/>
  <c r="N185" i="20"/>
  <c r="Q183" i="20"/>
  <c r="N183" i="20"/>
  <c r="Q182" i="20"/>
  <c r="N182" i="20"/>
  <c r="Q181" i="20"/>
  <c r="N181" i="20"/>
  <c r="Q180" i="20"/>
  <c r="N180" i="20"/>
  <c r="Q179" i="20"/>
  <c r="N179" i="20"/>
  <c r="Q177" i="20"/>
  <c r="N177" i="20"/>
  <c r="Q176" i="20"/>
  <c r="N176" i="20"/>
  <c r="Q175" i="20"/>
  <c r="N175" i="20"/>
  <c r="Q174" i="20"/>
  <c r="N174" i="20"/>
  <c r="Q173" i="20"/>
  <c r="N173" i="20"/>
  <c r="Q171" i="20"/>
  <c r="N171" i="20"/>
  <c r="Q170" i="20"/>
  <c r="N170" i="20"/>
  <c r="Q169" i="20"/>
  <c r="N169" i="20"/>
  <c r="Q168" i="20"/>
  <c r="N168" i="20"/>
  <c r="Q167" i="20"/>
  <c r="N167" i="20"/>
  <c r="Q166" i="20"/>
  <c r="N166" i="20"/>
  <c r="Q165" i="20"/>
  <c r="N165" i="20"/>
  <c r="Q164" i="20"/>
  <c r="N164" i="20"/>
  <c r="Q163" i="20"/>
  <c r="N163" i="20"/>
  <c r="Q162" i="20"/>
  <c r="N162" i="20"/>
  <c r="Q161" i="20"/>
  <c r="N161" i="20"/>
  <c r="Q160" i="20"/>
  <c r="N160" i="20"/>
  <c r="Q159" i="20"/>
  <c r="N159" i="20"/>
  <c r="Q158" i="20"/>
  <c r="N158" i="20"/>
  <c r="Q156" i="20"/>
  <c r="N156" i="20"/>
  <c r="Q155" i="20"/>
  <c r="N155" i="20"/>
  <c r="Q154" i="20"/>
  <c r="N154" i="20"/>
  <c r="Q153" i="20"/>
  <c r="N153" i="20"/>
  <c r="Q152" i="20"/>
  <c r="N152" i="20"/>
  <c r="Q151" i="20"/>
  <c r="N151" i="20"/>
  <c r="Q149" i="20"/>
  <c r="N149" i="20"/>
  <c r="Q148" i="20"/>
  <c r="N148" i="20"/>
  <c r="Q147" i="20"/>
  <c r="N147" i="20"/>
  <c r="Q146" i="20"/>
  <c r="N146" i="20"/>
  <c r="Q145" i="20"/>
  <c r="N145" i="20"/>
  <c r="Q144" i="20"/>
  <c r="N144" i="20"/>
  <c r="Q143" i="20"/>
  <c r="N143" i="20"/>
  <c r="Q142" i="20"/>
  <c r="N142" i="20"/>
  <c r="Q141" i="20"/>
  <c r="N141" i="20"/>
  <c r="Q140" i="20"/>
  <c r="N140" i="20"/>
  <c r="Q139" i="20"/>
  <c r="N139" i="20"/>
  <c r="Q138" i="20"/>
  <c r="N138" i="20"/>
  <c r="Q137" i="20"/>
  <c r="N137" i="20"/>
  <c r="Q136" i="20"/>
  <c r="N136" i="20"/>
  <c r="Q135" i="20"/>
  <c r="N135" i="20"/>
  <c r="Q134" i="20"/>
  <c r="N134" i="20"/>
  <c r="Q133" i="20"/>
  <c r="N133" i="20"/>
  <c r="Q131" i="20"/>
  <c r="U131" i="20" s="1"/>
  <c r="N131" i="20"/>
  <c r="Q130" i="20"/>
  <c r="N130" i="20"/>
  <c r="Q125" i="20"/>
  <c r="N125" i="20"/>
  <c r="Q124" i="20"/>
  <c r="N124" i="20"/>
  <c r="Q123" i="20"/>
  <c r="N123" i="20"/>
  <c r="Q122" i="20"/>
  <c r="N122" i="20"/>
  <c r="Q121" i="20"/>
  <c r="N121" i="20"/>
  <c r="Q120" i="20"/>
  <c r="N120" i="20"/>
  <c r="Q118" i="20"/>
  <c r="N118" i="20"/>
  <c r="Q117" i="20"/>
  <c r="N117" i="20"/>
  <c r="Q116" i="20"/>
  <c r="N116" i="20"/>
  <c r="Q115" i="20"/>
  <c r="N115" i="20"/>
  <c r="Q114" i="20"/>
  <c r="N114" i="20"/>
  <c r="Q113" i="20"/>
  <c r="N113" i="20"/>
  <c r="Q112" i="20"/>
  <c r="N112" i="20"/>
  <c r="Q107" i="20"/>
  <c r="N107" i="20"/>
  <c r="Q102" i="20"/>
  <c r="N102" i="20"/>
  <c r="Q101" i="20"/>
  <c r="N101" i="20"/>
  <c r="Q100" i="20"/>
  <c r="N100" i="20"/>
  <c r="Q99" i="20"/>
  <c r="N99" i="20"/>
  <c r="Q98" i="20"/>
  <c r="N98" i="20"/>
  <c r="Q97" i="20"/>
  <c r="N97" i="20"/>
  <c r="Q96" i="20"/>
  <c r="N96" i="20"/>
  <c r="Q95" i="20"/>
  <c r="N95" i="20"/>
  <c r="Q94" i="20"/>
  <c r="N94" i="20"/>
  <c r="Q93" i="20"/>
  <c r="N93" i="20"/>
  <c r="Q92" i="20"/>
  <c r="N92" i="20"/>
  <c r="Q90" i="20"/>
  <c r="N90" i="20"/>
  <c r="Q89" i="20"/>
  <c r="N89" i="20"/>
  <c r="Q88" i="20"/>
  <c r="N88" i="20"/>
  <c r="Q87" i="20"/>
  <c r="N87" i="20"/>
  <c r="Q86" i="20"/>
  <c r="N86" i="20"/>
  <c r="Q84" i="20"/>
  <c r="N84" i="20"/>
  <c r="Q83" i="20"/>
  <c r="N83" i="20"/>
  <c r="Q82" i="20"/>
  <c r="N82" i="20"/>
  <c r="Q81" i="20"/>
  <c r="N81" i="20"/>
  <c r="Q80" i="20"/>
  <c r="N80" i="20"/>
  <c r="Q78" i="20"/>
  <c r="N78" i="20"/>
  <c r="Q77" i="20"/>
  <c r="N77" i="20"/>
  <c r="Q76" i="20"/>
  <c r="N76" i="20"/>
  <c r="Q71" i="20"/>
  <c r="N71" i="20"/>
  <c r="Q70" i="20"/>
  <c r="N70" i="20"/>
  <c r="Q69" i="20"/>
  <c r="N69" i="20"/>
  <c r="Q68" i="20"/>
  <c r="N68" i="20"/>
  <c r="Q67" i="20"/>
  <c r="N67" i="20"/>
  <c r="Q66" i="20"/>
  <c r="N66" i="20"/>
  <c r="Q65" i="20"/>
  <c r="N65" i="20"/>
  <c r="Q63" i="20"/>
  <c r="N63" i="20"/>
  <c r="Q62" i="20"/>
  <c r="N62" i="20"/>
  <c r="Q61" i="20"/>
  <c r="N61" i="20"/>
  <c r="Q60" i="20"/>
  <c r="N60" i="20"/>
  <c r="Q59" i="20"/>
  <c r="N59" i="20"/>
  <c r="Q58" i="20"/>
  <c r="N58" i="20"/>
  <c r="Q57" i="20"/>
  <c r="N57" i="20"/>
  <c r="Q56" i="20"/>
  <c r="N56" i="20"/>
  <c r="Q55" i="20"/>
  <c r="N55" i="20"/>
  <c r="Q54" i="20"/>
  <c r="N54" i="20"/>
  <c r="Q52" i="20"/>
  <c r="N52" i="20"/>
  <c r="Q51" i="20"/>
  <c r="N51" i="20"/>
  <c r="Q50" i="20"/>
  <c r="N50" i="20"/>
  <c r="Q49" i="20"/>
  <c r="N49" i="20"/>
  <c r="N48" i="20"/>
  <c r="U48" i="20" s="1"/>
  <c r="Q46" i="20"/>
  <c r="N46" i="20"/>
  <c r="Q45" i="20"/>
  <c r="N45" i="20"/>
  <c r="Q44" i="20"/>
  <c r="N44" i="20"/>
  <c r="Q43" i="20"/>
  <c r="N43" i="20"/>
  <c r="Q42" i="20"/>
  <c r="N42" i="20"/>
  <c r="Q41" i="20"/>
  <c r="N41" i="20"/>
  <c r="Q40" i="20"/>
  <c r="N40" i="20"/>
  <c r="Q38" i="20"/>
  <c r="N38" i="20"/>
  <c r="Q37" i="20"/>
  <c r="N37" i="20"/>
  <c r="Q36" i="20"/>
  <c r="N36" i="20"/>
  <c r="Q35" i="20"/>
  <c r="N35" i="20"/>
  <c r="Q30" i="20"/>
  <c r="N30" i="20"/>
  <c r="Q29" i="20"/>
  <c r="N29" i="20"/>
  <c r="Q28" i="20"/>
  <c r="N28" i="20"/>
  <c r="Q27" i="20"/>
  <c r="N27" i="20"/>
  <c r="Q26" i="20"/>
  <c r="N26" i="20"/>
  <c r="Q25" i="20"/>
  <c r="N25" i="20"/>
  <c r="Q23" i="20"/>
  <c r="N23" i="20"/>
  <c r="Q22" i="20"/>
  <c r="N22" i="20"/>
  <c r="Q21" i="20"/>
  <c r="N21" i="20"/>
  <c r="Q20" i="20"/>
  <c r="N20" i="20"/>
  <c r="Q19" i="20"/>
  <c r="N19" i="20"/>
  <c r="Q18" i="20"/>
  <c r="N18" i="20"/>
  <c r="Q17" i="20"/>
  <c r="N17" i="20"/>
  <c r="Q16" i="20"/>
  <c r="N16" i="20"/>
  <c r="Q15" i="20"/>
  <c r="N15" i="20"/>
  <c r="Q13" i="20"/>
  <c r="N13" i="20"/>
  <c r="Q12" i="20"/>
  <c r="N12" i="20"/>
  <c r="U151" i="20" l="1"/>
  <c r="U158" i="20"/>
  <c r="U121" i="20"/>
  <c r="U114" i="20"/>
  <c r="U80" i="20"/>
  <c r="U87" i="20"/>
  <c r="U94" i="20"/>
  <c r="U100" i="20"/>
  <c r="U49" i="20"/>
  <c r="S63" i="27"/>
  <c r="S25" i="27"/>
  <c r="S75" i="27"/>
  <c r="S18" i="27"/>
  <c r="S42" i="27"/>
  <c r="S86" i="27"/>
  <c r="S93" i="27"/>
  <c r="S17" i="27"/>
  <c r="S13" i="27"/>
  <c r="S19" i="27"/>
  <c r="S26" i="27"/>
  <c r="U16" i="20"/>
  <c r="U86" i="20"/>
  <c r="U93" i="20"/>
  <c r="U99" i="20"/>
  <c r="U120" i="20"/>
  <c r="U163" i="20"/>
  <c r="U22" i="20"/>
  <c r="U30" i="20"/>
  <c r="U76" i="20"/>
  <c r="U124" i="20"/>
  <c r="U97" i="20"/>
  <c r="U83" i="20"/>
  <c r="U107" i="20"/>
  <c r="U96" i="20"/>
  <c r="U21" i="20"/>
  <c r="U77" i="20"/>
  <c r="U15" i="20"/>
  <c r="U40" i="20"/>
  <c r="U28" i="20"/>
  <c r="U51" i="20"/>
  <c r="U25" i="20"/>
  <c r="U19" i="20"/>
  <c r="U13" i="20"/>
  <c r="U20" i="20"/>
  <c r="U27" i="20"/>
  <c r="U37" i="20"/>
  <c r="U95" i="20"/>
  <c r="U38" i="20"/>
  <c r="U101" i="20"/>
  <c r="U12" i="20"/>
  <c r="U89" i="20"/>
  <c r="U92" i="20"/>
  <c r="U98" i="20"/>
  <c r="U125" i="20"/>
  <c r="U162" i="20"/>
  <c r="U50" i="20"/>
  <c r="U88" i="20"/>
  <c r="U159" i="20"/>
  <c r="U26" i="20"/>
  <c r="U82" i="20"/>
  <c r="U130" i="20"/>
  <c r="U81" i="20"/>
  <c r="U152" i="20"/>
  <c r="U102" i="20"/>
  <c r="S14" i="27"/>
  <c r="S20" i="27"/>
  <c r="S45" i="27"/>
  <c r="S70" i="27"/>
  <c r="S89" i="27"/>
  <c r="S64" i="27"/>
  <c r="S16" i="27"/>
  <c r="S22" i="27"/>
  <c r="S29" i="27"/>
  <c r="S73" i="27"/>
  <c r="S84" i="27"/>
  <c r="S91" i="27"/>
  <c r="S97" i="27"/>
  <c r="S15" i="27"/>
  <c r="S41" i="27"/>
  <c r="S66" i="27"/>
  <c r="S74" i="27"/>
  <c r="S85" i="27"/>
  <c r="S92" i="27"/>
  <c r="S90" i="27"/>
  <c r="S67" i="27"/>
  <c r="S46" i="27"/>
  <c r="S21" i="27"/>
  <c r="S28" i="27"/>
  <c r="S69" i="27"/>
  <c r="S81" i="27"/>
  <c r="S87" i="27"/>
  <c r="S95" i="27"/>
  <c r="S96" i="27"/>
  <c r="S98" i="27"/>
  <c r="S65" i="27"/>
  <c r="S71" i="27"/>
  <c r="S83" i="27"/>
  <c r="S23" i="27"/>
  <c r="S30" i="27"/>
  <c r="S48" i="27"/>
  <c r="S55" i="27"/>
  <c r="S11" i="27"/>
  <c r="S31" i="27"/>
  <c r="S49" i="27"/>
  <c r="S56" i="27"/>
  <c r="S47" i="27"/>
  <c r="S37" i="27"/>
  <c r="S43" i="27"/>
  <c r="S51" i="27"/>
  <c r="S57" i="27"/>
  <c r="S38" i="27"/>
  <c r="S52" i="27"/>
  <c r="S40" i="27"/>
  <c r="S39" i="27"/>
  <c r="S53" i="27"/>
  <c r="S82" i="27"/>
  <c r="S94" i="27"/>
  <c r="U57" i="20"/>
  <c r="U63" i="20"/>
  <c r="U70" i="20"/>
  <c r="U144" i="20"/>
  <c r="U36" i="20"/>
  <c r="U43" i="20"/>
  <c r="U67" i="20"/>
  <c r="U84" i="20"/>
  <c r="U116" i="20"/>
  <c r="U134" i="20"/>
  <c r="U146" i="20"/>
  <c r="U160" i="20"/>
  <c r="U42" i="20"/>
  <c r="U56" i="20"/>
  <c r="U69" i="20"/>
  <c r="U118" i="20"/>
  <c r="U136" i="20"/>
  <c r="U113" i="20"/>
  <c r="U137" i="20"/>
  <c r="U143" i="20"/>
  <c r="U149" i="20"/>
  <c r="U156" i="20"/>
  <c r="U169" i="20"/>
  <c r="U176" i="20"/>
  <c r="U148" i="20"/>
  <c r="U65" i="20"/>
  <c r="U54" i="20"/>
  <c r="U166" i="20"/>
  <c r="U173" i="20"/>
  <c r="U180" i="20"/>
  <c r="U187" i="20"/>
  <c r="U183" i="20"/>
  <c r="U90" i="20"/>
  <c r="U115" i="20"/>
  <c r="U122" i="20"/>
  <c r="U133" i="20"/>
  <c r="U52" i="20"/>
  <c r="U66" i="20"/>
  <c r="U45" i="20"/>
  <c r="U59" i="20"/>
  <c r="U197" i="20"/>
  <c r="U170" i="20"/>
  <c r="U139" i="20"/>
  <c r="U145" i="20"/>
  <c r="U165" i="20"/>
  <c r="U171" i="20"/>
  <c r="U179" i="20"/>
  <c r="U186" i="20"/>
  <c r="U29" i="20"/>
  <c r="U46" i="20"/>
  <c r="U60" i="20"/>
  <c r="U123" i="20"/>
  <c r="U140" i="20"/>
  <c r="U153" i="20"/>
  <c r="U71" i="20"/>
  <c r="U58" i="20"/>
  <c r="U164" i="20"/>
  <c r="U23" i="20"/>
  <c r="U55" i="20"/>
  <c r="U117" i="20"/>
  <c r="U147" i="20"/>
  <c r="U154" i="20"/>
  <c r="U161" i="20"/>
  <c r="U167" i="20"/>
  <c r="U174" i="20"/>
  <c r="U181" i="20"/>
  <c r="U188" i="20"/>
  <c r="U177" i="20"/>
  <c r="U185" i="20"/>
  <c r="U17" i="20"/>
  <c r="U41" i="20"/>
  <c r="U68" i="20"/>
  <c r="U18" i="20"/>
  <c r="U35" i="20"/>
  <c r="U62" i="20"/>
  <c r="U112" i="20"/>
  <c r="U142" i="20"/>
  <c r="U155" i="20"/>
  <c r="U168" i="20"/>
  <c r="U175" i="20"/>
  <c r="U182" i="20"/>
  <c r="U192" i="20"/>
  <c r="U78" i="20"/>
  <c r="U135" i="20"/>
  <c r="U44" i="20"/>
  <c r="U138" i="20"/>
  <c r="U61" i="20"/>
  <c r="U141" i="20"/>
  <c r="R13" i="49" l="1"/>
  <c r="R12" i="49"/>
  <c r="R11" i="49"/>
  <c r="R10" i="49"/>
  <c r="R9" i="49"/>
  <c r="R22" i="46"/>
  <c r="R21" i="46"/>
  <c r="R18" i="46"/>
  <c r="R17" i="46"/>
  <c r="R14" i="46"/>
  <c r="R13" i="46"/>
  <c r="K13" i="46"/>
  <c r="N13" i="46"/>
  <c r="K14" i="46"/>
  <c r="N14" i="46"/>
  <c r="R10" i="46"/>
  <c r="S10" i="46" s="1"/>
  <c r="R7" i="46"/>
  <c r="J5" i="21"/>
  <c r="J8" i="21"/>
  <c r="S250" i="58"/>
  <c r="S154" i="58"/>
  <c r="S51" i="58"/>
  <c r="S49" i="58"/>
  <c r="S9" i="58"/>
  <c r="S7" i="58"/>
  <c r="S13" i="46"/>
  <c r="S7" i="46"/>
  <c r="K41" i="43"/>
  <c r="N41" i="43"/>
  <c r="K11" i="43"/>
  <c r="N11" i="43"/>
  <c r="R41" i="43" l="1"/>
  <c r="S41" i="43" s="1"/>
  <c r="H240" i="58" l="1"/>
  <c r="H239" i="58"/>
  <c r="H172" i="58"/>
  <c r="H171" i="58"/>
  <c r="V38" i="20"/>
  <c r="AL188" i="20"/>
  <c r="N12" i="25" l="1"/>
  <c r="K12" i="25"/>
  <c r="R12" i="25" s="1"/>
  <c r="C12" i="25"/>
  <c r="C10" i="25"/>
  <c r="S12" i="25" l="1"/>
  <c r="C41" i="35"/>
  <c r="C14" i="25"/>
  <c r="S190" i="58"/>
  <c r="S188" i="58"/>
  <c r="N205" i="58"/>
  <c r="N206" i="58"/>
  <c r="K205" i="58"/>
  <c r="K206" i="58"/>
  <c r="N200" i="58"/>
  <c r="N201" i="58"/>
  <c r="N202" i="58"/>
  <c r="N203" i="58"/>
  <c r="R203" i="58" s="1"/>
  <c r="N204" i="58"/>
  <c r="K200" i="58"/>
  <c r="K201" i="58"/>
  <c r="K202" i="58"/>
  <c r="K203" i="58"/>
  <c r="K204" i="58"/>
  <c r="N197" i="58"/>
  <c r="K197" i="58"/>
  <c r="C197" i="58"/>
  <c r="N196" i="58"/>
  <c r="K196" i="58"/>
  <c r="C196" i="58"/>
  <c r="R201" i="58" l="1"/>
  <c r="R202" i="58"/>
  <c r="R200" i="58"/>
  <c r="S200" i="58" s="1"/>
  <c r="R206" i="58"/>
  <c r="S206" i="58" s="1"/>
  <c r="R205" i="58"/>
  <c r="S205" i="58" s="1"/>
  <c r="R204" i="58"/>
  <c r="S204" i="58" s="1"/>
  <c r="S202" i="58"/>
  <c r="S201" i="58"/>
  <c r="S203" i="58"/>
  <c r="R197" i="58"/>
  <c r="S197" i="58" s="1"/>
  <c r="R196" i="58"/>
  <c r="S196" i="58" s="1"/>
  <c r="C9" i="48" l="1"/>
  <c r="J17" i="59" l="1"/>
  <c r="J16" i="59"/>
  <c r="J15" i="59"/>
  <c r="J14" i="59"/>
  <c r="J13" i="59"/>
  <c r="J12" i="59"/>
  <c r="J11" i="59"/>
  <c r="J10" i="59"/>
  <c r="J9" i="59"/>
  <c r="J8" i="59"/>
  <c r="J7" i="59"/>
  <c r="J5" i="59" s="1"/>
  <c r="F17" i="32" s="1"/>
  <c r="G17" i="32"/>
  <c r="C11" i="25" l="1"/>
  <c r="C12" i="20"/>
  <c r="C13" i="20"/>
  <c r="C197" i="20"/>
  <c r="C192" i="20"/>
  <c r="C188" i="20"/>
  <c r="C187" i="20"/>
  <c r="C186" i="20"/>
  <c r="C185" i="20"/>
  <c r="C183" i="20"/>
  <c r="C182" i="20"/>
  <c r="C181" i="20"/>
  <c r="C180" i="20"/>
  <c r="C179" i="20"/>
  <c r="C177" i="20"/>
  <c r="C176" i="20"/>
  <c r="C175" i="20"/>
  <c r="C174" i="20"/>
  <c r="C173" i="20"/>
  <c r="C171" i="20"/>
  <c r="C170" i="20"/>
  <c r="C169" i="20"/>
  <c r="C168" i="20"/>
  <c r="C167" i="20"/>
  <c r="C166" i="20"/>
  <c r="C165" i="20"/>
  <c r="C164" i="20"/>
  <c r="C163" i="20"/>
  <c r="C162" i="20"/>
  <c r="C161" i="20"/>
  <c r="C160" i="20"/>
  <c r="C159" i="20"/>
  <c r="C158" i="20"/>
  <c r="C156" i="20"/>
  <c r="C155" i="20"/>
  <c r="C154" i="20"/>
  <c r="C153" i="20"/>
  <c r="C152" i="20"/>
  <c r="C151" i="20"/>
  <c r="C149" i="20"/>
  <c r="C148" i="20"/>
  <c r="C147" i="20"/>
  <c r="C146" i="20"/>
  <c r="C145" i="20"/>
  <c r="C144" i="20"/>
  <c r="C143" i="20"/>
  <c r="C142" i="20"/>
  <c r="C141" i="20"/>
  <c r="C140" i="20"/>
  <c r="C139" i="20"/>
  <c r="C138" i="20"/>
  <c r="C137" i="20"/>
  <c r="C136" i="20"/>
  <c r="C135" i="20"/>
  <c r="C134" i="20"/>
  <c r="C133" i="20"/>
  <c r="C131" i="20"/>
  <c r="C130" i="20"/>
  <c r="C125" i="20"/>
  <c r="C124" i="20"/>
  <c r="C123" i="20"/>
  <c r="C122" i="20"/>
  <c r="C121" i="20"/>
  <c r="C120" i="20"/>
  <c r="C118" i="20"/>
  <c r="C117" i="20"/>
  <c r="C116" i="20"/>
  <c r="C115" i="20"/>
  <c r="C114" i="20"/>
  <c r="C113" i="20"/>
  <c r="C112" i="20"/>
  <c r="C107" i="20"/>
  <c r="C102" i="20"/>
  <c r="C101" i="20"/>
  <c r="C100" i="20"/>
  <c r="C99" i="20"/>
  <c r="C98" i="20"/>
  <c r="C97" i="20"/>
  <c r="C96" i="20"/>
  <c r="C95" i="20"/>
  <c r="C94" i="20"/>
  <c r="C93" i="20"/>
  <c r="C92" i="20"/>
  <c r="C90" i="20"/>
  <c r="C89" i="20"/>
  <c r="C88" i="20"/>
  <c r="C87" i="20"/>
  <c r="C86" i="20"/>
  <c r="C84" i="20"/>
  <c r="C83" i="20"/>
  <c r="C82" i="20"/>
  <c r="C81" i="20"/>
  <c r="C80" i="20"/>
  <c r="C78" i="20"/>
  <c r="C77" i="20"/>
  <c r="C76" i="20"/>
  <c r="C71" i="20"/>
  <c r="C70" i="20"/>
  <c r="C69" i="20"/>
  <c r="C68" i="20"/>
  <c r="C67" i="20"/>
  <c r="C66" i="20"/>
  <c r="C65" i="20"/>
  <c r="C63" i="20"/>
  <c r="C62" i="20"/>
  <c r="C61" i="20"/>
  <c r="C60" i="20"/>
  <c r="C59" i="20"/>
  <c r="C58" i="20"/>
  <c r="C57" i="20"/>
  <c r="C56" i="20"/>
  <c r="C55" i="20"/>
  <c r="C54" i="20"/>
  <c r="C52" i="20"/>
  <c r="C51" i="20"/>
  <c r="C50" i="20"/>
  <c r="C49" i="20"/>
  <c r="C48" i="20"/>
  <c r="C46" i="20"/>
  <c r="C45" i="20"/>
  <c r="C44" i="20"/>
  <c r="C43" i="20"/>
  <c r="C42" i="20"/>
  <c r="C41" i="20"/>
  <c r="C40" i="20"/>
  <c r="C37" i="20"/>
  <c r="C36" i="20"/>
  <c r="C35" i="20"/>
  <c r="C30" i="20"/>
  <c r="C29" i="20"/>
  <c r="C28" i="20"/>
  <c r="C27" i="20"/>
  <c r="C26" i="20"/>
  <c r="C25" i="20"/>
  <c r="C23" i="20"/>
  <c r="C22" i="20"/>
  <c r="C21" i="20"/>
  <c r="C20" i="20"/>
  <c r="C19" i="20"/>
  <c r="C18" i="20"/>
  <c r="C17" i="20"/>
  <c r="C16" i="20"/>
  <c r="C15" i="20"/>
  <c r="C204" i="41"/>
  <c r="C114" i="41"/>
  <c r="C183" i="41"/>
  <c r="C182" i="41"/>
  <c r="C181" i="41"/>
  <c r="C184" i="41"/>
  <c r="C211" i="41"/>
  <c r="C212" i="41"/>
  <c r="C210" i="41"/>
  <c r="C209" i="41"/>
  <c r="C208" i="41"/>
  <c r="C216" i="58"/>
  <c r="C218" i="58"/>
  <c r="C217" i="58"/>
  <c r="C215" i="58"/>
  <c r="C219" i="58"/>
  <c r="C186" i="58" l="1"/>
  <c r="C185" i="58"/>
  <c r="C184" i="58"/>
  <c r="C183" i="58"/>
  <c r="C114" i="58"/>
  <c r="C27" i="34"/>
  <c r="C24" i="35"/>
  <c r="C23" i="35"/>
  <c r="C224" i="41" l="1"/>
  <c r="C223" i="41"/>
  <c r="C222" i="41"/>
  <c r="C221" i="41"/>
  <c r="C220" i="41"/>
  <c r="C219" i="41"/>
  <c r="C218" i="41"/>
  <c r="C217" i="41"/>
  <c r="C216" i="41"/>
  <c r="C215" i="41"/>
  <c r="C214" i="41"/>
  <c r="C7" i="46" l="1"/>
  <c r="C24" i="43" l="1"/>
  <c r="C267" i="51"/>
  <c r="C266" i="51"/>
  <c r="C265" i="51"/>
  <c r="C264" i="51"/>
  <c r="C263" i="51"/>
  <c r="C262" i="51"/>
  <c r="C261" i="51"/>
  <c r="C260" i="51"/>
  <c r="C259" i="51"/>
  <c r="C258" i="51"/>
  <c r="C257" i="51"/>
  <c r="C256" i="51"/>
  <c r="C255" i="51"/>
  <c r="C254" i="51"/>
  <c r="C253" i="51"/>
  <c r="C252" i="51"/>
  <c r="C251" i="51"/>
  <c r="C250" i="51"/>
  <c r="C249" i="51"/>
  <c r="C248" i="51"/>
  <c r="C247" i="51"/>
  <c r="C246" i="51"/>
  <c r="C245" i="51"/>
  <c r="C244" i="51"/>
  <c r="C243" i="51"/>
  <c r="C242" i="51"/>
  <c r="C241" i="51"/>
  <c r="C240" i="51"/>
  <c r="C239" i="51"/>
  <c r="C238" i="51"/>
  <c r="C237" i="51"/>
  <c r="C236" i="51"/>
  <c r="C235" i="51"/>
  <c r="C234" i="51"/>
  <c r="C233" i="51"/>
  <c r="C232" i="51"/>
  <c r="C231" i="51"/>
  <c r="C230" i="51"/>
  <c r="C229" i="51"/>
  <c r="C228" i="51"/>
  <c r="C227" i="51"/>
  <c r="C226" i="51"/>
  <c r="C225" i="51"/>
  <c r="C224" i="51"/>
  <c r="C223" i="51"/>
  <c r="C222" i="51"/>
  <c r="C221" i="51"/>
  <c r="C220" i="51"/>
  <c r="C219" i="51"/>
  <c r="C218" i="51"/>
  <c r="C217" i="51"/>
  <c r="C216" i="51"/>
  <c r="C215" i="51"/>
  <c r="C214" i="51"/>
  <c r="C213" i="51"/>
  <c r="C212" i="51"/>
  <c r="C211" i="51"/>
  <c r="C210" i="51"/>
  <c r="C209" i="51"/>
  <c r="C208" i="51"/>
  <c r="C207" i="51"/>
  <c r="C206" i="51"/>
  <c r="C205" i="51"/>
  <c r="C204" i="51"/>
  <c r="C203" i="51"/>
  <c r="C202" i="51"/>
  <c r="C201" i="51"/>
  <c r="C200" i="51"/>
  <c r="C199" i="51"/>
  <c r="C198" i="51"/>
  <c r="C197" i="51"/>
  <c r="C196" i="51"/>
  <c r="C194" i="51"/>
  <c r="C169" i="51"/>
  <c r="C168" i="51"/>
  <c r="C167" i="51"/>
  <c r="C166" i="51"/>
  <c r="C165" i="51"/>
  <c r="C164" i="51"/>
  <c r="C163" i="51"/>
  <c r="C162" i="51"/>
  <c r="C161" i="51"/>
  <c r="C160" i="51"/>
  <c r="C159" i="51"/>
  <c r="C158" i="51"/>
  <c r="C157" i="51"/>
  <c r="C156" i="51"/>
  <c r="C155" i="51"/>
  <c r="C154" i="51"/>
  <c r="C153" i="51"/>
  <c r="C152" i="51"/>
  <c r="C151" i="51"/>
  <c r="C150" i="51"/>
  <c r="C149" i="51"/>
  <c r="C148" i="51"/>
  <c r="C147" i="51"/>
  <c r="C146" i="51"/>
  <c r="C145" i="51"/>
  <c r="C144" i="51"/>
  <c r="C143" i="51"/>
  <c r="C142" i="51"/>
  <c r="C141" i="51"/>
  <c r="C140" i="51"/>
  <c r="C139" i="51"/>
  <c r="C138" i="51"/>
  <c r="C137" i="51"/>
  <c r="C136" i="51"/>
  <c r="C135" i="51"/>
  <c r="C134" i="51"/>
  <c r="C133" i="51"/>
  <c r="C132" i="51"/>
  <c r="C131" i="51"/>
  <c r="C130" i="51"/>
  <c r="C129" i="51"/>
  <c r="C126" i="51"/>
  <c r="C125" i="51"/>
  <c r="C124" i="51"/>
  <c r="C123" i="51"/>
  <c r="C122" i="51"/>
  <c r="C121" i="51"/>
  <c r="C120" i="51"/>
  <c r="C119" i="51"/>
  <c r="C118" i="51"/>
  <c r="C117" i="51"/>
  <c r="C116" i="51"/>
  <c r="C115" i="51"/>
  <c r="C114" i="51"/>
  <c r="C113" i="51"/>
  <c r="C110" i="51"/>
  <c r="C109" i="51"/>
  <c r="C108" i="51"/>
  <c r="C107" i="51"/>
  <c r="C106" i="51"/>
  <c r="C105" i="51"/>
  <c r="C104" i="51"/>
  <c r="C103" i="51"/>
  <c r="C102" i="51"/>
  <c r="C101" i="51"/>
  <c r="C100" i="51"/>
  <c r="C99" i="51"/>
  <c r="C98" i="51"/>
  <c r="C97" i="51"/>
  <c r="C96" i="51"/>
  <c r="C95" i="51"/>
  <c r="C94" i="51"/>
  <c r="C93" i="51"/>
  <c r="C92" i="51"/>
  <c r="C91" i="51"/>
  <c r="C90" i="51"/>
  <c r="C89" i="51"/>
  <c r="C88" i="51"/>
  <c r="C87" i="51"/>
  <c r="C86" i="51"/>
  <c r="C85" i="51"/>
  <c r="C84" i="51"/>
  <c r="C83" i="51"/>
  <c r="C80" i="51"/>
  <c r="C79" i="51"/>
  <c r="C78" i="51"/>
  <c r="C77" i="51"/>
  <c r="C76" i="51"/>
  <c r="C75" i="51"/>
  <c r="C74" i="51"/>
  <c r="C73" i="51"/>
  <c r="C72" i="51"/>
  <c r="C71" i="51"/>
  <c r="C70" i="51"/>
  <c r="C69" i="51"/>
  <c r="C68" i="51"/>
  <c r="C67" i="51"/>
  <c r="C66" i="51"/>
  <c r="C65" i="51"/>
  <c r="C64" i="51"/>
  <c r="C63" i="51"/>
  <c r="C62" i="51"/>
  <c r="C61" i="51"/>
  <c r="C60" i="51"/>
  <c r="C59" i="51"/>
  <c r="C58" i="51"/>
  <c r="C57" i="51"/>
  <c r="C56" i="51"/>
  <c r="C55" i="51"/>
  <c r="C54" i="51"/>
  <c r="C53" i="51"/>
  <c r="C52" i="51"/>
  <c r="C51" i="51"/>
  <c r="C50" i="51"/>
  <c r="C49" i="51"/>
  <c r="C48" i="51"/>
  <c r="C47" i="51"/>
  <c r="C46" i="51"/>
  <c r="C45" i="51"/>
  <c r="C44" i="51"/>
  <c r="C43" i="51"/>
  <c r="C42" i="51"/>
  <c r="C41" i="51"/>
  <c r="C40" i="51"/>
  <c r="C39" i="51"/>
  <c r="C38" i="51"/>
  <c r="C37" i="51"/>
  <c r="C36" i="51"/>
  <c r="C35" i="51"/>
  <c r="C33" i="51" s="1"/>
  <c r="C54" i="57"/>
  <c r="C61" i="56"/>
  <c r="C26" i="55"/>
  <c r="C29" i="34"/>
  <c r="C30" i="34"/>
  <c r="C31" i="34"/>
  <c r="C28" i="34"/>
  <c r="C26" i="34"/>
  <c r="C25" i="34"/>
  <c r="C24" i="34"/>
  <c r="C23" i="34"/>
  <c r="C19" i="34"/>
  <c r="C37" i="34"/>
  <c r="C18" i="34"/>
  <c r="C14" i="34"/>
  <c r="C13" i="48"/>
  <c r="C12" i="48"/>
  <c r="C11" i="48"/>
  <c r="C10" i="48"/>
  <c r="C28" i="35"/>
  <c r="C46" i="35"/>
  <c r="C45" i="35"/>
  <c r="C44" i="35"/>
  <c r="C43" i="35"/>
  <c r="C42" i="35"/>
  <c r="C40" i="35"/>
  <c r="C39" i="35"/>
  <c r="C38" i="35"/>
  <c r="C37" i="35"/>
  <c r="C36" i="35"/>
  <c r="C35" i="35"/>
  <c r="C34" i="35"/>
  <c r="C33" i="35"/>
  <c r="C32" i="35"/>
  <c r="C29" i="35"/>
  <c r="C60" i="35"/>
  <c r="C49" i="35"/>
  <c r="C50" i="35"/>
  <c r="C51" i="35"/>
  <c r="C52" i="35"/>
  <c r="C53" i="35"/>
  <c r="C48" i="35"/>
  <c r="C82" i="41"/>
  <c r="C81" i="41"/>
  <c r="C85" i="41"/>
  <c r="C84" i="41"/>
  <c r="C87" i="41"/>
  <c r="C95" i="41"/>
  <c r="C99" i="41"/>
  <c r="C98" i="41"/>
  <c r="C97" i="41"/>
  <c r="C96" i="41"/>
  <c r="C106" i="41"/>
  <c r="C105" i="41"/>
  <c r="C104" i="41"/>
  <c r="C103" i="41"/>
  <c r="C102" i="41"/>
  <c r="C101" i="41"/>
  <c r="C112" i="41"/>
  <c r="C111" i="41"/>
  <c r="C108" i="41"/>
  <c r="C19" i="25"/>
  <c r="C18" i="25"/>
  <c r="C123" i="41"/>
  <c r="C122" i="41"/>
  <c r="C17" i="25"/>
  <c r="C16" i="25"/>
  <c r="C127" i="41"/>
  <c r="C126" i="41"/>
  <c r="C125" i="41"/>
  <c r="C124" i="41"/>
  <c r="C15" i="25"/>
  <c r="C131" i="41"/>
  <c r="C130" i="41"/>
  <c r="C129" i="41"/>
  <c r="C128" i="41"/>
  <c r="C13" i="25"/>
  <c r="C134" i="41"/>
  <c r="C133" i="41"/>
  <c r="C137" i="41"/>
  <c r="C136" i="41"/>
  <c r="C140" i="41"/>
  <c r="C139" i="41"/>
  <c r="C142" i="41"/>
  <c r="C9" i="25"/>
  <c r="C150" i="41"/>
  <c r="C149" i="41"/>
  <c r="C159" i="41"/>
  <c r="C168" i="41"/>
  <c r="C169" i="41"/>
  <c r="C170" i="41"/>
  <c r="C166" i="41"/>
  <c r="C167" i="41"/>
  <c r="C164" i="41"/>
  <c r="C165" i="41"/>
  <c r="C162" i="41"/>
  <c r="C163" i="41"/>
  <c r="C160" i="41"/>
  <c r="C161" i="41"/>
  <c r="C173" i="41"/>
  <c r="C172" i="41"/>
  <c r="C192" i="41"/>
  <c r="C191" i="41"/>
  <c r="C194" i="58"/>
  <c r="C193" i="58"/>
  <c r="C206" i="41"/>
  <c r="C205" i="41"/>
  <c r="C195" i="41"/>
  <c r="C194" i="41"/>
  <c r="C77" i="41"/>
  <c r="C76" i="41"/>
  <c r="C74" i="41"/>
  <c r="C73" i="41"/>
  <c r="C72" i="41"/>
  <c r="C69" i="41"/>
  <c r="C64" i="41"/>
  <c r="C62" i="41"/>
  <c r="C59" i="41"/>
  <c r="C58" i="41"/>
  <c r="C55" i="41"/>
  <c r="C47" i="41"/>
  <c r="C45" i="41"/>
  <c r="C44" i="41"/>
  <c r="C43" i="41"/>
  <c r="C42" i="41"/>
  <c r="C41" i="41"/>
  <c r="C40" i="41"/>
  <c r="C39" i="41"/>
  <c r="C38" i="41"/>
  <c r="C37" i="41"/>
  <c r="C36" i="41"/>
  <c r="C34" i="41"/>
  <c r="C33" i="41"/>
  <c r="C32" i="41"/>
  <c r="C30" i="41"/>
  <c r="C29" i="41"/>
  <c r="C28" i="41"/>
  <c r="C27" i="41"/>
  <c r="C26" i="41"/>
  <c r="C25" i="41"/>
  <c r="C24" i="41"/>
  <c r="C23" i="41"/>
  <c r="C22" i="41"/>
  <c r="C21" i="41"/>
  <c r="C20" i="41"/>
  <c r="C19" i="41"/>
  <c r="C18" i="41"/>
  <c r="C17" i="41"/>
  <c r="C16" i="41"/>
  <c r="C15" i="41"/>
  <c r="C14" i="41"/>
  <c r="C13" i="41"/>
  <c r="C231" i="58"/>
  <c r="C230" i="58"/>
  <c r="C229" i="58"/>
  <c r="C228" i="58"/>
  <c r="C227" i="58"/>
  <c r="C226" i="58"/>
  <c r="C225" i="58"/>
  <c r="C224" i="58"/>
  <c r="C223" i="58"/>
  <c r="C222" i="58"/>
  <c r="C221" i="58"/>
  <c r="C175" i="58"/>
  <c r="C174" i="58"/>
  <c r="C172" i="58"/>
  <c r="C171" i="58"/>
  <c r="C170" i="58"/>
  <c r="C169" i="58"/>
  <c r="C168" i="58"/>
  <c r="C167" i="58"/>
  <c r="C166" i="58"/>
  <c r="C165" i="58"/>
  <c r="C164" i="58"/>
  <c r="C163" i="58"/>
  <c r="C162" i="58"/>
  <c r="C161" i="58"/>
  <c r="C150" i="58"/>
  <c r="C149" i="58"/>
  <c r="C142" i="58"/>
  <c r="C140" i="58"/>
  <c r="C139" i="58"/>
  <c r="C137" i="58"/>
  <c r="C136" i="58"/>
  <c r="C134" i="58"/>
  <c r="C133" i="58"/>
  <c r="C131" i="58"/>
  <c r="C130" i="58"/>
  <c r="C129" i="58"/>
  <c r="C128" i="58"/>
  <c r="C127" i="58"/>
  <c r="C126" i="58"/>
  <c r="C125" i="58"/>
  <c r="C124" i="58"/>
  <c r="C123" i="58"/>
  <c r="C122" i="58"/>
  <c r="C112" i="58"/>
  <c r="C111" i="58"/>
  <c r="C108" i="58"/>
  <c r="C106" i="58"/>
  <c r="C105" i="58"/>
  <c r="C104" i="58"/>
  <c r="C103" i="58"/>
  <c r="C102" i="58"/>
  <c r="C101" i="58"/>
  <c r="C99" i="58"/>
  <c r="C98" i="58"/>
  <c r="C97" i="58"/>
  <c r="C96" i="58"/>
  <c r="C95" i="58"/>
  <c r="C87" i="58"/>
  <c r="C85" i="58"/>
  <c r="C84" i="58"/>
  <c r="C82" i="58"/>
  <c r="C81" i="58"/>
  <c r="C77" i="58"/>
  <c r="C76" i="58"/>
  <c r="C74" i="58"/>
  <c r="C73" i="58"/>
  <c r="C72" i="58"/>
  <c r="C69" i="58"/>
  <c r="C64" i="58"/>
  <c r="C62" i="58"/>
  <c r="C59" i="58"/>
  <c r="C58" i="58"/>
  <c r="C55" i="58"/>
  <c r="C47" i="58"/>
  <c r="C45" i="58"/>
  <c r="C44" i="58"/>
  <c r="C43" i="58"/>
  <c r="C42" i="58"/>
  <c r="C41" i="58"/>
  <c r="C40" i="58"/>
  <c r="C39" i="58"/>
  <c r="C38" i="58"/>
  <c r="C37" i="58"/>
  <c r="C36" i="58"/>
  <c r="C34" i="58"/>
  <c r="C33" i="58"/>
  <c r="C32" i="58"/>
  <c r="C30" i="58"/>
  <c r="C29" i="58"/>
  <c r="C28" i="58"/>
  <c r="C27" i="58"/>
  <c r="C26" i="58"/>
  <c r="C25" i="58"/>
  <c r="C24" i="58"/>
  <c r="C23" i="58"/>
  <c r="C22" i="58"/>
  <c r="C21" i="58"/>
  <c r="C20" i="58"/>
  <c r="C19" i="58"/>
  <c r="C18" i="58"/>
  <c r="C17" i="58"/>
  <c r="C16" i="58"/>
  <c r="C15" i="58"/>
  <c r="C14" i="58"/>
  <c r="C13" i="58"/>
  <c r="C10" i="50"/>
  <c r="C11" i="50"/>
  <c r="C12" i="50"/>
  <c r="C9" i="50"/>
  <c r="C53" i="43"/>
  <c r="C51" i="43"/>
  <c r="C49" i="43"/>
  <c r="C47" i="43"/>
  <c r="C43" i="43"/>
  <c r="C39" i="43"/>
  <c r="C41" i="43"/>
  <c r="C27" i="43"/>
  <c r="C30" i="43"/>
  <c r="C28" i="43"/>
  <c r="C31" i="43"/>
  <c r="C29" i="43"/>
  <c r="C26" i="43"/>
  <c r="C23" i="43"/>
  <c r="C20" i="43"/>
  <c r="C19" i="43"/>
  <c r="C14" i="43"/>
  <c r="C15" i="43"/>
  <c r="C11" i="43"/>
  <c r="K10" i="50" l="1"/>
  <c r="N10" i="50"/>
  <c r="K11" i="50"/>
  <c r="N11" i="50"/>
  <c r="K12" i="50"/>
  <c r="N12" i="50"/>
  <c r="K10" i="49"/>
  <c r="N10" i="49"/>
  <c r="K11" i="49"/>
  <c r="N11" i="49"/>
  <c r="K12" i="49"/>
  <c r="N12" i="49"/>
  <c r="K13" i="49"/>
  <c r="N13" i="49"/>
  <c r="N9" i="49"/>
  <c r="K9" i="49"/>
  <c r="K27" i="47"/>
  <c r="N27" i="47"/>
  <c r="K28" i="47"/>
  <c r="N28" i="47"/>
  <c r="K29" i="47"/>
  <c r="N29" i="47"/>
  <c r="K30" i="47"/>
  <c r="N30" i="47"/>
  <c r="K23" i="47"/>
  <c r="N23" i="47"/>
  <c r="K24" i="47"/>
  <c r="N24" i="47"/>
  <c r="N20" i="47"/>
  <c r="K20" i="47"/>
  <c r="N17" i="47"/>
  <c r="K17" i="47"/>
  <c r="N14" i="47"/>
  <c r="K14" i="47"/>
  <c r="N11" i="47"/>
  <c r="K11" i="47"/>
  <c r="N8" i="47"/>
  <c r="K8" i="47"/>
  <c r="K21" i="46"/>
  <c r="N21" i="46"/>
  <c r="K22" i="46"/>
  <c r="N22" i="46"/>
  <c r="K17" i="46"/>
  <c r="N17" i="46"/>
  <c r="K18" i="46"/>
  <c r="N18" i="46"/>
  <c r="N10" i="46"/>
  <c r="K10" i="46"/>
  <c r="N7" i="46"/>
  <c r="K7" i="46"/>
  <c r="K77" i="43"/>
  <c r="N77" i="43"/>
  <c r="K78" i="43"/>
  <c r="N78" i="43"/>
  <c r="K79" i="43"/>
  <c r="N79" i="43"/>
  <c r="K80" i="43"/>
  <c r="N80" i="43"/>
  <c r="K81" i="43"/>
  <c r="N81" i="43"/>
  <c r="R81" i="43" s="1"/>
  <c r="K82" i="43"/>
  <c r="N82" i="43"/>
  <c r="K83" i="43"/>
  <c r="N83" i="43"/>
  <c r="K84" i="43"/>
  <c r="N84" i="43"/>
  <c r="K85" i="43"/>
  <c r="N85" i="43"/>
  <c r="K86" i="43"/>
  <c r="N86" i="43"/>
  <c r="K87" i="43"/>
  <c r="N87" i="43"/>
  <c r="R87" i="43" s="1"/>
  <c r="K63" i="43"/>
  <c r="N63" i="43"/>
  <c r="K64" i="43"/>
  <c r="N64" i="43"/>
  <c r="K65" i="43"/>
  <c r="N65" i="43"/>
  <c r="K66" i="43"/>
  <c r="N66" i="43"/>
  <c r="R66" i="43" s="1"/>
  <c r="N61" i="43"/>
  <c r="K61" i="43"/>
  <c r="N53" i="43"/>
  <c r="K53" i="43"/>
  <c r="N51" i="43"/>
  <c r="K51" i="43"/>
  <c r="N49" i="43"/>
  <c r="K49" i="43"/>
  <c r="N47" i="43"/>
  <c r="K47" i="43"/>
  <c r="N43" i="43"/>
  <c r="K43" i="43"/>
  <c r="N39" i="43"/>
  <c r="K39" i="43"/>
  <c r="K19" i="43"/>
  <c r="N19" i="43"/>
  <c r="K20" i="43"/>
  <c r="N20" i="43"/>
  <c r="K21" i="43"/>
  <c r="N21" i="43"/>
  <c r="K22" i="43"/>
  <c r="N22" i="43"/>
  <c r="K23" i="43"/>
  <c r="N23" i="43"/>
  <c r="K24" i="43"/>
  <c r="N24" i="43"/>
  <c r="K25" i="43"/>
  <c r="N25" i="43"/>
  <c r="K26" i="43"/>
  <c r="N26" i="43"/>
  <c r="K27" i="43"/>
  <c r="N27" i="43"/>
  <c r="K28" i="43"/>
  <c r="N28" i="43"/>
  <c r="K29" i="43"/>
  <c r="N29" i="43"/>
  <c r="K30" i="43"/>
  <c r="N30" i="43"/>
  <c r="K31" i="43"/>
  <c r="N31" i="43"/>
  <c r="K14" i="43"/>
  <c r="N14" i="43"/>
  <c r="K15" i="43"/>
  <c r="N15" i="43"/>
  <c r="K16" i="43"/>
  <c r="N16" i="43"/>
  <c r="N104" i="43"/>
  <c r="K104" i="43"/>
  <c r="S198" i="41"/>
  <c r="S197" i="41"/>
  <c r="S196" i="41"/>
  <c r="S188" i="41"/>
  <c r="S187" i="41"/>
  <c r="S186" i="41"/>
  <c r="S185" i="41"/>
  <c r="S179" i="41"/>
  <c r="S178" i="41"/>
  <c r="S177" i="41"/>
  <c r="S176" i="41"/>
  <c r="K10" i="48"/>
  <c r="K11" i="48"/>
  <c r="K12" i="48"/>
  <c r="K13" i="48"/>
  <c r="K9" i="48"/>
  <c r="K37" i="34"/>
  <c r="K26" i="55"/>
  <c r="K23" i="55"/>
  <c r="K16" i="55"/>
  <c r="K17" i="55"/>
  <c r="K18" i="55"/>
  <c r="K19" i="55"/>
  <c r="K20" i="55"/>
  <c r="K13" i="55"/>
  <c r="K7" i="55"/>
  <c r="K8" i="55"/>
  <c r="K9" i="55"/>
  <c r="K10" i="55"/>
  <c r="N23" i="35"/>
  <c r="R23" i="35" s="1"/>
  <c r="S23" i="35" s="1"/>
  <c r="K23" i="35"/>
  <c r="N22" i="35"/>
  <c r="R22" i="35" s="1"/>
  <c r="S22" i="35" s="1"/>
  <c r="K22" i="35"/>
  <c r="N21" i="35"/>
  <c r="R21" i="35" s="1"/>
  <c r="S21" i="35" s="1"/>
  <c r="K21" i="35"/>
  <c r="N20" i="35"/>
  <c r="R20" i="35" s="1"/>
  <c r="S20" i="35" s="1"/>
  <c r="K20" i="35"/>
  <c r="N19" i="35"/>
  <c r="R19" i="35" s="1"/>
  <c r="S19" i="35" s="1"/>
  <c r="K19" i="35"/>
  <c r="K61" i="56"/>
  <c r="N249" i="41"/>
  <c r="R249" i="41" s="1"/>
  <c r="S249" i="41" s="1"/>
  <c r="K249" i="41"/>
  <c r="N248" i="41"/>
  <c r="R248" i="41" s="1"/>
  <c r="S248" i="41" s="1"/>
  <c r="K248" i="41"/>
  <c r="N242" i="41"/>
  <c r="R242" i="41" s="1"/>
  <c r="S242" i="41" s="1"/>
  <c r="K242" i="41"/>
  <c r="N241" i="41"/>
  <c r="R241" i="41" s="1"/>
  <c r="S241" i="41" s="1"/>
  <c r="K241" i="41"/>
  <c r="R240" i="41"/>
  <c r="S240" i="41" s="1"/>
  <c r="N240" i="41"/>
  <c r="K240" i="41"/>
  <c r="N239" i="41"/>
  <c r="R239" i="41" s="1"/>
  <c r="S239" i="41" s="1"/>
  <c r="K239" i="41"/>
  <c r="N238" i="41"/>
  <c r="K238" i="41"/>
  <c r="R238" i="41" s="1"/>
  <c r="S238" i="41" s="1"/>
  <c r="R237" i="41"/>
  <c r="S237" i="41" s="1"/>
  <c r="N237" i="41"/>
  <c r="K237" i="41"/>
  <c r="N236" i="41"/>
  <c r="R236" i="41" s="1"/>
  <c r="S236" i="41" s="1"/>
  <c r="K236" i="41"/>
  <c r="N235" i="41"/>
  <c r="R235" i="41" s="1"/>
  <c r="S235" i="41" s="1"/>
  <c r="K235" i="41"/>
  <c r="R234" i="41"/>
  <c r="S234" i="41" s="1"/>
  <c r="N234" i="41"/>
  <c r="K234" i="41"/>
  <c r="N233" i="41"/>
  <c r="R233" i="41" s="1"/>
  <c r="S233" i="41" s="1"/>
  <c r="K233" i="41"/>
  <c r="N232" i="41"/>
  <c r="R232" i="41" s="1"/>
  <c r="S232" i="41" s="1"/>
  <c r="K232" i="41"/>
  <c r="R231" i="41"/>
  <c r="S231" i="41" s="1"/>
  <c r="N231" i="41"/>
  <c r="K231" i="41"/>
  <c r="N230" i="41"/>
  <c r="R230" i="41" s="1"/>
  <c r="S230" i="41" s="1"/>
  <c r="K230" i="41"/>
  <c r="N229" i="41"/>
  <c r="R229" i="41" s="1"/>
  <c r="S229" i="41" s="1"/>
  <c r="K229" i="41"/>
  <c r="R228" i="41"/>
  <c r="S228" i="41" s="1"/>
  <c r="N228" i="41"/>
  <c r="K228" i="41"/>
  <c r="N226" i="41"/>
  <c r="R226" i="41" s="1"/>
  <c r="S226" i="41" s="1"/>
  <c r="K226" i="41"/>
  <c r="K14" i="56"/>
  <c r="N224" i="41"/>
  <c r="R224" i="41" s="1"/>
  <c r="S224" i="41" s="1"/>
  <c r="K224" i="41"/>
  <c r="N223" i="41"/>
  <c r="R223" i="41" s="1"/>
  <c r="S223" i="41" s="1"/>
  <c r="K223" i="41"/>
  <c r="N222" i="41"/>
  <c r="R222" i="41" s="1"/>
  <c r="S222" i="41" s="1"/>
  <c r="K222" i="41"/>
  <c r="N221" i="41"/>
  <c r="R221" i="41" s="1"/>
  <c r="S221" i="41" s="1"/>
  <c r="K221" i="41"/>
  <c r="N220" i="41"/>
  <c r="R220" i="41" s="1"/>
  <c r="S220" i="41" s="1"/>
  <c r="K220" i="41"/>
  <c r="N219" i="41"/>
  <c r="R219" i="41" s="1"/>
  <c r="S219" i="41" s="1"/>
  <c r="K219" i="41"/>
  <c r="N218" i="41"/>
  <c r="R218" i="41" s="1"/>
  <c r="S218" i="41" s="1"/>
  <c r="K218" i="41"/>
  <c r="N217" i="41"/>
  <c r="R217" i="41" s="1"/>
  <c r="S217" i="41" s="1"/>
  <c r="K217" i="41"/>
  <c r="N216" i="41"/>
  <c r="R216" i="41" s="1"/>
  <c r="S216" i="41" s="1"/>
  <c r="K216" i="41"/>
  <c r="R215" i="41"/>
  <c r="S215" i="41" s="1"/>
  <c r="N215" i="41"/>
  <c r="K215" i="41"/>
  <c r="N214" i="41"/>
  <c r="K214" i="41"/>
  <c r="R214" i="41" s="1"/>
  <c r="S214" i="41" s="1"/>
  <c r="S212" i="41"/>
  <c r="N212" i="41"/>
  <c r="R212" i="41" s="1"/>
  <c r="K212" i="41"/>
  <c r="S211" i="41"/>
  <c r="R211" i="41"/>
  <c r="N211" i="41"/>
  <c r="K211" i="41"/>
  <c r="N210" i="41"/>
  <c r="R210" i="41" s="1"/>
  <c r="S210" i="41" s="1"/>
  <c r="K210" i="41"/>
  <c r="N209" i="41"/>
  <c r="R209" i="41" s="1"/>
  <c r="S209" i="41" s="1"/>
  <c r="K209" i="41"/>
  <c r="R208" i="41"/>
  <c r="S208" i="41" s="1"/>
  <c r="N208" i="41"/>
  <c r="K208" i="41"/>
  <c r="N207" i="41"/>
  <c r="R207" i="41" s="1"/>
  <c r="S207" i="41" s="1"/>
  <c r="K207" i="41"/>
  <c r="N206" i="41"/>
  <c r="R206" i="41" s="1"/>
  <c r="S206" i="41" s="1"/>
  <c r="K206" i="41"/>
  <c r="R205" i="41"/>
  <c r="S205" i="41" s="1"/>
  <c r="N205" i="41"/>
  <c r="K205" i="41"/>
  <c r="K54" i="57"/>
  <c r="N204" i="41"/>
  <c r="R204" i="41" s="1"/>
  <c r="S204" i="41" s="1"/>
  <c r="K204" i="41"/>
  <c r="N195" i="41"/>
  <c r="R195" i="41" s="1"/>
  <c r="S195" i="41" s="1"/>
  <c r="K195" i="41"/>
  <c r="N194" i="41"/>
  <c r="R194" i="41" s="1"/>
  <c r="S194" i="41" s="1"/>
  <c r="K194" i="41"/>
  <c r="N192" i="41"/>
  <c r="R192" i="41" s="1"/>
  <c r="S192" i="41" s="1"/>
  <c r="K192" i="41"/>
  <c r="N191" i="41"/>
  <c r="R191" i="41" s="1"/>
  <c r="S191" i="41" s="1"/>
  <c r="K191" i="41"/>
  <c r="K14" i="57"/>
  <c r="N184" i="41"/>
  <c r="R184" i="41" s="1"/>
  <c r="S184" i="41" s="1"/>
  <c r="K184" i="41"/>
  <c r="N183" i="41"/>
  <c r="R183" i="41" s="1"/>
  <c r="S183" i="41" s="1"/>
  <c r="K183" i="41"/>
  <c r="R182" i="41"/>
  <c r="S182" i="41" s="1"/>
  <c r="N182" i="41"/>
  <c r="K182" i="41"/>
  <c r="N181" i="41"/>
  <c r="R181" i="41" s="1"/>
  <c r="S181" i="41" s="1"/>
  <c r="K181" i="41"/>
  <c r="R175" i="41"/>
  <c r="S175" i="41" s="1"/>
  <c r="N175" i="41"/>
  <c r="K175" i="41"/>
  <c r="N173" i="41"/>
  <c r="R173" i="41" s="1"/>
  <c r="S173" i="41" s="1"/>
  <c r="K173" i="41"/>
  <c r="N172" i="41"/>
  <c r="R172" i="41" s="1"/>
  <c r="S172" i="41" s="1"/>
  <c r="K172" i="41"/>
  <c r="K255" i="51"/>
  <c r="K256" i="51"/>
  <c r="K257" i="51"/>
  <c r="K258" i="51"/>
  <c r="K259" i="51"/>
  <c r="K260" i="51"/>
  <c r="K261" i="51"/>
  <c r="K262" i="51"/>
  <c r="K263" i="51"/>
  <c r="K264" i="51"/>
  <c r="K265" i="51"/>
  <c r="K266" i="51"/>
  <c r="K267" i="51"/>
  <c r="N170" i="41"/>
  <c r="R170" i="41" s="1"/>
  <c r="S170" i="41" s="1"/>
  <c r="K170" i="41"/>
  <c r="N169" i="41"/>
  <c r="K169" i="41"/>
  <c r="R169" i="41" s="1"/>
  <c r="S169" i="41" s="1"/>
  <c r="N168" i="41"/>
  <c r="R168" i="41" s="1"/>
  <c r="S168" i="41" s="1"/>
  <c r="K168" i="41"/>
  <c r="N167" i="41"/>
  <c r="R167" i="41" s="1"/>
  <c r="S167" i="41" s="1"/>
  <c r="K167" i="41"/>
  <c r="N166" i="41"/>
  <c r="K166" i="41"/>
  <c r="R166" i="41" s="1"/>
  <c r="S166" i="41" s="1"/>
  <c r="N165" i="41"/>
  <c r="R165" i="41" s="1"/>
  <c r="S165" i="41" s="1"/>
  <c r="K165" i="41"/>
  <c r="K242" i="51"/>
  <c r="K243" i="51"/>
  <c r="K244" i="51"/>
  <c r="K245" i="51"/>
  <c r="K246" i="51"/>
  <c r="K247" i="51"/>
  <c r="K248" i="51"/>
  <c r="K249" i="51"/>
  <c r="K250" i="51"/>
  <c r="K251" i="51"/>
  <c r="K252" i="51"/>
  <c r="K253" i="51"/>
  <c r="N164" i="41"/>
  <c r="R164" i="41" s="1"/>
  <c r="S164" i="41" s="1"/>
  <c r="K164" i="41"/>
  <c r="N163" i="41"/>
  <c r="R163" i="41" s="1"/>
  <c r="S163" i="41" s="1"/>
  <c r="K163" i="41"/>
  <c r="N162" i="41"/>
  <c r="K162" i="41"/>
  <c r="R162" i="41" s="1"/>
  <c r="S162" i="41" s="1"/>
  <c r="N161" i="41"/>
  <c r="R161" i="41" s="1"/>
  <c r="S161" i="41" s="1"/>
  <c r="K161" i="41"/>
  <c r="N160" i="41"/>
  <c r="R160" i="41" s="1"/>
  <c r="S160" i="41" s="1"/>
  <c r="K160" i="41"/>
  <c r="R159" i="41"/>
  <c r="S159" i="41" s="1"/>
  <c r="N159" i="41"/>
  <c r="K159" i="41"/>
  <c r="N150" i="41"/>
  <c r="R150" i="41" s="1"/>
  <c r="S150" i="41" s="1"/>
  <c r="K150" i="41"/>
  <c r="N149" i="41"/>
  <c r="R149" i="41" s="1"/>
  <c r="S149" i="41" s="1"/>
  <c r="K149" i="41"/>
  <c r="N142" i="41"/>
  <c r="R142" i="41" s="1"/>
  <c r="S142" i="41" s="1"/>
  <c r="K142" i="41"/>
  <c r="K198" i="51"/>
  <c r="K199" i="51"/>
  <c r="K200" i="51"/>
  <c r="K201" i="51"/>
  <c r="K202" i="51"/>
  <c r="K203" i="51"/>
  <c r="K204" i="51"/>
  <c r="K205" i="51"/>
  <c r="K206" i="51"/>
  <c r="K207" i="51"/>
  <c r="K208" i="51"/>
  <c r="K209" i="51"/>
  <c r="K210" i="51"/>
  <c r="K211" i="51"/>
  <c r="K212" i="51"/>
  <c r="K213" i="51"/>
  <c r="K214" i="51"/>
  <c r="K215" i="51"/>
  <c r="K216" i="51"/>
  <c r="K217" i="51"/>
  <c r="K218" i="51"/>
  <c r="K220" i="51"/>
  <c r="K221" i="51"/>
  <c r="K222" i="51"/>
  <c r="K223" i="51"/>
  <c r="K224" i="51"/>
  <c r="K225" i="51"/>
  <c r="K226" i="51"/>
  <c r="K227" i="51"/>
  <c r="K228" i="51"/>
  <c r="K229" i="51"/>
  <c r="K230" i="51"/>
  <c r="K231" i="51"/>
  <c r="K232" i="51"/>
  <c r="K233" i="51"/>
  <c r="K234" i="51"/>
  <c r="K235" i="51"/>
  <c r="K236" i="51"/>
  <c r="K237" i="51"/>
  <c r="K238" i="51"/>
  <c r="K239" i="51"/>
  <c r="K240" i="51"/>
  <c r="N140" i="41"/>
  <c r="R140" i="41" s="1"/>
  <c r="S140" i="41" s="1"/>
  <c r="K140" i="41"/>
  <c r="N139" i="41"/>
  <c r="K139" i="41"/>
  <c r="R139" i="41" s="1"/>
  <c r="S139" i="41" s="1"/>
  <c r="N137" i="41"/>
  <c r="R137" i="41" s="1"/>
  <c r="S137" i="41" s="1"/>
  <c r="K137" i="41"/>
  <c r="N136" i="41"/>
  <c r="R136" i="41" s="1"/>
  <c r="S136" i="41" s="1"/>
  <c r="K136" i="41"/>
  <c r="N134" i="41"/>
  <c r="R134" i="41" s="1"/>
  <c r="S134" i="41" s="1"/>
  <c r="K134" i="41"/>
  <c r="N133" i="41"/>
  <c r="R133" i="41" s="1"/>
  <c r="S133" i="41" s="1"/>
  <c r="K133" i="41"/>
  <c r="N131" i="41"/>
  <c r="R131" i="41" s="1"/>
  <c r="S131" i="41" s="1"/>
  <c r="K131" i="41"/>
  <c r="N130" i="41"/>
  <c r="R130" i="41" s="1"/>
  <c r="S130" i="41" s="1"/>
  <c r="K130" i="41"/>
  <c r="R129" i="41"/>
  <c r="S129" i="41" s="1"/>
  <c r="N129" i="41"/>
  <c r="K129" i="41"/>
  <c r="N128" i="41"/>
  <c r="R128" i="41" s="1"/>
  <c r="S128" i="41" s="1"/>
  <c r="K128" i="41"/>
  <c r="N127" i="41"/>
  <c r="R127" i="41" s="1"/>
  <c r="S127" i="41" s="1"/>
  <c r="K127" i="41"/>
  <c r="N126" i="41"/>
  <c r="K126" i="41"/>
  <c r="R126" i="41" s="1"/>
  <c r="S126" i="41" s="1"/>
  <c r="N125" i="41"/>
  <c r="R125" i="41" s="1"/>
  <c r="S125" i="41" s="1"/>
  <c r="K125" i="41"/>
  <c r="N124" i="41"/>
  <c r="R124" i="41" s="1"/>
  <c r="S124" i="41" s="1"/>
  <c r="K124" i="41"/>
  <c r="N123" i="41"/>
  <c r="K123" i="41"/>
  <c r="R123" i="41" s="1"/>
  <c r="S123" i="41" s="1"/>
  <c r="N122" i="41"/>
  <c r="R122" i="41" s="1"/>
  <c r="S122" i="41" s="1"/>
  <c r="K122" i="41"/>
  <c r="N114" i="41"/>
  <c r="R114" i="41" s="1"/>
  <c r="S114" i="41" s="1"/>
  <c r="K114" i="41"/>
  <c r="N112" i="41"/>
  <c r="R112" i="41" s="1"/>
  <c r="S112" i="41" s="1"/>
  <c r="K112" i="41"/>
  <c r="N111" i="41"/>
  <c r="R111" i="41" s="1"/>
  <c r="S111" i="41" s="1"/>
  <c r="K111" i="41"/>
  <c r="N110" i="41"/>
  <c r="R110" i="41" s="1"/>
  <c r="S110" i="41" s="1"/>
  <c r="K110" i="41"/>
  <c r="N109" i="41"/>
  <c r="R109" i="41" s="1"/>
  <c r="S109" i="41" s="1"/>
  <c r="K109" i="41"/>
  <c r="N108" i="41"/>
  <c r="R108" i="41" s="1"/>
  <c r="S108" i="41" s="1"/>
  <c r="K108" i="41"/>
  <c r="N106" i="41"/>
  <c r="R106" i="41" s="1"/>
  <c r="S106" i="41" s="1"/>
  <c r="K106" i="41"/>
  <c r="N105" i="41"/>
  <c r="R105" i="41" s="1"/>
  <c r="S105" i="41" s="1"/>
  <c r="K105" i="41"/>
  <c r="N104" i="41"/>
  <c r="R104" i="41" s="1"/>
  <c r="S104" i="41" s="1"/>
  <c r="K104" i="41"/>
  <c r="N103" i="41"/>
  <c r="R103" i="41" s="1"/>
  <c r="S103" i="41" s="1"/>
  <c r="K103" i="41"/>
  <c r="N102" i="41"/>
  <c r="R102" i="41" s="1"/>
  <c r="S102" i="41" s="1"/>
  <c r="K102" i="41"/>
  <c r="N101" i="41"/>
  <c r="R101" i="41" s="1"/>
  <c r="S101" i="41" s="1"/>
  <c r="K101" i="41"/>
  <c r="K188" i="51"/>
  <c r="K189" i="51"/>
  <c r="K190" i="51"/>
  <c r="K191" i="51"/>
  <c r="K192" i="51"/>
  <c r="K193" i="51"/>
  <c r="N99" i="41"/>
  <c r="R99" i="41" s="1"/>
  <c r="S99" i="41" s="1"/>
  <c r="K99" i="41"/>
  <c r="N98" i="41"/>
  <c r="R98" i="41" s="1"/>
  <c r="S98" i="41" s="1"/>
  <c r="K98" i="41"/>
  <c r="R97" i="41"/>
  <c r="S97" i="41" s="1"/>
  <c r="N97" i="41"/>
  <c r="K97" i="41"/>
  <c r="N96" i="41"/>
  <c r="R96" i="41" s="1"/>
  <c r="S96" i="41" s="1"/>
  <c r="K96" i="41"/>
  <c r="N95" i="41"/>
  <c r="R95" i="41" s="1"/>
  <c r="S95" i="41" s="1"/>
  <c r="K95" i="41"/>
  <c r="K172" i="51"/>
  <c r="K173" i="51"/>
  <c r="K174" i="51"/>
  <c r="K175" i="51"/>
  <c r="K176" i="51"/>
  <c r="K177" i="51"/>
  <c r="K178" i="51"/>
  <c r="K179" i="51"/>
  <c r="K180" i="51"/>
  <c r="K181" i="51"/>
  <c r="K182" i="51"/>
  <c r="K183" i="51"/>
  <c r="K184" i="51"/>
  <c r="K185" i="51"/>
  <c r="N87" i="41"/>
  <c r="R87" i="41" s="1"/>
  <c r="S87" i="41" s="1"/>
  <c r="K87" i="41"/>
  <c r="N85" i="41"/>
  <c r="R85" i="41" s="1"/>
  <c r="S85" i="41" s="1"/>
  <c r="K85" i="41"/>
  <c r="N84" i="41"/>
  <c r="R84" i="41" s="1"/>
  <c r="S84" i="41" s="1"/>
  <c r="K84" i="41"/>
  <c r="N82" i="41"/>
  <c r="R82" i="41" s="1"/>
  <c r="S82" i="41" s="1"/>
  <c r="K82" i="41"/>
  <c r="N81" i="41"/>
  <c r="R81" i="41" s="1"/>
  <c r="S81" i="41" s="1"/>
  <c r="K81" i="41"/>
  <c r="N79" i="41"/>
  <c r="R79" i="41" s="1"/>
  <c r="S79" i="41" s="1"/>
  <c r="K79" i="41"/>
  <c r="K169" i="51"/>
  <c r="N77" i="41"/>
  <c r="R77" i="41" s="1"/>
  <c r="S77" i="41" s="1"/>
  <c r="K77" i="41"/>
  <c r="R76" i="41"/>
  <c r="S76" i="41" s="1"/>
  <c r="N76" i="41"/>
  <c r="K76" i="41"/>
  <c r="K164" i="51"/>
  <c r="K165" i="51"/>
  <c r="K166" i="51"/>
  <c r="K167" i="51"/>
  <c r="N74" i="41"/>
  <c r="R74" i="41" s="1"/>
  <c r="S74" i="41" s="1"/>
  <c r="K74" i="41"/>
  <c r="N73" i="41"/>
  <c r="R73" i="41" s="1"/>
  <c r="S73" i="41" s="1"/>
  <c r="K73" i="41"/>
  <c r="N72" i="41"/>
  <c r="R72" i="41" s="1"/>
  <c r="S72" i="41" s="1"/>
  <c r="K72" i="41"/>
  <c r="N71" i="41"/>
  <c r="R71" i="41" s="1"/>
  <c r="S71" i="41" s="1"/>
  <c r="K71" i="41"/>
  <c r="N70" i="41"/>
  <c r="R70" i="41" s="1"/>
  <c r="S70" i="41" s="1"/>
  <c r="K70" i="41"/>
  <c r="N69" i="41"/>
  <c r="R69" i="41" s="1"/>
  <c r="S69" i="41" s="1"/>
  <c r="K69" i="41"/>
  <c r="K161" i="51"/>
  <c r="K162" i="51"/>
  <c r="N67" i="41"/>
  <c r="R67" i="41" s="1"/>
  <c r="S67" i="41" s="1"/>
  <c r="K67" i="41"/>
  <c r="K155" i="51"/>
  <c r="K156" i="51"/>
  <c r="K157" i="51"/>
  <c r="K158" i="51"/>
  <c r="N65" i="41"/>
  <c r="R65" i="41" s="1"/>
  <c r="S65" i="41" s="1"/>
  <c r="K65" i="41"/>
  <c r="N64" i="41"/>
  <c r="R64" i="41" s="1"/>
  <c r="S64" i="41" s="1"/>
  <c r="K64" i="41"/>
  <c r="K152" i="51"/>
  <c r="K153" i="51"/>
  <c r="N62" i="41"/>
  <c r="R62" i="41" s="1"/>
  <c r="S62" i="41" s="1"/>
  <c r="K62" i="41"/>
  <c r="N61" i="41"/>
  <c r="K61" i="41"/>
  <c r="R61" i="41" s="1"/>
  <c r="S61" i="41" s="1"/>
  <c r="N60" i="41"/>
  <c r="R60" i="41" s="1"/>
  <c r="S60" i="41" s="1"/>
  <c r="K60" i="41"/>
  <c r="N59" i="41"/>
  <c r="R59" i="41" s="1"/>
  <c r="S59" i="41" s="1"/>
  <c r="K59" i="41"/>
  <c r="R58" i="41"/>
  <c r="S58" i="41" s="1"/>
  <c r="N58" i="41"/>
  <c r="K58" i="41"/>
  <c r="N57" i="41"/>
  <c r="R57" i="41" s="1"/>
  <c r="S57" i="41" s="1"/>
  <c r="K57" i="41"/>
  <c r="N56" i="41"/>
  <c r="R56" i="41" s="1"/>
  <c r="S56" i="41" s="1"/>
  <c r="K56" i="41"/>
  <c r="R55" i="41"/>
  <c r="S55" i="41" s="1"/>
  <c r="N55" i="41"/>
  <c r="K55" i="41"/>
  <c r="K148" i="51"/>
  <c r="K149" i="51"/>
  <c r="K150" i="51"/>
  <c r="N47" i="41"/>
  <c r="R47" i="41" s="1"/>
  <c r="S47" i="41" s="1"/>
  <c r="K47" i="41"/>
  <c r="K146" i="51"/>
  <c r="N45" i="41"/>
  <c r="R45" i="41" s="1"/>
  <c r="S45" i="41" s="1"/>
  <c r="K45" i="41"/>
  <c r="N44" i="41"/>
  <c r="K44" i="41"/>
  <c r="R44" i="41" s="1"/>
  <c r="S44" i="41" s="1"/>
  <c r="N43" i="41"/>
  <c r="R43" i="41" s="1"/>
  <c r="S43" i="41" s="1"/>
  <c r="K43" i="41"/>
  <c r="N42" i="41"/>
  <c r="R42" i="41" s="1"/>
  <c r="S42" i="41" s="1"/>
  <c r="K42" i="41"/>
  <c r="N41" i="41"/>
  <c r="K41" i="41"/>
  <c r="R41" i="41" s="1"/>
  <c r="S41" i="41" s="1"/>
  <c r="N40" i="41"/>
  <c r="R40" i="41" s="1"/>
  <c r="S40" i="41" s="1"/>
  <c r="K40" i="41"/>
  <c r="N39" i="41"/>
  <c r="R39" i="41" s="1"/>
  <c r="S39" i="41" s="1"/>
  <c r="K39" i="41"/>
  <c r="N38" i="41"/>
  <c r="K38" i="41"/>
  <c r="R38" i="41" s="1"/>
  <c r="S38" i="41" s="1"/>
  <c r="N37" i="41"/>
  <c r="R37" i="41" s="1"/>
  <c r="S37" i="41" s="1"/>
  <c r="K37" i="41"/>
  <c r="N36" i="41"/>
  <c r="R36" i="41" s="1"/>
  <c r="S36" i="41" s="1"/>
  <c r="K36" i="41"/>
  <c r="K144" i="51"/>
  <c r="K142" i="51"/>
  <c r="K140" i="51"/>
  <c r="R34" i="41"/>
  <c r="S34" i="41" s="1"/>
  <c r="N34" i="41"/>
  <c r="K34" i="41"/>
  <c r="N33" i="41"/>
  <c r="R33" i="41" s="1"/>
  <c r="S33" i="41" s="1"/>
  <c r="K33" i="41"/>
  <c r="N32" i="41"/>
  <c r="R32" i="41" s="1"/>
  <c r="S32" i="41" s="1"/>
  <c r="K32" i="41"/>
  <c r="K138" i="51"/>
  <c r="N30" i="41"/>
  <c r="R30" i="41" s="1"/>
  <c r="S30" i="41" s="1"/>
  <c r="K30" i="41"/>
  <c r="N29" i="41"/>
  <c r="R29" i="41" s="1"/>
  <c r="S29" i="41" s="1"/>
  <c r="K29" i="41"/>
  <c r="R28" i="41"/>
  <c r="S28" i="41" s="1"/>
  <c r="N28" i="41"/>
  <c r="K28" i="41"/>
  <c r="N27" i="41"/>
  <c r="R27" i="41" s="1"/>
  <c r="S27" i="41" s="1"/>
  <c r="K27" i="41"/>
  <c r="N26" i="41"/>
  <c r="R26" i="41" s="1"/>
  <c r="S26" i="41" s="1"/>
  <c r="K26" i="41"/>
  <c r="R25" i="41"/>
  <c r="S25" i="41" s="1"/>
  <c r="N25" i="41"/>
  <c r="K25" i="41"/>
  <c r="N24" i="41"/>
  <c r="R24" i="41" s="1"/>
  <c r="S24" i="41" s="1"/>
  <c r="K24" i="41"/>
  <c r="N23" i="41"/>
  <c r="R23" i="41" s="1"/>
  <c r="S23" i="41" s="1"/>
  <c r="K23" i="41"/>
  <c r="R22" i="41"/>
  <c r="S22" i="41" s="1"/>
  <c r="N22" i="41"/>
  <c r="K22" i="41"/>
  <c r="N21" i="41"/>
  <c r="R21" i="41" s="1"/>
  <c r="S21" i="41" s="1"/>
  <c r="K21" i="41"/>
  <c r="N20" i="41"/>
  <c r="R20" i="41" s="1"/>
  <c r="S20" i="41" s="1"/>
  <c r="K20" i="41"/>
  <c r="R19" i="41"/>
  <c r="S19" i="41" s="1"/>
  <c r="N19" i="41"/>
  <c r="K19" i="41"/>
  <c r="N18" i="41"/>
  <c r="R18" i="41" s="1"/>
  <c r="S18" i="41" s="1"/>
  <c r="K18" i="41"/>
  <c r="N17" i="41"/>
  <c r="R17" i="41" s="1"/>
  <c r="S17" i="41" s="1"/>
  <c r="K17" i="41"/>
  <c r="R16" i="41"/>
  <c r="S16" i="41" s="1"/>
  <c r="N16" i="41"/>
  <c r="K16" i="41"/>
  <c r="N15" i="41"/>
  <c r="R15" i="41" s="1"/>
  <c r="S15" i="41" s="1"/>
  <c r="K15" i="41"/>
  <c r="N14" i="41"/>
  <c r="R14" i="41" s="1"/>
  <c r="S14" i="41" s="1"/>
  <c r="K14" i="41"/>
  <c r="K131" i="51"/>
  <c r="K132" i="51"/>
  <c r="K133" i="51"/>
  <c r="K134" i="51"/>
  <c r="K135" i="51"/>
  <c r="K136" i="51"/>
  <c r="K126" i="51"/>
  <c r="K122" i="51"/>
  <c r="K123" i="51"/>
  <c r="K124" i="51"/>
  <c r="N13" i="41"/>
  <c r="R13" i="41" s="1"/>
  <c r="S13" i="41" s="1"/>
  <c r="K13" i="41"/>
  <c r="K119" i="51"/>
  <c r="K120" i="51"/>
  <c r="K115" i="51"/>
  <c r="K116" i="51"/>
  <c r="K117" i="51"/>
  <c r="N256" i="58"/>
  <c r="K256" i="58"/>
  <c r="N255" i="58"/>
  <c r="K255" i="58"/>
  <c r="K110" i="51"/>
  <c r="N249" i="58"/>
  <c r="K249" i="58"/>
  <c r="N248" i="58"/>
  <c r="K248" i="58"/>
  <c r="N247" i="58"/>
  <c r="K247" i="58"/>
  <c r="N246" i="58"/>
  <c r="K246" i="58"/>
  <c r="N245" i="58"/>
  <c r="K245" i="58"/>
  <c r="N244" i="58"/>
  <c r="K244" i="58"/>
  <c r="N243" i="58"/>
  <c r="K243" i="58"/>
  <c r="N242" i="58"/>
  <c r="K242" i="58"/>
  <c r="N241" i="58"/>
  <c r="K241" i="58"/>
  <c r="N240" i="58"/>
  <c r="K240" i="58"/>
  <c r="N239" i="58"/>
  <c r="K239" i="58"/>
  <c r="N238" i="58"/>
  <c r="K238" i="58"/>
  <c r="N237" i="58"/>
  <c r="K237" i="58"/>
  <c r="N236" i="58"/>
  <c r="K236" i="58"/>
  <c r="N235" i="58"/>
  <c r="K235" i="58"/>
  <c r="K108" i="51"/>
  <c r="K106" i="51"/>
  <c r="K104" i="51"/>
  <c r="K101" i="51"/>
  <c r="N233" i="58"/>
  <c r="K233" i="58"/>
  <c r="N231" i="58"/>
  <c r="K231" i="58"/>
  <c r="N230" i="58"/>
  <c r="K230" i="58"/>
  <c r="N229" i="58"/>
  <c r="K229" i="58"/>
  <c r="K98" i="51"/>
  <c r="K95" i="51"/>
  <c r="K96" i="51"/>
  <c r="N228" i="58"/>
  <c r="K228" i="58"/>
  <c r="N227" i="58"/>
  <c r="K227" i="58"/>
  <c r="N226" i="58"/>
  <c r="K226" i="58"/>
  <c r="N225" i="58"/>
  <c r="K225" i="58"/>
  <c r="K92" i="51"/>
  <c r="K93" i="51"/>
  <c r="N224" i="58"/>
  <c r="K224" i="58"/>
  <c r="N223" i="58"/>
  <c r="K223" i="58"/>
  <c r="N222" i="58"/>
  <c r="K222" i="58"/>
  <c r="N221" i="58"/>
  <c r="K221" i="58"/>
  <c r="K90" i="51"/>
  <c r="K85" i="51"/>
  <c r="K86" i="51"/>
  <c r="K87" i="51"/>
  <c r="K88" i="51"/>
  <c r="N219" i="58"/>
  <c r="K219" i="58"/>
  <c r="N218" i="58"/>
  <c r="K218" i="58"/>
  <c r="N217" i="58"/>
  <c r="K217" i="58"/>
  <c r="N216" i="58"/>
  <c r="K216" i="58"/>
  <c r="N215" i="58"/>
  <c r="K215" i="58"/>
  <c r="N199" i="58"/>
  <c r="K199" i="58"/>
  <c r="K78" i="51"/>
  <c r="K79" i="51"/>
  <c r="K80" i="51"/>
  <c r="N194" i="58"/>
  <c r="K194" i="58"/>
  <c r="N193" i="58"/>
  <c r="K193" i="58"/>
  <c r="K73" i="51"/>
  <c r="K74" i="51"/>
  <c r="K75" i="51"/>
  <c r="K76" i="51"/>
  <c r="N186" i="58"/>
  <c r="K186" i="58"/>
  <c r="N185" i="58"/>
  <c r="K185" i="58"/>
  <c r="N184" i="58"/>
  <c r="K184" i="58"/>
  <c r="N183" i="58"/>
  <c r="K183" i="58"/>
  <c r="N177" i="58"/>
  <c r="K177" i="58"/>
  <c r="N175" i="58"/>
  <c r="K175" i="58"/>
  <c r="N174" i="58"/>
  <c r="K174" i="58"/>
  <c r="N172" i="58"/>
  <c r="K172" i="58"/>
  <c r="N171" i="58"/>
  <c r="K171" i="58"/>
  <c r="N170" i="58"/>
  <c r="K170" i="58"/>
  <c r="N169" i="58"/>
  <c r="K169" i="58"/>
  <c r="N168" i="58"/>
  <c r="K168" i="58"/>
  <c r="N167" i="58"/>
  <c r="K167" i="58"/>
  <c r="N166" i="58"/>
  <c r="K166" i="58"/>
  <c r="N165" i="58"/>
  <c r="K165" i="58"/>
  <c r="N164" i="58"/>
  <c r="K164" i="58"/>
  <c r="N163" i="58"/>
  <c r="K163" i="58"/>
  <c r="N162" i="58"/>
  <c r="K162" i="58"/>
  <c r="N161" i="58"/>
  <c r="K161" i="58"/>
  <c r="K67" i="51"/>
  <c r="K68" i="51"/>
  <c r="K69" i="51"/>
  <c r="K70" i="51"/>
  <c r="K71" i="51"/>
  <c r="N150" i="58"/>
  <c r="K150" i="58"/>
  <c r="N149" i="58"/>
  <c r="K149" i="58"/>
  <c r="N142" i="58"/>
  <c r="K142" i="58"/>
  <c r="N140" i="58"/>
  <c r="K140" i="58"/>
  <c r="N139" i="58"/>
  <c r="K139" i="58"/>
  <c r="K62" i="51"/>
  <c r="K63" i="51"/>
  <c r="K64" i="51"/>
  <c r="K65" i="51"/>
  <c r="N137" i="58"/>
  <c r="K137" i="58"/>
  <c r="N136" i="58"/>
  <c r="K136" i="58"/>
  <c r="N134" i="58"/>
  <c r="K134" i="58"/>
  <c r="N133" i="58"/>
  <c r="K133" i="58"/>
  <c r="K58" i="51"/>
  <c r="K59" i="51"/>
  <c r="K60" i="51"/>
  <c r="K55" i="51"/>
  <c r="K56" i="51"/>
  <c r="K53" i="51"/>
  <c r="K47" i="51"/>
  <c r="K48" i="51"/>
  <c r="K49" i="51"/>
  <c r="K50" i="51"/>
  <c r="K51" i="51"/>
  <c r="K41" i="51"/>
  <c r="K42" i="51"/>
  <c r="K43" i="51"/>
  <c r="K44" i="51"/>
  <c r="K45" i="51"/>
  <c r="K36" i="51"/>
  <c r="K37" i="51"/>
  <c r="K38" i="51"/>
  <c r="K39" i="51"/>
  <c r="K26" i="51"/>
  <c r="K27" i="51"/>
  <c r="K28" i="51"/>
  <c r="K29" i="51"/>
  <c r="K30" i="51"/>
  <c r="K31" i="51"/>
  <c r="K32" i="51"/>
  <c r="K18" i="51"/>
  <c r="K19" i="51"/>
  <c r="K20" i="51"/>
  <c r="K21" i="51"/>
  <c r="K22" i="51"/>
  <c r="K23" i="51"/>
  <c r="K24" i="51"/>
  <c r="K25" i="51"/>
  <c r="K10" i="51"/>
  <c r="K11" i="51"/>
  <c r="K12" i="51"/>
  <c r="K13" i="51"/>
  <c r="K14" i="51"/>
  <c r="K15" i="51"/>
  <c r="K16" i="51"/>
  <c r="K9" i="51"/>
  <c r="N131" i="58"/>
  <c r="K131" i="58"/>
  <c r="N130" i="58"/>
  <c r="K130" i="58"/>
  <c r="N129" i="58"/>
  <c r="K129" i="58"/>
  <c r="N128" i="58"/>
  <c r="K128" i="58"/>
  <c r="N127" i="58"/>
  <c r="K127" i="58"/>
  <c r="N126" i="58"/>
  <c r="K126" i="58"/>
  <c r="N125" i="58"/>
  <c r="K125" i="58"/>
  <c r="N124" i="58"/>
  <c r="K124" i="58"/>
  <c r="N123" i="58"/>
  <c r="K123" i="58"/>
  <c r="N122" i="58"/>
  <c r="K122" i="58"/>
  <c r="N114" i="58"/>
  <c r="K114" i="58"/>
  <c r="N112" i="58"/>
  <c r="K112" i="58"/>
  <c r="N111" i="58"/>
  <c r="K111" i="58"/>
  <c r="N110" i="58"/>
  <c r="K110" i="58"/>
  <c r="N109" i="58"/>
  <c r="K109" i="58"/>
  <c r="N108" i="58"/>
  <c r="K108" i="58"/>
  <c r="N106" i="58"/>
  <c r="K106" i="58"/>
  <c r="N105" i="58"/>
  <c r="K105" i="58"/>
  <c r="N104" i="58"/>
  <c r="K104" i="58"/>
  <c r="N103" i="58"/>
  <c r="K103" i="58"/>
  <c r="N102" i="58"/>
  <c r="K102" i="58"/>
  <c r="N101" i="58"/>
  <c r="K101" i="58"/>
  <c r="N99" i="58"/>
  <c r="K99" i="58"/>
  <c r="N98" i="58"/>
  <c r="K98" i="58"/>
  <c r="N97" i="58"/>
  <c r="K97" i="58"/>
  <c r="N96" i="58"/>
  <c r="K96" i="58"/>
  <c r="N95" i="58"/>
  <c r="K95" i="58"/>
  <c r="N87" i="58"/>
  <c r="K87" i="58"/>
  <c r="N85" i="58"/>
  <c r="K85" i="58"/>
  <c r="N84" i="58"/>
  <c r="K84" i="58"/>
  <c r="N82" i="58"/>
  <c r="K82" i="58"/>
  <c r="N81" i="58"/>
  <c r="K81" i="58"/>
  <c r="N79" i="58"/>
  <c r="K79" i="58"/>
  <c r="N77" i="58"/>
  <c r="K77" i="58"/>
  <c r="N76" i="58"/>
  <c r="K76" i="58"/>
  <c r="N74" i="58"/>
  <c r="K74" i="58"/>
  <c r="N73" i="58"/>
  <c r="K73" i="58"/>
  <c r="N72" i="58"/>
  <c r="K72" i="58"/>
  <c r="N71" i="58"/>
  <c r="K71" i="58"/>
  <c r="N70" i="58"/>
  <c r="K70" i="58"/>
  <c r="N69" i="58"/>
  <c r="K69" i="58"/>
  <c r="N67" i="58"/>
  <c r="K67" i="58"/>
  <c r="N65" i="58"/>
  <c r="K65" i="58"/>
  <c r="N64" i="58"/>
  <c r="K64" i="58"/>
  <c r="N62" i="58"/>
  <c r="K62" i="58"/>
  <c r="N61" i="58"/>
  <c r="K61" i="58"/>
  <c r="N60" i="58"/>
  <c r="K60" i="58"/>
  <c r="N59" i="58"/>
  <c r="K59" i="58"/>
  <c r="N58" i="58"/>
  <c r="K58" i="58"/>
  <c r="N57" i="58"/>
  <c r="K57" i="58"/>
  <c r="N56" i="58"/>
  <c r="K56" i="58"/>
  <c r="N55" i="58"/>
  <c r="K55" i="58"/>
  <c r="N47" i="58"/>
  <c r="K47" i="58"/>
  <c r="N45" i="58"/>
  <c r="K45" i="58"/>
  <c r="N44" i="58"/>
  <c r="K44" i="58"/>
  <c r="N43" i="58"/>
  <c r="K43" i="58"/>
  <c r="N42" i="58"/>
  <c r="K42" i="58"/>
  <c r="N41" i="58"/>
  <c r="K41" i="58"/>
  <c r="N40" i="58"/>
  <c r="K40" i="58"/>
  <c r="N39" i="58"/>
  <c r="K39" i="58"/>
  <c r="N38" i="58"/>
  <c r="K38" i="58"/>
  <c r="N37" i="58"/>
  <c r="K37" i="58"/>
  <c r="N36" i="58"/>
  <c r="K36" i="58"/>
  <c r="N34" i="58"/>
  <c r="K34" i="58"/>
  <c r="N33" i="58"/>
  <c r="K33" i="58"/>
  <c r="N32" i="58"/>
  <c r="K32" i="58"/>
  <c r="N30" i="58"/>
  <c r="K30" i="58"/>
  <c r="N29" i="58"/>
  <c r="K29" i="58"/>
  <c r="N28" i="58"/>
  <c r="K28" i="58"/>
  <c r="N27" i="58"/>
  <c r="K27" i="58"/>
  <c r="N26" i="58"/>
  <c r="K26" i="58"/>
  <c r="N25" i="58"/>
  <c r="K25" i="58"/>
  <c r="N24" i="58"/>
  <c r="K24" i="58"/>
  <c r="N23" i="58"/>
  <c r="K23" i="58"/>
  <c r="N22" i="58"/>
  <c r="K22" i="58"/>
  <c r="N21" i="58"/>
  <c r="K21" i="58"/>
  <c r="N20" i="58"/>
  <c r="K20" i="58"/>
  <c r="N19" i="58"/>
  <c r="K19" i="58"/>
  <c r="N18" i="58"/>
  <c r="K18" i="58"/>
  <c r="N17" i="58"/>
  <c r="K17" i="58"/>
  <c r="N16" i="58"/>
  <c r="K16" i="58"/>
  <c r="N15" i="58"/>
  <c r="K15" i="58"/>
  <c r="N14" i="58"/>
  <c r="K14" i="58"/>
  <c r="N13" i="58"/>
  <c r="K13" i="58"/>
  <c r="N24" i="45"/>
  <c r="R24" i="45" s="1"/>
  <c r="S24" i="45" s="1"/>
  <c r="K24" i="45"/>
  <c r="N23" i="45"/>
  <c r="K23" i="45"/>
  <c r="N22" i="45"/>
  <c r="K22" i="45"/>
  <c r="N21" i="45"/>
  <c r="R21" i="45" s="1"/>
  <c r="S21" i="45" s="1"/>
  <c r="K21" i="45"/>
  <c r="N18" i="45"/>
  <c r="K18" i="45"/>
  <c r="N17" i="45"/>
  <c r="R17" i="45" s="1"/>
  <c r="S17" i="45" s="1"/>
  <c r="K17" i="45"/>
  <c r="N16" i="45"/>
  <c r="R16" i="45" s="1"/>
  <c r="S16" i="45" s="1"/>
  <c r="K16" i="45"/>
  <c r="N13" i="45"/>
  <c r="R13" i="45" s="1"/>
  <c r="S13" i="45" s="1"/>
  <c r="K13" i="45"/>
  <c r="N12" i="45"/>
  <c r="R12" i="45" s="1"/>
  <c r="S12" i="45" s="1"/>
  <c r="K12" i="45"/>
  <c r="N11" i="45"/>
  <c r="K11" i="45"/>
  <c r="R10" i="45"/>
  <c r="S10" i="45" s="1"/>
  <c r="N10" i="45"/>
  <c r="K10" i="45"/>
  <c r="N9" i="45"/>
  <c r="R9" i="45" s="1"/>
  <c r="S9" i="45" s="1"/>
  <c r="K9" i="45"/>
  <c r="N8" i="45"/>
  <c r="R8" i="45" s="1"/>
  <c r="S8" i="45" s="1"/>
  <c r="K8" i="45"/>
  <c r="D24" i="1"/>
  <c r="E26" i="1"/>
  <c r="E23" i="1"/>
  <c r="S89" i="58"/>
  <c r="S116" i="58"/>
  <c r="S118" i="58"/>
  <c r="S156" i="58"/>
  <c r="S179" i="58"/>
  <c r="S181" i="58"/>
  <c r="S211" i="58"/>
  <c r="S252" i="58"/>
  <c r="R235" i="58" l="1"/>
  <c r="R215" i="58"/>
  <c r="S215" i="58" s="1"/>
  <c r="R149" i="58"/>
  <c r="R137" i="58"/>
  <c r="S137" i="58" s="1"/>
  <c r="R241" i="58"/>
  <c r="R21" i="58"/>
  <c r="S21" i="58" s="1"/>
  <c r="R34" i="58"/>
  <c r="R55" i="58"/>
  <c r="S55" i="58" s="1"/>
  <c r="R61" i="58"/>
  <c r="S61" i="58" s="1"/>
  <c r="R77" i="58"/>
  <c r="S77" i="58" s="1"/>
  <c r="R101" i="58"/>
  <c r="S101" i="58" s="1"/>
  <c r="R122" i="58"/>
  <c r="S122" i="58" s="1"/>
  <c r="R164" i="58"/>
  <c r="S164" i="58" s="1"/>
  <c r="R170" i="58"/>
  <c r="S170" i="58" s="1"/>
  <c r="R183" i="58"/>
  <c r="S183" i="58" s="1"/>
  <c r="R221" i="58"/>
  <c r="S221" i="58" s="1"/>
  <c r="R226" i="58"/>
  <c r="S226" i="58" s="1"/>
  <c r="R242" i="58"/>
  <c r="R248" i="58"/>
  <c r="R236" i="58"/>
  <c r="S236" i="58" s="1"/>
  <c r="R57" i="58"/>
  <c r="S57" i="58" s="1"/>
  <c r="R72" i="58"/>
  <c r="S72" i="58" s="1"/>
  <c r="R96" i="58"/>
  <c r="S96" i="58" s="1"/>
  <c r="R130" i="58"/>
  <c r="S130" i="58" s="1"/>
  <c r="R166" i="58"/>
  <c r="S166" i="58" s="1"/>
  <c r="R172" i="58"/>
  <c r="S172" i="58" s="1"/>
  <c r="R240" i="58"/>
  <c r="S240" i="58" s="1"/>
  <c r="R64" i="58"/>
  <c r="S64" i="58" s="1"/>
  <c r="R103" i="58"/>
  <c r="S103" i="58" s="1"/>
  <c r="R185" i="58"/>
  <c r="S185" i="58" s="1"/>
  <c r="R223" i="58"/>
  <c r="S223" i="58" s="1"/>
  <c r="R228" i="58"/>
  <c r="R136" i="58"/>
  <c r="S136" i="58" s="1"/>
  <c r="R246" i="58"/>
  <c r="S246" i="58" s="1"/>
  <c r="R247" i="58"/>
  <c r="S247" i="58" s="1"/>
  <c r="R133" i="58"/>
  <c r="S133" i="58" s="1"/>
  <c r="R139" i="58"/>
  <c r="S139" i="58" s="1"/>
  <c r="R218" i="58"/>
  <c r="S218" i="58" s="1"/>
  <c r="R238" i="58"/>
  <c r="S238" i="58" s="1"/>
  <c r="R244" i="58"/>
  <c r="S244" i="58" s="1"/>
  <c r="R199" i="58"/>
  <c r="S199" i="58" s="1"/>
  <c r="R33" i="58"/>
  <c r="S33" i="58" s="1"/>
  <c r="R60" i="58"/>
  <c r="S60" i="58" s="1"/>
  <c r="R76" i="58"/>
  <c r="S76" i="58" s="1"/>
  <c r="R85" i="58"/>
  <c r="S85" i="58" s="1"/>
  <c r="R99" i="58"/>
  <c r="S99" i="58" s="1"/>
  <c r="R106" i="58"/>
  <c r="S106" i="58" s="1"/>
  <c r="R127" i="58"/>
  <c r="S127" i="58" s="1"/>
  <c r="R163" i="58"/>
  <c r="S163" i="58" s="1"/>
  <c r="R169" i="58"/>
  <c r="S169" i="58" s="1"/>
  <c r="R225" i="58"/>
  <c r="S225" i="58" s="1"/>
  <c r="R237" i="58"/>
  <c r="S237" i="58" s="1"/>
  <c r="R243" i="58"/>
  <c r="S243" i="58" s="1"/>
  <c r="R249" i="58"/>
  <c r="S249" i="58" s="1"/>
  <c r="R22" i="58"/>
  <c r="S22" i="58" s="1"/>
  <c r="R56" i="58"/>
  <c r="S56" i="58" s="1"/>
  <c r="R71" i="58"/>
  <c r="S71" i="58" s="1"/>
  <c r="R95" i="58"/>
  <c r="S95" i="58" s="1"/>
  <c r="R102" i="58"/>
  <c r="S102" i="58" s="1"/>
  <c r="R123" i="58"/>
  <c r="S123" i="58" s="1"/>
  <c r="R165" i="58"/>
  <c r="S165" i="58" s="1"/>
  <c r="R171" i="58"/>
  <c r="S171" i="58" s="1"/>
  <c r="R184" i="58"/>
  <c r="S184" i="58" s="1"/>
  <c r="R222" i="58"/>
  <c r="S222" i="58" s="1"/>
  <c r="R227" i="58"/>
  <c r="S227" i="58" s="1"/>
  <c r="R134" i="58"/>
  <c r="S134" i="58" s="1"/>
  <c r="R239" i="58"/>
  <c r="S239" i="58" s="1"/>
  <c r="R245" i="58"/>
  <c r="S245" i="58" s="1"/>
  <c r="R58" i="58"/>
  <c r="S58" i="58" s="1"/>
  <c r="R65" i="58"/>
  <c r="S65" i="58" s="1"/>
  <c r="R82" i="58"/>
  <c r="S82" i="58" s="1"/>
  <c r="R97" i="58"/>
  <c r="S97" i="58" s="1"/>
  <c r="R104" i="58"/>
  <c r="S104" i="58" s="1"/>
  <c r="R131" i="58"/>
  <c r="S131" i="58" s="1"/>
  <c r="R161" i="58"/>
  <c r="S161" i="58" s="1"/>
  <c r="R167" i="58"/>
  <c r="S167" i="58" s="1"/>
  <c r="R174" i="58"/>
  <c r="S174" i="58" s="1"/>
  <c r="R186" i="58"/>
  <c r="S186" i="58" s="1"/>
  <c r="R224" i="58"/>
  <c r="S224" i="58" s="1"/>
  <c r="R217" i="58"/>
  <c r="S217" i="58" s="1"/>
  <c r="R140" i="58"/>
  <c r="S140" i="58" s="1"/>
  <c r="R32" i="58"/>
  <c r="S32" i="58" s="1"/>
  <c r="R59" i="58"/>
  <c r="S59" i="58" s="1"/>
  <c r="R84" i="58"/>
  <c r="S84" i="58" s="1"/>
  <c r="R98" i="58"/>
  <c r="S98" i="58" s="1"/>
  <c r="R105" i="58"/>
  <c r="S105" i="58" s="1"/>
  <c r="R126" i="58"/>
  <c r="S126" i="58" s="1"/>
  <c r="R162" i="58"/>
  <c r="S162" i="58" s="1"/>
  <c r="R168" i="58"/>
  <c r="S168" i="58" s="1"/>
  <c r="R175" i="58"/>
  <c r="S175" i="58" s="1"/>
  <c r="R81" i="58"/>
  <c r="S81" i="58" s="1"/>
  <c r="R150" i="58"/>
  <c r="S150" i="58" s="1"/>
  <c r="S145" i="58" s="1"/>
  <c r="R216" i="58"/>
  <c r="S216" i="58" s="1"/>
  <c r="R31" i="43"/>
  <c r="R64" i="43"/>
  <c r="R85" i="43"/>
  <c r="R83" i="43"/>
  <c r="R13" i="58"/>
  <c r="S13" i="58" s="1"/>
  <c r="R77" i="43"/>
  <c r="S77" i="43" s="1"/>
  <c r="R79" i="43"/>
  <c r="R74" i="58"/>
  <c r="S74" i="58" s="1"/>
  <c r="R16" i="43"/>
  <c r="R30" i="43"/>
  <c r="R26" i="43"/>
  <c r="R22" i="43"/>
  <c r="R65" i="43"/>
  <c r="R86" i="43"/>
  <c r="R82" i="43"/>
  <c r="R14" i="43"/>
  <c r="R63" i="43"/>
  <c r="R84" i="43"/>
  <c r="R78" i="43"/>
  <c r="R80" i="43"/>
  <c r="R104" i="43"/>
  <c r="S104" i="43" s="1"/>
  <c r="S89" i="43" s="1"/>
  <c r="R47" i="43"/>
  <c r="R27" i="43"/>
  <c r="R23" i="43"/>
  <c r="R19" i="43"/>
  <c r="R49" i="43"/>
  <c r="R39" i="43"/>
  <c r="S39" i="43" s="1"/>
  <c r="S36" i="43" s="1"/>
  <c r="R43" i="43"/>
  <c r="R53" i="43"/>
  <c r="R51" i="43"/>
  <c r="R28" i="43"/>
  <c r="R24" i="43"/>
  <c r="R20" i="43"/>
  <c r="R61" i="43"/>
  <c r="S61" i="43" s="1"/>
  <c r="S228" i="58"/>
  <c r="R112" i="58"/>
  <c r="S112" i="58" s="1"/>
  <c r="R256" i="58"/>
  <c r="S256" i="58" s="1"/>
  <c r="S253" i="58" s="1"/>
  <c r="S149" i="58"/>
  <c r="S143" i="58" s="1"/>
  <c r="R41" i="58"/>
  <c r="S41" i="58" s="1"/>
  <c r="R193" i="58"/>
  <c r="S193" i="58" s="1"/>
  <c r="R255" i="58"/>
  <c r="S255" i="58" s="1"/>
  <c r="S251" i="58" s="1"/>
  <c r="R15" i="43"/>
  <c r="R29" i="43"/>
  <c r="R25" i="43"/>
  <c r="R21" i="43"/>
  <c r="R233" i="58"/>
  <c r="S233" i="58" s="1"/>
  <c r="S212" i="58" s="1"/>
  <c r="R62" i="58"/>
  <c r="S62" i="58" s="1"/>
  <c r="R14" i="58"/>
  <c r="S14" i="58" s="1"/>
  <c r="R69" i="58"/>
  <c r="S69" i="58" s="1"/>
  <c r="R20" i="58"/>
  <c r="S20" i="58" s="1"/>
  <c r="R231" i="58"/>
  <c r="S231" i="58" s="1"/>
  <c r="R110" i="58"/>
  <c r="S110" i="58" s="1"/>
  <c r="R124" i="58"/>
  <c r="S124" i="58" s="1"/>
  <c r="R18" i="58"/>
  <c r="S18" i="58" s="1"/>
  <c r="R30" i="58"/>
  <c r="S30" i="58" s="1"/>
  <c r="R43" i="58"/>
  <c r="S43" i="58" s="1"/>
  <c r="R24" i="58"/>
  <c r="S24" i="58" s="1"/>
  <c r="R111" i="58"/>
  <c r="S111" i="58" s="1"/>
  <c r="R142" i="58"/>
  <c r="S142" i="58" s="1"/>
  <c r="S119" i="58" s="1"/>
  <c r="R114" i="58"/>
  <c r="S114" i="58" s="1"/>
  <c r="S91" i="58" s="1"/>
  <c r="R37" i="58"/>
  <c r="S37" i="58" s="1"/>
  <c r="R79" i="58"/>
  <c r="S79" i="58" s="1"/>
  <c r="S235" i="58"/>
  <c r="S241" i="58"/>
  <c r="R38" i="58"/>
  <c r="S38" i="58" s="1"/>
  <c r="R45" i="58"/>
  <c r="S45" i="58" s="1"/>
  <c r="R47" i="58"/>
  <c r="S47" i="58" s="1"/>
  <c r="S10" i="58" s="1"/>
  <c r="S34" i="58"/>
  <c r="R42" i="58"/>
  <c r="S42" i="58" s="1"/>
  <c r="R87" i="58"/>
  <c r="S87" i="58" s="1"/>
  <c r="S248" i="58"/>
  <c r="R70" i="58"/>
  <c r="S70" i="58" s="1"/>
  <c r="R36" i="58"/>
  <c r="S36" i="58" s="1"/>
  <c r="R23" i="58"/>
  <c r="S23" i="58" s="1"/>
  <c r="R19" i="58"/>
  <c r="S19" i="58" s="1"/>
  <c r="R25" i="58"/>
  <c r="S25" i="58" s="1"/>
  <c r="R108" i="58"/>
  <c r="S108" i="58" s="1"/>
  <c r="R128" i="58"/>
  <c r="S128" i="58" s="1"/>
  <c r="R194" i="58"/>
  <c r="S194" i="58" s="1"/>
  <c r="S189" i="58" s="1"/>
  <c r="R109" i="58"/>
  <c r="S109" i="58" s="1"/>
  <c r="R129" i="58"/>
  <c r="S129" i="58" s="1"/>
  <c r="R177" i="58"/>
  <c r="S177" i="58" s="1"/>
  <c r="S157" i="58" s="1"/>
  <c r="R219" i="58"/>
  <c r="S219" i="58" s="1"/>
  <c r="R26" i="58"/>
  <c r="S26" i="58" s="1"/>
  <c r="R39" i="58"/>
  <c r="S39" i="58" s="1"/>
  <c r="R44" i="58"/>
  <c r="S44" i="58" s="1"/>
  <c r="R17" i="58"/>
  <c r="S17" i="58" s="1"/>
  <c r="R29" i="58"/>
  <c r="S29" i="58" s="1"/>
  <c r="S242" i="58"/>
  <c r="R15" i="58"/>
  <c r="S15" i="58" s="1"/>
  <c r="R27" i="58"/>
  <c r="S27" i="58" s="1"/>
  <c r="R40" i="58"/>
  <c r="S40" i="58" s="1"/>
  <c r="R67" i="58"/>
  <c r="S67" i="58" s="1"/>
  <c r="R73" i="58"/>
  <c r="S73" i="58" s="1"/>
  <c r="R230" i="58"/>
  <c r="S230" i="58" s="1"/>
  <c r="R16" i="58"/>
  <c r="S16" i="58" s="1"/>
  <c r="R28" i="58"/>
  <c r="S28" i="58" s="1"/>
  <c r="R229" i="58"/>
  <c r="S229" i="58" s="1"/>
  <c r="R125" i="58"/>
  <c r="S125" i="58" s="1"/>
  <c r="R22" i="45"/>
  <c r="S22" i="45" s="1"/>
  <c r="R23" i="45"/>
  <c r="S23" i="45" s="1"/>
  <c r="R18" i="45"/>
  <c r="S18" i="45" s="1"/>
  <c r="R11" i="45"/>
  <c r="S11" i="45" s="1"/>
  <c r="S209" i="58" l="1"/>
  <c r="S210" i="58"/>
  <c r="S208" i="58"/>
  <c r="S259" i="58"/>
  <c r="G12" i="32" s="1"/>
  <c r="S153" i="58"/>
  <c r="S115" i="58"/>
  <c r="S207" i="58"/>
  <c r="S50" i="58"/>
  <c r="S48" i="58"/>
  <c r="S92" i="58"/>
  <c r="S178" i="58"/>
  <c r="S90" i="58"/>
  <c r="S187" i="58"/>
  <c r="S52" i="58"/>
  <c r="S88" i="58"/>
  <c r="S180" i="58"/>
  <c r="S155" i="58"/>
  <c r="S6" i="58"/>
  <c r="S8" i="58"/>
  <c r="S117" i="58"/>
  <c r="S245" i="41"/>
  <c r="S243" i="41"/>
  <c r="D33" i="1" s="1"/>
  <c r="S201" i="41"/>
  <c r="S200" i="41"/>
  <c r="S199" i="41"/>
  <c r="E39" i="1"/>
  <c r="S156" i="41"/>
  <c r="S155" i="41"/>
  <c r="S154" i="41"/>
  <c r="S152" i="41"/>
  <c r="E37" i="1" s="1"/>
  <c r="S146" i="41"/>
  <c r="S145" i="41"/>
  <c r="S144" i="41"/>
  <c r="E36" i="1" s="1"/>
  <c r="S143" i="41"/>
  <c r="E10" i="1"/>
  <c r="D10" i="1"/>
  <c r="E31" i="1" l="1"/>
  <c r="E28" i="1"/>
  <c r="D36" i="1"/>
  <c r="E27" i="1"/>
  <c r="F12" i="32" l="1"/>
  <c r="S33" i="34"/>
  <c r="S32" i="34"/>
  <c r="S31" i="35"/>
  <c r="S30" i="35"/>
  <c r="S55" i="35"/>
  <c r="S120" i="41"/>
  <c r="S118" i="41"/>
  <c r="E22" i="1" s="1"/>
  <c r="S116" i="41"/>
  <c r="E35" i="1" s="1"/>
  <c r="K24" i="35"/>
  <c r="N24" i="35"/>
  <c r="K25" i="35"/>
  <c r="N25" i="35"/>
  <c r="S58" i="35"/>
  <c r="R60" i="35"/>
  <c r="S60" i="35" s="1"/>
  <c r="S59" i="35" s="1"/>
  <c r="S18" i="35"/>
  <c r="S27" i="35"/>
  <c r="S21" i="34"/>
  <c r="S17" i="34"/>
  <c r="K14" i="34"/>
  <c r="N14" i="34"/>
  <c r="R14" i="34" s="1"/>
  <c r="S14" i="34" s="1"/>
  <c r="K15" i="34"/>
  <c r="N15" i="34"/>
  <c r="S35" i="34"/>
  <c r="D11" i="1" s="1"/>
  <c r="R37" i="34"/>
  <c r="S37" i="34" s="1"/>
  <c r="S36" i="34" s="1"/>
  <c r="E11" i="1" s="1"/>
  <c r="K9" i="34"/>
  <c r="N9" i="34"/>
  <c r="R9" i="34" s="1"/>
  <c r="S9" i="34" s="1"/>
  <c r="K10" i="34"/>
  <c r="N10" i="34"/>
  <c r="K11" i="34"/>
  <c r="N11" i="34"/>
  <c r="K12" i="34"/>
  <c r="N12" i="34"/>
  <c r="K13" i="34"/>
  <c r="N13" i="34"/>
  <c r="N8" i="34"/>
  <c r="K8" i="34"/>
  <c r="E9" i="1" l="1"/>
  <c r="E7" i="1" s="1"/>
  <c r="R15" i="34"/>
  <c r="S15" i="34" s="1"/>
  <c r="S7" i="34"/>
  <c r="R12" i="34"/>
  <c r="S12" i="34" s="1"/>
  <c r="R24" i="35"/>
  <c r="S24" i="35" s="1"/>
  <c r="R25" i="35"/>
  <c r="S25" i="35" s="1"/>
  <c r="S17" i="35"/>
  <c r="R13" i="34"/>
  <c r="S13" i="34" s="1"/>
  <c r="R10" i="34"/>
  <c r="S10" i="34" s="1"/>
  <c r="R11" i="34"/>
  <c r="S11" i="34" s="1"/>
  <c r="R8" i="34"/>
  <c r="S8" i="34" s="1"/>
  <c r="S6" i="34" s="1"/>
  <c r="D9" i="1" l="1"/>
  <c r="D7" i="1" s="1"/>
  <c r="S52" i="57"/>
  <c r="S46" i="57"/>
  <c r="S16" i="57"/>
  <c r="S15" i="57"/>
  <c r="S12" i="57"/>
  <c r="S5" i="57"/>
  <c r="K42" i="57"/>
  <c r="K43" i="57"/>
  <c r="K44" i="57"/>
  <c r="K45" i="57"/>
  <c r="S47" i="57"/>
  <c r="K48" i="57"/>
  <c r="N48" i="57"/>
  <c r="R48" i="57" s="1"/>
  <c r="S48" i="57" s="1"/>
  <c r="K49" i="57"/>
  <c r="N49" i="57"/>
  <c r="R49" i="57" s="1"/>
  <c r="S49" i="57" s="1"/>
  <c r="K50" i="57"/>
  <c r="N50" i="57"/>
  <c r="K51" i="57"/>
  <c r="N51" i="57"/>
  <c r="S53" i="57"/>
  <c r="R54" i="57"/>
  <c r="S54" i="57" s="1"/>
  <c r="S6" i="57"/>
  <c r="K7" i="57"/>
  <c r="R7" i="57" s="1"/>
  <c r="S7" i="57" s="1"/>
  <c r="K8" i="57"/>
  <c r="R8" i="57"/>
  <c r="S8" i="57" s="1"/>
  <c r="K9" i="57"/>
  <c r="R9" i="57" s="1"/>
  <c r="S9" i="57" s="1"/>
  <c r="K10" i="57"/>
  <c r="R10" i="57" s="1"/>
  <c r="S10" i="57" s="1"/>
  <c r="K11" i="57"/>
  <c r="R11" i="57" s="1"/>
  <c r="S11" i="57" s="1"/>
  <c r="S13" i="57"/>
  <c r="R14" i="57"/>
  <c r="S14" i="57" s="1"/>
  <c r="S93" i="41"/>
  <c r="S53" i="41"/>
  <c r="S49" i="41"/>
  <c r="E16" i="1" s="1"/>
  <c r="S11" i="41"/>
  <c r="S7" i="41"/>
  <c r="E15" i="1" s="1"/>
  <c r="S89" i="41"/>
  <c r="E17" i="1" s="1"/>
  <c r="K7" i="56"/>
  <c r="R7" i="56" s="1"/>
  <c r="S7" i="56" s="1"/>
  <c r="K8" i="56"/>
  <c r="S6" i="56"/>
  <c r="S6" i="55"/>
  <c r="R9" i="55"/>
  <c r="S9" i="55" s="1"/>
  <c r="R10" i="55"/>
  <c r="S10" i="55" s="1"/>
  <c r="K9" i="56"/>
  <c r="R9" i="56" s="1"/>
  <c r="S9" i="56" s="1"/>
  <c r="K10" i="56"/>
  <c r="R10" i="56" s="1"/>
  <c r="S10" i="56" s="1"/>
  <c r="S60" i="56"/>
  <c r="R61" i="56"/>
  <c r="S61" i="56" s="1"/>
  <c r="S59" i="56" s="1"/>
  <c r="R8" i="56"/>
  <c r="S8" i="56" s="1"/>
  <c r="S13" i="56"/>
  <c r="R14" i="56"/>
  <c r="S14" i="56" s="1"/>
  <c r="S12" i="56" s="1"/>
  <c r="K38" i="56"/>
  <c r="K39" i="56"/>
  <c r="K40" i="56"/>
  <c r="K41" i="56"/>
  <c r="K42" i="56"/>
  <c r="K43" i="56"/>
  <c r="K46" i="56"/>
  <c r="K47" i="56"/>
  <c r="K49" i="56"/>
  <c r="K50" i="56"/>
  <c r="K51" i="56"/>
  <c r="K52" i="56"/>
  <c r="K11" i="56"/>
  <c r="R11" i="56" s="1"/>
  <c r="S11" i="56" s="1"/>
  <c r="K18" i="56"/>
  <c r="K19" i="56"/>
  <c r="K20" i="56"/>
  <c r="K21" i="56"/>
  <c r="K22" i="56"/>
  <c r="K23" i="56"/>
  <c r="K24" i="56"/>
  <c r="K25" i="56"/>
  <c r="K26" i="56"/>
  <c r="K27" i="56"/>
  <c r="K28" i="56"/>
  <c r="K29" i="56"/>
  <c r="K32" i="56"/>
  <c r="K33" i="56"/>
  <c r="K34" i="56"/>
  <c r="K35" i="56"/>
  <c r="K36" i="56"/>
  <c r="K37" i="56"/>
  <c r="S54" i="56"/>
  <c r="S22" i="55"/>
  <c r="E14" i="1" l="1"/>
  <c r="R51" i="57"/>
  <c r="S51" i="57" s="1"/>
  <c r="R50" i="57"/>
  <c r="S50" i="57" s="1"/>
  <c r="S5" i="56"/>
  <c r="S12" i="55"/>
  <c r="N40" i="57"/>
  <c r="K40" i="57"/>
  <c r="R40" i="57" s="1"/>
  <c r="S40" i="57" s="1"/>
  <c r="N39" i="57"/>
  <c r="K39" i="57"/>
  <c r="N38" i="57"/>
  <c r="K38" i="57"/>
  <c r="R38" i="57" s="1"/>
  <c r="S38" i="57" s="1"/>
  <c r="N37" i="57"/>
  <c r="K37" i="57"/>
  <c r="N36" i="57"/>
  <c r="K36" i="57"/>
  <c r="N35" i="57"/>
  <c r="K35" i="57"/>
  <c r="N34" i="57"/>
  <c r="K34" i="57"/>
  <c r="R34" i="57" s="1"/>
  <c r="S34" i="57" s="1"/>
  <c r="N33" i="57"/>
  <c r="K33" i="57"/>
  <c r="N32" i="57"/>
  <c r="K32" i="57"/>
  <c r="R32" i="57" s="1"/>
  <c r="S32" i="57" s="1"/>
  <c r="N31" i="57"/>
  <c r="K31" i="57"/>
  <c r="N30" i="57"/>
  <c r="K30" i="57"/>
  <c r="N28" i="57"/>
  <c r="K28" i="57"/>
  <c r="N27" i="57"/>
  <c r="K27" i="57"/>
  <c r="R27" i="57" s="1"/>
  <c r="S27" i="57" s="1"/>
  <c r="N26" i="57"/>
  <c r="K26" i="57"/>
  <c r="N25" i="57"/>
  <c r="K25" i="57"/>
  <c r="R25" i="57" s="1"/>
  <c r="S25" i="57" s="1"/>
  <c r="N24" i="57"/>
  <c r="K24" i="57"/>
  <c r="N23" i="57"/>
  <c r="K23" i="57"/>
  <c r="N22" i="57"/>
  <c r="K22" i="57"/>
  <c r="N21" i="57"/>
  <c r="K21" i="57"/>
  <c r="N20" i="57"/>
  <c r="K20" i="57"/>
  <c r="N19" i="57"/>
  <c r="K19" i="57"/>
  <c r="N18" i="57"/>
  <c r="K18" i="57"/>
  <c r="N58" i="56"/>
  <c r="K58" i="56"/>
  <c r="N57" i="56"/>
  <c r="K57" i="56"/>
  <c r="N56" i="56"/>
  <c r="K56" i="56"/>
  <c r="N55" i="56"/>
  <c r="K55" i="56"/>
  <c r="N37" i="56"/>
  <c r="R37" i="56" s="1"/>
  <c r="S37" i="56" s="1"/>
  <c r="N36" i="56"/>
  <c r="R36" i="56" s="1"/>
  <c r="S36" i="56" s="1"/>
  <c r="N35" i="56"/>
  <c r="R35" i="56" s="1"/>
  <c r="S35" i="56" s="1"/>
  <c r="N34" i="56"/>
  <c r="R34" i="56" s="1"/>
  <c r="S34" i="56" s="1"/>
  <c r="N33" i="56"/>
  <c r="N32" i="56"/>
  <c r="N29" i="56"/>
  <c r="N28" i="56"/>
  <c r="R28" i="56" s="1"/>
  <c r="S28" i="56" s="1"/>
  <c r="N27" i="56"/>
  <c r="R27" i="56" s="1"/>
  <c r="S27" i="56" s="1"/>
  <c r="N26" i="56"/>
  <c r="N25" i="56"/>
  <c r="N24" i="56"/>
  <c r="R24" i="56" s="1"/>
  <c r="S24" i="56" s="1"/>
  <c r="N23" i="56"/>
  <c r="R23" i="56" s="1"/>
  <c r="S23" i="56" s="1"/>
  <c r="N22" i="56"/>
  <c r="R22" i="56" s="1"/>
  <c r="S22" i="56" s="1"/>
  <c r="N21" i="56"/>
  <c r="N20" i="56"/>
  <c r="N19" i="56"/>
  <c r="N18" i="56"/>
  <c r="R7" i="55"/>
  <c r="S7" i="55" s="1"/>
  <c r="S5" i="55" s="1"/>
  <c r="R20" i="55"/>
  <c r="S20" i="55" s="1"/>
  <c r="R19" i="55"/>
  <c r="S19" i="55" s="1"/>
  <c r="R18" i="55"/>
  <c r="S18" i="55" s="1"/>
  <c r="S15" i="55" s="1"/>
  <c r="R26" i="55"/>
  <c r="S26" i="55" s="1"/>
  <c r="R23" i="55"/>
  <c r="S23" i="55" s="1"/>
  <c r="S21" i="55" s="1"/>
  <c r="R17" i="55"/>
  <c r="S17" i="55" s="1"/>
  <c r="R16" i="55"/>
  <c r="S16" i="55" s="1"/>
  <c r="S14" i="55" s="1"/>
  <c r="R13" i="55"/>
  <c r="S13" i="55" s="1"/>
  <c r="S11" i="55" s="1"/>
  <c r="R8" i="55"/>
  <c r="S8" i="55" s="1"/>
  <c r="K91" i="43"/>
  <c r="N91" i="43"/>
  <c r="K93" i="43"/>
  <c r="N93" i="43"/>
  <c r="K95" i="43"/>
  <c r="N95" i="43"/>
  <c r="K97" i="43"/>
  <c r="N97" i="43"/>
  <c r="K100" i="43"/>
  <c r="N100" i="43"/>
  <c r="K102" i="43"/>
  <c r="N102" i="43"/>
  <c r="R97" i="43" l="1"/>
  <c r="S97" i="43" s="1"/>
  <c r="R102" i="43"/>
  <c r="S102" i="43" s="1"/>
  <c r="R93" i="43"/>
  <c r="S93" i="43" s="1"/>
  <c r="S24" i="55"/>
  <c r="S25" i="55"/>
  <c r="R95" i="43"/>
  <c r="S95" i="43" s="1"/>
  <c r="R100" i="43"/>
  <c r="S100" i="43" s="1"/>
  <c r="R91" i="43"/>
  <c r="S91" i="43" s="1"/>
  <c r="S88" i="43" s="1"/>
  <c r="R18" i="57"/>
  <c r="S18" i="57" s="1"/>
  <c r="R39" i="57"/>
  <c r="S39" i="57" s="1"/>
  <c r="R37" i="57"/>
  <c r="S37" i="57" s="1"/>
  <c r="R22" i="57"/>
  <c r="R31" i="57"/>
  <c r="S31" i="57" s="1"/>
  <c r="R30" i="57"/>
  <c r="S30" i="57" s="1"/>
  <c r="R36" i="57"/>
  <c r="S36" i="57" s="1"/>
  <c r="R24" i="57"/>
  <c r="S24" i="57" s="1"/>
  <c r="R26" i="57"/>
  <c r="S26" i="57" s="1"/>
  <c r="R33" i="57"/>
  <c r="S33" i="57" s="1"/>
  <c r="R28" i="57"/>
  <c r="S28" i="57" s="1"/>
  <c r="R35" i="57"/>
  <c r="S35" i="57" s="1"/>
  <c r="R23" i="57"/>
  <c r="S23" i="57" s="1"/>
  <c r="R19" i="57"/>
  <c r="S19" i="57" s="1"/>
  <c r="R20" i="57"/>
  <c r="S20" i="57" s="1"/>
  <c r="R21" i="57"/>
  <c r="S21" i="57" s="1"/>
  <c r="R58" i="56"/>
  <c r="S58" i="56" s="1"/>
  <c r="R57" i="56"/>
  <c r="S57" i="56" s="1"/>
  <c r="R19" i="56"/>
  <c r="S19" i="56" s="1"/>
  <c r="R56" i="56"/>
  <c r="S56" i="56" s="1"/>
  <c r="R26" i="56"/>
  <c r="S26" i="56" s="1"/>
  <c r="R33" i="56"/>
  <c r="S33" i="56" s="1"/>
  <c r="R20" i="56"/>
  <c r="S20" i="56" s="1"/>
  <c r="R25" i="56"/>
  <c r="S25" i="56" s="1"/>
  <c r="R32" i="56"/>
  <c r="S32" i="56" s="1"/>
  <c r="R55" i="56"/>
  <c r="S55" i="56" s="1"/>
  <c r="S53" i="56" s="1"/>
  <c r="R21" i="56"/>
  <c r="S21" i="56" s="1"/>
  <c r="R18" i="56"/>
  <c r="S18" i="56" s="1"/>
  <c r="R29" i="56"/>
  <c r="S29" i="56" s="1"/>
  <c r="S22" i="57"/>
  <c r="S16" i="56"/>
  <c r="R11" i="43"/>
  <c r="S11" i="43" s="1"/>
  <c r="S6" i="43" s="1"/>
  <c r="S15" i="56" l="1"/>
  <c r="V188" i="20" l="1"/>
  <c r="V187" i="20"/>
  <c r="V186" i="20"/>
  <c r="V185" i="20"/>
  <c r="S51" i="41"/>
  <c r="E20" i="1" s="1"/>
  <c r="S9" i="41"/>
  <c r="E19" i="1" s="1"/>
  <c r="S9" i="51" l="1"/>
  <c r="S10" i="51"/>
  <c r="S11" i="51"/>
  <c r="S12" i="51"/>
  <c r="S13" i="51"/>
  <c r="S14" i="51"/>
  <c r="S15" i="51"/>
  <c r="S16" i="51"/>
  <c r="S18" i="51"/>
  <c r="S19" i="51"/>
  <c r="S20" i="51"/>
  <c r="S21" i="51"/>
  <c r="S22" i="51"/>
  <c r="S23" i="51"/>
  <c r="S24" i="51"/>
  <c r="S25" i="51"/>
  <c r="S26" i="51"/>
  <c r="S27" i="51"/>
  <c r="S28" i="51"/>
  <c r="S29" i="51"/>
  <c r="S30" i="51"/>
  <c r="S31" i="51"/>
  <c r="S32" i="51"/>
  <c r="S36" i="51"/>
  <c r="S37" i="51"/>
  <c r="S38" i="51"/>
  <c r="S39" i="51"/>
  <c r="S41" i="51"/>
  <c r="S42" i="51"/>
  <c r="S43" i="51"/>
  <c r="S44" i="51"/>
  <c r="S45" i="51"/>
  <c r="S47" i="51"/>
  <c r="S48" i="51"/>
  <c r="S49" i="51"/>
  <c r="S50" i="51"/>
  <c r="S51" i="51"/>
  <c r="S53" i="51"/>
  <c r="S55" i="51"/>
  <c r="S56" i="51"/>
  <c r="S58" i="51"/>
  <c r="S59" i="51"/>
  <c r="S60" i="51"/>
  <c r="S62" i="51"/>
  <c r="S63" i="51"/>
  <c r="S64" i="51"/>
  <c r="S65" i="51"/>
  <c r="S67" i="51"/>
  <c r="S68" i="51"/>
  <c r="S69" i="51"/>
  <c r="S70" i="51"/>
  <c r="S71" i="51"/>
  <c r="S73" i="51"/>
  <c r="S74" i="51"/>
  <c r="S75" i="51"/>
  <c r="S76" i="51"/>
  <c r="S78" i="51"/>
  <c r="S79" i="51"/>
  <c r="S80" i="51"/>
  <c r="S85" i="51"/>
  <c r="S86" i="51"/>
  <c r="S87" i="51"/>
  <c r="S88" i="51"/>
  <c r="S90" i="51"/>
  <c r="S92" i="51"/>
  <c r="S93" i="51"/>
  <c r="S95" i="51"/>
  <c r="S96" i="51"/>
  <c r="S98" i="51"/>
  <c r="S101" i="51"/>
  <c r="S104" i="51"/>
  <c r="S106" i="51"/>
  <c r="S108" i="51"/>
  <c r="S110" i="51"/>
  <c r="S115" i="51"/>
  <c r="S111" i="51" s="1"/>
  <c r="D61" i="1" s="1"/>
  <c r="S116" i="51"/>
  <c r="S117" i="51"/>
  <c r="S119" i="51"/>
  <c r="S120" i="51"/>
  <c r="S122" i="51"/>
  <c r="S123" i="51"/>
  <c r="S124" i="51"/>
  <c r="S126" i="51"/>
  <c r="S131" i="51"/>
  <c r="S132" i="51"/>
  <c r="S133" i="51"/>
  <c r="S134" i="51"/>
  <c r="S135" i="51"/>
  <c r="S136" i="51"/>
  <c r="S138" i="51"/>
  <c r="S140" i="51"/>
  <c r="S142" i="51"/>
  <c r="S144" i="51"/>
  <c r="S146" i="51"/>
  <c r="S148" i="51"/>
  <c r="S149" i="51"/>
  <c r="S150" i="51"/>
  <c r="S152" i="51"/>
  <c r="S153" i="51"/>
  <c r="S155" i="51"/>
  <c r="S156" i="51"/>
  <c r="S157" i="51"/>
  <c r="S158" i="51"/>
  <c r="S161" i="51"/>
  <c r="S162" i="51"/>
  <c r="S164" i="51"/>
  <c r="S165" i="51"/>
  <c r="S166" i="51"/>
  <c r="S167" i="51"/>
  <c r="S169" i="51"/>
  <c r="S170" i="51"/>
  <c r="S172" i="51"/>
  <c r="S173" i="51"/>
  <c r="S174" i="51"/>
  <c r="S175" i="51"/>
  <c r="S176" i="51"/>
  <c r="S177" i="51"/>
  <c r="S178" i="51"/>
  <c r="S171" i="51" s="1"/>
  <c r="S179" i="51"/>
  <c r="S180" i="51"/>
  <c r="S181" i="51"/>
  <c r="S182" i="51"/>
  <c r="S183" i="51"/>
  <c r="S184" i="51"/>
  <c r="S185" i="51"/>
  <c r="S186" i="51"/>
  <c r="S188" i="51"/>
  <c r="S189" i="51"/>
  <c r="S190" i="51"/>
  <c r="S191" i="51"/>
  <c r="S192" i="51"/>
  <c r="S193" i="51"/>
  <c r="S195" i="51"/>
  <c r="E63" i="1" s="1"/>
  <c r="S198" i="51"/>
  <c r="S199" i="51"/>
  <c r="S200" i="51"/>
  <c r="S201" i="51"/>
  <c r="S202" i="51"/>
  <c r="S203" i="51"/>
  <c r="S204" i="51"/>
  <c r="S205" i="51"/>
  <c r="S206" i="51"/>
  <c r="S207" i="51"/>
  <c r="S208" i="51"/>
  <c r="S209" i="51"/>
  <c r="S210" i="51"/>
  <c r="S211" i="51"/>
  <c r="S212" i="51"/>
  <c r="S213" i="51"/>
  <c r="S214" i="51"/>
  <c r="S215" i="51"/>
  <c r="S216" i="51"/>
  <c r="S217" i="51"/>
  <c r="S218" i="51"/>
  <c r="S220" i="51"/>
  <c r="S221" i="51"/>
  <c r="S222" i="51"/>
  <c r="S223" i="51"/>
  <c r="S224" i="51"/>
  <c r="S225" i="51"/>
  <c r="S226" i="51"/>
  <c r="S227" i="51"/>
  <c r="S228" i="51"/>
  <c r="S229" i="51"/>
  <c r="S230" i="51"/>
  <c r="S231" i="51"/>
  <c r="S232" i="51"/>
  <c r="S233" i="51"/>
  <c r="S234" i="51"/>
  <c r="S235" i="51"/>
  <c r="S236" i="51"/>
  <c r="S237" i="51"/>
  <c r="S238" i="51"/>
  <c r="S239" i="51"/>
  <c r="S240" i="51"/>
  <c r="S242" i="51"/>
  <c r="S243" i="51"/>
  <c r="S244" i="51"/>
  <c r="S245" i="51"/>
  <c r="S246" i="51"/>
  <c r="S247" i="51"/>
  <c r="S248" i="51"/>
  <c r="S249" i="51"/>
  <c r="S250" i="51"/>
  <c r="S251" i="51"/>
  <c r="S252" i="51"/>
  <c r="S253" i="51"/>
  <c r="S255" i="51"/>
  <c r="S256" i="51"/>
  <c r="S257" i="51"/>
  <c r="S258" i="51"/>
  <c r="S259" i="51"/>
  <c r="S260" i="51"/>
  <c r="S261" i="51"/>
  <c r="S262" i="51"/>
  <c r="S263" i="51"/>
  <c r="S264" i="51"/>
  <c r="S265" i="51"/>
  <c r="S266" i="51"/>
  <c r="S267" i="51"/>
  <c r="S187" i="51" l="1"/>
  <c r="S194" i="51"/>
  <c r="D63" i="1" s="1"/>
  <c r="S33" i="51"/>
  <c r="D59" i="1" s="1"/>
  <c r="S112" i="51"/>
  <c r="E61" i="1" s="1"/>
  <c r="S81" i="51"/>
  <c r="D60" i="1" s="1"/>
  <c r="S128" i="51"/>
  <c r="E62" i="1" s="1"/>
  <c r="S127" i="51"/>
  <c r="D62" i="1" s="1"/>
  <c r="S82" i="51"/>
  <c r="E60" i="1" s="1"/>
  <c r="S34" i="51"/>
  <c r="E59" i="1" s="1"/>
  <c r="S7" i="51"/>
  <c r="E58" i="1" s="1"/>
  <c r="S6" i="51"/>
  <c r="D58" i="1" s="1"/>
  <c r="V192" i="20" l="1"/>
  <c r="E42" i="1" s="1"/>
  <c r="V183" i="20" l="1"/>
  <c r="V182" i="20"/>
  <c r="V181" i="20"/>
  <c r="V180" i="20"/>
  <c r="V179" i="20"/>
  <c r="V177" i="20"/>
  <c r="V176" i="20"/>
  <c r="V175" i="20"/>
  <c r="V174" i="20"/>
  <c r="V173" i="20"/>
  <c r="V171" i="20"/>
  <c r="V170" i="20"/>
  <c r="V169" i="20"/>
  <c r="V168" i="20"/>
  <c r="V167" i="20"/>
  <c r="V166" i="20"/>
  <c r="V165" i="20"/>
  <c r="V164" i="20"/>
  <c r="V163" i="20"/>
  <c r="V162" i="20"/>
  <c r="V161" i="20"/>
  <c r="V160" i="20"/>
  <c r="V159" i="20"/>
  <c r="V158" i="20"/>
  <c r="V156" i="20"/>
  <c r="V155" i="20"/>
  <c r="V154" i="20"/>
  <c r="V153" i="20"/>
  <c r="V152" i="20"/>
  <c r="V151" i="20"/>
  <c r="V149" i="20"/>
  <c r="V148" i="20"/>
  <c r="V147" i="20"/>
  <c r="V146" i="20"/>
  <c r="V145" i="20"/>
  <c r="V144" i="20"/>
  <c r="V143" i="20"/>
  <c r="V142" i="20"/>
  <c r="V141" i="20"/>
  <c r="V140" i="20"/>
  <c r="V139" i="20"/>
  <c r="V138" i="20"/>
  <c r="V137" i="20"/>
  <c r="V136" i="20"/>
  <c r="V135" i="20"/>
  <c r="V134" i="20"/>
  <c r="S12" i="50"/>
  <c r="S11" i="50"/>
  <c r="S10" i="50"/>
  <c r="S9" i="50"/>
  <c r="S6" i="50" l="1"/>
  <c r="S7" i="50"/>
  <c r="J75" i="21"/>
  <c r="J74" i="21"/>
  <c r="J73" i="21"/>
  <c r="J72" i="21"/>
  <c r="J71" i="21"/>
  <c r="J70" i="21"/>
  <c r="J69" i="21"/>
  <c r="J68" i="21"/>
  <c r="J67" i="21"/>
  <c r="J66" i="21"/>
  <c r="J65" i="21"/>
  <c r="J64" i="21"/>
  <c r="J63" i="21"/>
  <c r="J62" i="21"/>
  <c r="J61" i="21"/>
  <c r="J60" i="21"/>
  <c r="J59" i="21"/>
  <c r="J58" i="21"/>
  <c r="J57" i="21"/>
  <c r="J56" i="21"/>
  <c r="J55" i="21"/>
  <c r="J54" i="21"/>
  <c r="J53" i="21"/>
  <c r="J52" i="21"/>
  <c r="J51" i="21"/>
  <c r="J50" i="21"/>
  <c r="J49" i="21"/>
  <c r="J48" i="21"/>
  <c r="J47" i="21"/>
  <c r="J46" i="21"/>
  <c r="J45" i="21"/>
  <c r="J44" i="21"/>
  <c r="J43" i="21"/>
  <c r="J42" i="21"/>
  <c r="J41" i="21"/>
  <c r="J40" i="21"/>
  <c r="J39" i="21"/>
  <c r="J38" i="21"/>
  <c r="J37" i="21"/>
  <c r="J36" i="21"/>
  <c r="J35" i="21"/>
  <c r="J34" i="21"/>
  <c r="J33" i="21"/>
  <c r="J32" i="21"/>
  <c r="J31" i="21"/>
  <c r="J30" i="21"/>
  <c r="J29" i="21"/>
  <c r="J28" i="21"/>
  <c r="J27" i="21"/>
  <c r="J26" i="21"/>
  <c r="J25" i="21"/>
  <c r="J24" i="21"/>
  <c r="J23" i="21"/>
  <c r="J22" i="21"/>
  <c r="J21" i="21"/>
  <c r="J20" i="21"/>
  <c r="J19" i="21"/>
  <c r="J17" i="21"/>
  <c r="J16" i="21"/>
  <c r="J15" i="21"/>
  <c r="J14" i="21"/>
  <c r="J13" i="21"/>
  <c r="J12" i="21"/>
  <c r="J11" i="21"/>
  <c r="J10" i="21"/>
  <c r="J9" i="21"/>
  <c r="J236" i="9"/>
  <c r="J235" i="9"/>
  <c r="J234" i="9"/>
  <c r="J233" i="9"/>
  <c r="J232" i="9"/>
  <c r="J231" i="9"/>
  <c r="J230" i="9"/>
  <c r="J229" i="9"/>
  <c r="J228" i="9"/>
  <c r="J227" i="9"/>
  <c r="J226" i="9"/>
  <c r="J225" i="9"/>
  <c r="J224" i="9"/>
  <c r="J222" i="9"/>
  <c r="J221" i="9"/>
  <c r="J220" i="9"/>
  <c r="J219" i="9"/>
  <c r="J218" i="9"/>
  <c r="J217" i="9"/>
  <c r="J216" i="9"/>
  <c r="J215" i="9"/>
  <c r="J214" i="9"/>
  <c r="J213" i="9"/>
  <c r="J212" i="9"/>
  <c r="J211" i="9"/>
  <c r="J209" i="9"/>
  <c r="J208" i="9"/>
  <c r="J207" i="9"/>
  <c r="J206" i="9"/>
  <c r="J205" i="9"/>
  <c r="J204" i="9"/>
  <c r="J203" i="9"/>
  <c r="J202" i="9"/>
  <c r="J201" i="9"/>
  <c r="J200" i="9"/>
  <c r="J199" i="9"/>
  <c r="J198" i="9"/>
  <c r="J197" i="9"/>
  <c r="J196" i="9"/>
  <c r="J195" i="9"/>
  <c r="J194" i="9"/>
  <c r="J193" i="9"/>
  <c r="J192" i="9"/>
  <c r="J191" i="9"/>
  <c r="J190" i="9"/>
  <c r="J189" i="9"/>
  <c r="J187" i="9"/>
  <c r="J186" i="9"/>
  <c r="J185" i="9"/>
  <c r="J184" i="9"/>
  <c r="J183" i="9"/>
  <c r="J182" i="9"/>
  <c r="J181" i="9"/>
  <c r="J180" i="9"/>
  <c r="J179" i="9"/>
  <c r="J178" i="9"/>
  <c r="J177" i="9"/>
  <c r="J176" i="9"/>
  <c r="J175" i="9"/>
  <c r="J174" i="9"/>
  <c r="J173" i="9"/>
  <c r="J172" i="9"/>
  <c r="J171" i="9"/>
  <c r="J170" i="9"/>
  <c r="J169" i="9"/>
  <c r="J168" i="9"/>
  <c r="J167" i="9"/>
  <c r="J162" i="9"/>
  <c r="J160" i="9"/>
  <c r="J159" i="9"/>
  <c r="J158" i="9"/>
  <c r="J157" i="9"/>
  <c r="J155" i="9"/>
  <c r="J154" i="9"/>
  <c r="J151" i="9"/>
  <c r="J150" i="9"/>
  <c r="J149" i="9"/>
  <c r="J148" i="9"/>
  <c r="J146" i="9"/>
  <c r="J145" i="9"/>
  <c r="J143" i="9"/>
  <c r="J142" i="9"/>
  <c r="J141" i="9"/>
  <c r="J139" i="9"/>
  <c r="J137" i="9"/>
  <c r="J135" i="9"/>
  <c r="J133" i="9"/>
  <c r="J131" i="9"/>
  <c r="J129" i="9"/>
  <c r="J128" i="9"/>
  <c r="J127" i="9"/>
  <c r="J126" i="9"/>
  <c r="J125" i="9"/>
  <c r="J124" i="9"/>
  <c r="J121" i="9"/>
  <c r="J119" i="9"/>
  <c r="J117" i="9"/>
  <c r="J115" i="9"/>
  <c r="J112" i="9"/>
  <c r="J109" i="9"/>
  <c r="J107" i="9"/>
  <c r="J106" i="9"/>
  <c r="J105" i="9"/>
  <c r="J103" i="9"/>
  <c r="J102" i="9"/>
  <c r="J100" i="9"/>
  <c r="J99" i="9"/>
  <c r="J98" i="9"/>
  <c r="J95" i="9"/>
  <c r="J93" i="9"/>
  <c r="J92" i="9"/>
  <c r="J90" i="9"/>
  <c r="J89" i="9"/>
  <c r="J87" i="9"/>
  <c r="J85" i="9"/>
  <c r="J84" i="9"/>
  <c r="J83" i="9"/>
  <c r="J82" i="9"/>
  <c r="J79" i="9"/>
  <c r="J78" i="9"/>
  <c r="J77" i="9"/>
  <c r="J75" i="9"/>
  <c r="J74" i="9"/>
  <c r="J73" i="9"/>
  <c r="J72" i="9"/>
  <c r="J70" i="9"/>
  <c r="J69" i="9"/>
  <c r="J68" i="9"/>
  <c r="J67" i="9"/>
  <c r="J66" i="9"/>
  <c r="J64" i="9"/>
  <c r="J63" i="9"/>
  <c r="J62" i="9"/>
  <c r="J61" i="9"/>
  <c r="J59" i="9"/>
  <c r="J58" i="9"/>
  <c r="J57" i="9"/>
  <c r="J55" i="9"/>
  <c r="J54" i="9"/>
  <c r="J52" i="9"/>
  <c r="J50" i="9"/>
  <c r="J49" i="9"/>
  <c r="J48" i="9"/>
  <c r="J47" i="9"/>
  <c r="J46" i="9"/>
  <c r="J44" i="9"/>
  <c r="J43" i="9"/>
  <c r="J42" i="9"/>
  <c r="J41" i="9"/>
  <c r="J40" i="9"/>
  <c r="J38" i="9"/>
  <c r="J37" i="9"/>
  <c r="J5" i="9" s="1"/>
  <c r="J36" i="9"/>
  <c r="J35" i="9"/>
  <c r="J32" i="9"/>
  <c r="J31" i="9"/>
  <c r="J30" i="9"/>
  <c r="J29" i="9"/>
  <c r="J28" i="9"/>
  <c r="J27" i="9"/>
  <c r="J26" i="9"/>
  <c r="J25" i="9"/>
  <c r="J24" i="9"/>
  <c r="J23" i="9"/>
  <c r="J22" i="9"/>
  <c r="J21" i="9"/>
  <c r="J20" i="9"/>
  <c r="J19" i="9"/>
  <c r="J18" i="9"/>
  <c r="J16" i="9"/>
  <c r="J15" i="9"/>
  <c r="J14" i="9"/>
  <c r="J13" i="9"/>
  <c r="J12" i="9"/>
  <c r="J11" i="9"/>
  <c r="J10" i="9"/>
  <c r="J9" i="9"/>
  <c r="J6" i="9"/>
  <c r="N31" i="34"/>
  <c r="K31" i="34"/>
  <c r="N30" i="34"/>
  <c r="K30" i="34"/>
  <c r="N29" i="34"/>
  <c r="K29" i="34"/>
  <c r="N28" i="34"/>
  <c r="K28" i="34"/>
  <c r="N27" i="34"/>
  <c r="K27" i="34"/>
  <c r="N26" i="34"/>
  <c r="K26" i="34"/>
  <c r="N25" i="34"/>
  <c r="K25" i="34"/>
  <c r="N24" i="34"/>
  <c r="K24" i="34"/>
  <c r="N23" i="34"/>
  <c r="K23" i="34"/>
  <c r="N18" i="34"/>
  <c r="N19" i="34"/>
  <c r="K18" i="34"/>
  <c r="K19" i="34"/>
  <c r="S7" i="48"/>
  <c r="S6" i="48"/>
  <c r="N53" i="35"/>
  <c r="N52" i="35"/>
  <c r="N51" i="35"/>
  <c r="N50" i="35"/>
  <c r="N49" i="35"/>
  <c r="N48" i="35"/>
  <c r="N57" i="35"/>
  <c r="N56" i="35"/>
  <c r="N28" i="35"/>
  <c r="N29" i="35"/>
  <c r="N32" i="35"/>
  <c r="N33" i="35"/>
  <c r="N34" i="35"/>
  <c r="N35" i="35"/>
  <c r="N36" i="35"/>
  <c r="N37" i="35"/>
  <c r="N38" i="35"/>
  <c r="N39" i="35"/>
  <c r="N40" i="35"/>
  <c r="N41" i="35"/>
  <c r="N42" i="35"/>
  <c r="N43" i="35"/>
  <c r="N44" i="35"/>
  <c r="N45" i="35"/>
  <c r="N46" i="35"/>
  <c r="K49" i="35"/>
  <c r="K50" i="35"/>
  <c r="K51" i="35"/>
  <c r="K52" i="35"/>
  <c r="K53" i="35"/>
  <c r="K48" i="35"/>
  <c r="K56" i="35"/>
  <c r="K57" i="35"/>
  <c r="K28" i="35"/>
  <c r="K29" i="35"/>
  <c r="K32" i="35"/>
  <c r="K33" i="35"/>
  <c r="K34" i="35"/>
  <c r="K35" i="35"/>
  <c r="K36" i="35"/>
  <c r="K37" i="35"/>
  <c r="K38" i="35"/>
  <c r="K39" i="35"/>
  <c r="K40" i="35"/>
  <c r="K41" i="35"/>
  <c r="K42" i="35"/>
  <c r="K43" i="35"/>
  <c r="K44" i="35"/>
  <c r="K45" i="35"/>
  <c r="K46" i="35"/>
  <c r="N9" i="25"/>
  <c r="K9" i="25"/>
  <c r="E69" i="1" l="1"/>
  <c r="G14" i="32"/>
  <c r="D69" i="1"/>
  <c r="F14" i="32"/>
  <c r="R9" i="25"/>
  <c r="S9" i="25" s="1"/>
  <c r="R35" i="35"/>
  <c r="R57" i="35"/>
  <c r="R41" i="35"/>
  <c r="R56" i="35"/>
  <c r="R49" i="35"/>
  <c r="R50" i="35"/>
  <c r="R48" i="35"/>
  <c r="R52" i="35"/>
  <c r="R46" i="35"/>
  <c r="R38" i="35"/>
  <c r="R37" i="35"/>
  <c r="R36" i="35"/>
  <c r="R19" i="34"/>
  <c r="S19" i="34" s="1"/>
  <c r="R18" i="34"/>
  <c r="S18" i="34" s="1"/>
  <c r="S16" i="34" s="1"/>
  <c r="R24" i="34"/>
  <c r="S24" i="34" s="1"/>
  <c r="R25" i="34"/>
  <c r="S25" i="34" s="1"/>
  <c r="R27" i="34"/>
  <c r="S27" i="34" s="1"/>
  <c r="R30" i="34"/>
  <c r="S30" i="34" s="1"/>
  <c r="R31" i="34"/>
  <c r="S31" i="34" s="1"/>
  <c r="R45" i="35"/>
  <c r="R34" i="35"/>
  <c r="R33" i="35"/>
  <c r="R43" i="35"/>
  <c r="R32" i="35"/>
  <c r="R44" i="35"/>
  <c r="R51" i="35"/>
  <c r="R29" i="35"/>
  <c r="R53" i="35"/>
  <c r="R39" i="35"/>
  <c r="R42" i="35"/>
  <c r="R28" i="35"/>
  <c r="R40" i="35"/>
  <c r="R23" i="34"/>
  <c r="S23" i="34" s="1"/>
  <c r="S20" i="34" s="1"/>
  <c r="R29" i="34"/>
  <c r="S29" i="34" s="1"/>
  <c r="R28" i="34"/>
  <c r="S28" i="34" s="1"/>
  <c r="R26" i="34"/>
  <c r="S26" i="34" s="1"/>
  <c r="S30" i="43"/>
  <c r="S14" i="45"/>
  <c r="S87" i="43"/>
  <c r="S86" i="43"/>
  <c r="S85" i="43"/>
  <c r="S84" i="43"/>
  <c r="S83" i="43"/>
  <c r="S82" i="43"/>
  <c r="S81" i="43"/>
  <c r="S76" i="43"/>
  <c r="S78" i="43"/>
  <c r="S75" i="43" s="1"/>
  <c r="S66" i="43"/>
  <c r="S65" i="43"/>
  <c r="S64" i="43"/>
  <c r="S63" i="43"/>
  <c r="S58" i="43" s="1"/>
  <c r="S53" i="43"/>
  <c r="S51" i="43"/>
  <c r="S49" i="43"/>
  <c r="S47" i="43"/>
  <c r="S43" i="43"/>
  <c r="S37" i="43" s="1"/>
  <c r="S6" i="45" l="1"/>
  <c r="S7" i="45"/>
  <c r="S27" i="47" l="1"/>
  <c r="S30" i="47"/>
  <c r="S29" i="47"/>
  <c r="S28" i="47"/>
  <c r="S24" i="47"/>
  <c r="S23" i="47"/>
  <c r="S20" i="47"/>
  <c r="S17" i="47"/>
  <c r="S14" i="47"/>
  <c r="S11" i="47"/>
  <c r="S8" i="47"/>
  <c r="S22" i="46"/>
  <c r="S21" i="46"/>
  <c r="S18" i="46"/>
  <c r="S17" i="46"/>
  <c r="S14" i="46"/>
  <c r="S15" i="45"/>
  <c r="S28" i="43"/>
  <c r="S27" i="43"/>
  <c r="S26" i="43"/>
  <c r="S19" i="43"/>
  <c r="S16" i="43"/>
  <c r="S15" i="43"/>
  <c r="S14" i="43"/>
  <c r="S13" i="43" s="1"/>
  <c r="S13" i="49" l="1"/>
  <c r="S12" i="49"/>
  <c r="S11" i="49"/>
  <c r="S10" i="49"/>
  <c r="S9" i="49"/>
  <c r="E70" i="1"/>
  <c r="S6" i="49" l="1"/>
  <c r="F16" i="32" s="1"/>
  <c r="B66" i="1"/>
  <c r="J164" i="9"/>
  <c r="B67" i="1"/>
  <c r="E67" i="1"/>
  <c r="D67" i="1"/>
  <c r="S25" i="47"/>
  <c r="S26" i="47"/>
  <c r="S21" i="47"/>
  <c r="S22" i="47"/>
  <c r="S19" i="47"/>
  <c r="S18" i="47"/>
  <c r="S16" i="47"/>
  <c r="S15" i="47"/>
  <c r="S12" i="47"/>
  <c r="S13" i="47"/>
  <c r="S9" i="47"/>
  <c r="S10" i="47"/>
  <c r="S6" i="47"/>
  <c r="S7" i="47"/>
  <c r="S20" i="46"/>
  <c r="S19" i="46"/>
  <c r="S15" i="46"/>
  <c r="S16" i="46"/>
  <c r="S11" i="46"/>
  <c r="S8" i="46"/>
  <c r="S9" i="46"/>
  <c r="S6" i="46"/>
  <c r="D64" i="1" s="1"/>
  <c r="S19" i="45"/>
  <c r="D53" i="1" s="1"/>
  <c r="D70" i="1" l="1"/>
  <c r="S24" i="46"/>
  <c r="F15" i="32" s="1"/>
  <c r="D65" i="1"/>
  <c r="S12" i="46"/>
  <c r="S25" i="46" s="1"/>
  <c r="S20" i="45"/>
  <c r="E53" i="1" s="1"/>
  <c r="S32" i="47"/>
  <c r="S31" i="47"/>
  <c r="E65" i="1" l="1"/>
  <c r="G15" i="32"/>
  <c r="K23" i="7"/>
  <c r="K22" i="7"/>
  <c r="K21" i="7"/>
  <c r="K20" i="7"/>
  <c r="K19" i="7"/>
  <c r="K18" i="7"/>
  <c r="K17" i="7"/>
  <c r="K16" i="7"/>
  <c r="K15" i="7"/>
  <c r="K14" i="7"/>
  <c r="K13" i="7"/>
  <c r="K12" i="7"/>
  <c r="E47" i="1" l="1"/>
  <c r="D47" i="1"/>
  <c r="S24" i="43"/>
  <c r="S25" i="43"/>
  <c r="E54" i="1" l="1"/>
  <c r="S31" i="43"/>
  <c r="S23" i="43"/>
  <c r="E57" i="1" s="1"/>
  <c r="S22" i="43"/>
  <c r="S29" i="43"/>
  <c r="S20" i="43"/>
  <c r="S21" i="43"/>
  <c r="S18" i="43" l="1"/>
  <c r="S107" i="43" s="1"/>
  <c r="G8" i="32" s="1"/>
  <c r="D57" i="1"/>
  <c r="S17" i="43"/>
  <c r="E38" i="1"/>
  <c r="E34" i="1" s="1"/>
  <c r="D38" i="1"/>
  <c r="C8" i="28"/>
  <c r="N11" i="25"/>
  <c r="K11" i="25"/>
  <c r="R11" i="25" s="1"/>
  <c r="S106" i="43" l="1"/>
  <c r="F8" i="32" s="1"/>
  <c r="S11" i="25"/>
  <c r="E25" i="1"/>
  <c r="D25" i="1"/>
  <c r="D27" i="1" l="1"/>
  <c r="S92" i="41"/>
  <c r="S119" i="41" l="1"/>
  <c r="E250" i="36"/>
  <c r="E249" i="36"/>
  <c r="E248" i="36"/>
  <c r="E247" i="36"/>
  <c r="E246" i="36"/>
  <c r="E245" i="36"/>
  <c r="E244" i="36"/>
  <c r="E243" i="36"/>
  <c r="E242" i="36"/>
  <c r="E241" i="36"/>
  <c r="E240" i="36"/>
  <c r="E239" i="36"/>
  <c r="E238" i="36"/>
  <c r="E237" i="36"/>
  <c r="E236" i="36"/>
  <c r="E235" i="36"/>
  <c r="E234" i="36"/>
  <c r="E233" i="36"/>
  <c r="E247" i="37"/>
  <c r="E246" i="37"/>
  <c r="E245" i="37"/>
  <c r="E244" i="37"/>
  <c r="E243" i="37"/>
  <c r="E242" i="37"/>
  <c r="E241" i="37"/>
  <c r="E240" i="37"/>
  <c r="E239" i="37"/>
  <c r="E238" i="37"/>
  <c r="E237" i="37"/>
  <c r="E236" i="37"/>
  <c r="E235" i="37"/>
  <c r="E234" i="37"/>
  <c r="E233" i="37"/>
  <c r="E232" i="37"/>
  <c r="E231" i="37"/>
  <c r="E230" i="37"/>
  <c r="E225" i="37"/>
  <c r="E224" i="37"/>
  <c r="E223" i="37"/>
  <c r="E222" i="37"/>
  <c r="E221" i="37"/>
  <c r="E220" i="37"/>
  <c r="E219" i="37"/>
  <c r="E218" i="37"/>
  <c r="E217" i="37"/>
  <c r="E216" i="37"/>
  <c r="E215" i="37"/>
  <c r="E214" i="37"/>
  <c r="E213" i="37"/>
  <c r="E212" i="37"/>
  <c r="E211" i="37"/>
  <c r="E210" i="37"/>
  <c r="E209" i="37"/>
  <c r="E208" i="37"/>
  <c r="E207" i="37"/>
  <c r="E206" i="37"/>
  <c r="E205" i="37"/>
  <c r="E204" i="37"/>
  <c r="E203" i="37"/>
  <c r="E202" i="37"/>
  <c r="E201" i="37"/>
  <c r="E200" i="37"/>
  <c r="E199" i="37"/>
  <c r="E198" i="37"/>
  <c r="E197" i="37"/>
  <c r="E196" i="37"/>
  <c r="E195" i="37"/>
  <c r="E194" i="37"/>
  <c r="E192" i="37"/>
  <c r="E191" i="37"/>
  <c r="E190" i="37"/>
  <c r="E189" i="37"/>
  <c r="E188" i="37"/>
  <c r="E187" i="37"/>
  <c r="E186" i="37"/>
  <c r="E185" i="37"/>
  <c r="E184" i="37"/>
  <c r="E183" i="37"/>
  <c r="E182" i="37"/>
  <c r="E181" i="37"/>
  <c r="E180" i="37"/>
  <c r="E179" i="37"/>
  <c r="E178" i="37"/>
  <c r="E177" i="37"/>
  <c r="E176" i="37"/>
  <c r="E175" i="37"/>
  <c r="E174" i="37"/>
  <c r="E173" i="37"/>
  <c r="E172" i="37"/>
  <c r="E171" i="37"/>
  <c r="E170" i="37"/>
  <c r="E169" i="37"/>
  <c r="E168" i="37"/>
  <c r="E167" i="37"/>
  <c r="E166" i="37"/>
  <c r="E165" i="37"/>
  <c r="E164" i="37"/>
  <c r="E163" i="37"/>
  <c r="E162" i="37"/>
  <c r="E161" i="37"/>
  <c r="E160" i="37"/>
  <c r="E159" i="37"/>
  <c r="E158" i="37"/>
  <c r="E157" i="37"/>
  <c r="E156" i="37"/>
  <c r="E155" i="37"/>
  <c r="E154" i="37"/>
  <c r="E153" i="37"/>
  <c r="E152" i="37"/>
  <c r="E151" i="37"/>
  <c r="E150" i="37"/>
  <c r="E149" i="37"/>
  <c r="E148" i="37"/>
  <c r="E147" i="37"/>
  <c r="E146" i="37"/>
  <c r="E145" i="37"/>
  <c r="E144" i="37"/>
  <c r="E143" i="37"/>
  <c r="E142" i="37"/>
  <c r="E141" i="37"/>
  <c r="E140" i="37"/>
  <c r="E139" i="37"/>
  <c r="E138" i="37"/>
  <c r="E137" i="37"/>
  <c r="E136" i="37"/>
  <c r="E135" i="37"/>
  <c r="E134" i="37"/>
  <c r="E133" i="37"/>
  <c r="E132" i="37"/>
  <c r="E131" i="37"/>
  <c r="E130" i="37"/>
  <c r="E129" i="37"/>
  <c r="E128" i="37"/>
  <c r="E127" i="37"/>
  <c r="E126" i="37"/>
  <c r="E125" i="37"/>
  <c r="E124" i="37"/>
  <c r="E123" i="37"/>
  <c r="E122" i="37"/>
  <c r="E121" i="37"/>
  <c r="E120" i="37"/>
  <c r="E119" i="37"/>
  <c r="E118" i="37"/>
  <c r="E117" i="37"/>
  <c r="E116" i="37"/>
  <c r="E115" i="37"/>
  <c r="E114" i="37"/>
  <c r="E113" i="37"/>
  <c r="E112" i="37"/>
  <c r="E111" i="37"/>
  <c r="E110" i="37"/>
  <c r="E109" i="37"/>
  <c r="E108" i="37"/>
  <c r="E107" i="37"/>
  <c r="E106" i="37"/>
  <c r="E105" i="37"/>
  <c r="E104" i="37"/>
  <c r="E103" i="37"/>
  <c r="E102" i="37"/>
  <c r="E101" i="37"/>
  <c r="E100" i="37"/>
  <c r="E99" i="37"/>
  <c r="E98" i="37"/>
  <c r="E97" i="37"/>
  <c r="E96" i="37"/>
  <c r="E95" i="37"/>
  <c r="E94" i="37"/>
  <c r="E93" i="37"/>
  <c r="E92" i="37"/>
  <c r="E91" i="37"/>
  <c r="E90" i="37"/>
  <c r="E89" i="37"/>
  <c r="E88" i="37"/>
  <c r="E87" i="37"/>
  <c r="E86" i="37"/>
  <c r="E85" i="37"/>
  <c r="E84" i="37"/>
  <c r="E83" i="37"/>
  <c r="E82" i="37"/>
  <c r="E81" i="37"/>
  <c r="E80" i="37"/>
  <c r="E79" i="37"/>
  <c r="E78" i="37"/>
  <c r="E77" i="37"/>
  <c r="E76" i="37"/>
  <c r="E75" i="37"/>
  <c r="E74" i="37"/>
  <c r="E73" i="37"/>
  <c r="E72" i="37"/>
  <c r="E71" i="37"/>
  <c r="E70" i="37"/>
  <c r="E69" i="37"/>
  <c r="E68" i="37"/>
  <c r="E67" i="37"/>
  <c r="E66" i="37"/>
  <c r="E65" i="37"/>
  <c r="E64" i="37"/>
  <c r="E63" i="37"/>
  <c r="E62" i="37"/>
  <c r="E61" i="37"/>
  <c r="E60" i="37"/>
  <c r="E59" i="37"/>
  <c r="E58" i="37"/>
  <c r="E57" i="37"/>
  <c r="E56" i="37"/>
  <c r="E55" i="37"/>
  <c r="E54" i="37"/>
  <c r="E53" i="37"/>
  <c r="E52" i="37"/>
  <c r="E51" i="37"/>
  <c r="E50" i="37"/>
  <c r="E49" i="37"/>
  <c r="E48" i="37"/>
  <c r="E47" i="37"/>
  <c r="E46" i="37"/>
  <c r="E45" i="37"/>
  <c r="E44" i="37"/>
  <c r="E43" i="37"/>
  <c r="E42" i="37"/>
  <c r="E41" i="37"/>
  <c r="E40" i="37"/>
  <c r="E39" i="37"/>
  <c r="E38" i="37"/>
  <c r="E37" i="37"/>
  <c r="E36" i="37"/>
  <c r="E35" i="37"/>
  <c r="E34" i="37"/>
  <c r="E33" i="37"/>
  <c r="E32" i="37"/>
  <c r="E31" i="37"/>
  <c r="E30" i="37"/>
  <c r="E29" i="37"/>
  <c r="E28" i="37"/>
  <c r="E27" i="37"/>
  <c r="E26" i="37"/>
  <c r="E25" i="37"/>
  <c r="E24" i="37"/>
  <c r="E23" i="37"/>
  <c r="E22" i="37"/>
  <c r="E21" i="37"/>
  <c r="E20" i="37"/>
  <c r="E19" i="37"/>
  <c r="E18" i="37"/>
  <c r="E17" i="37"/>
  <c r="E16" i="37"/>
  <c r="E15" i="37"/>
  <c r="E14" i="37"/>
  <c r="E13" i="37"/>
  <c r="E12" i="37"/>
  <c r="E11" i="37"/>
  <c r="E10" i="37"/>
  <c r="E9" i="37"/>
  <c r="E8" i="37"/>
  <c r="E7" i="37"/>
  <c r="E6" i="37"/>
  <c r="E5" i="37"/>
  <c r="E4" i="37"/>
  <c r="E228" i="36"/>
  <c r="E227" i="36"/>
  <c r="E226" i="36"/>
  <c r="E225" i="36"/>
  <c r="E224" i="36"/>
  <c r="E223" i="36"/>
  <c r="E222" i="36"/>
  <c r="E221" i="36"/>
  <c r="E220" i="36"/>
  <c r="E219" i="36"/>
  <c r="E218" i="36"/>
  <c r="E217" i="36"/>
  <c r="E216" i="36"/>
  <c r="E215" i="36"/>
  <c r="E214" i="36"/>
  <c r="E213" i="36"/>
  <c r="E212" i="36"/>
  <c r="E211" i="36"/>
  <c r="E210" i="36"/>
  <c r="E209" i="36"/>
  <c r="E208" i="36"/>
  <c r="E207" i="36"/>
  <c r="E206" i="36"/>
  <c r="E205" i="36"/>
  <c r="E204" i="36"/>
  <c r="E203" i="36"/>
  <c r="E202" i="36"/>
  <c r="E201" i="36"/>
  <c r="E200" i="36"/>
  <c r="E199" i="36"/>
  <c r="E198" i="36"/>
  <c r="E197" i="36"/>
  <c r="E196" i="36"/>
  <c r="E195" i="36"/>
  <c r="E194" i="36"/>
  <c r="E193" i="36"/>
  <c r="E192" i="36"/>
  <c r="E191" i="36"/>
  <c r="E190" i="36"/>
  <c r="E189" i="36"/>
  <c r="E188" i="36"/>
  <c r="E187" i="36"/>
  <c r="E186" i="36"/>
  <c r="E185" i="36"/>
  <c r="E184" i="36"/>
  <c r="E183" i="36"/>
  <c r="E182" i="36"/>
  <c r="E181" i="36"/>
  <c r="E180" i="36"/>
  <c r="E179" i="36"/>
  <c r="E178" i="36"/>
  <c r="E177" i="36"/>
  <c r="E176" i="36"/>
  <c r="E175" i="36"/>
  <c r="E174" i="36"/>
  <c r="E173" i="36"/>
  <c r="E172" i="36"/>
  <c r="E171" i="36"/>
  <c r="E170" i="36"/>
  <c r="E169" i="36"/>
  <c r="E168" i="36"/>
  <c r="E167" i="36"/>
  <c r="E166" i="36"/>
  <c r="E165" i="36"/>
  <c r="E164" i="36"/>
  <c r="E163" i="36"/>
  <c r="E162" i="36"/>
  <c r="E161" i="36"/>
  <c r="E160" i="36"/>
  <c r="E159" i="36"/>
  <c r="E158" i="36"/>
  <c r="E157" i="36"/>
  <c r="E156" i="36"/>
  <c r="E155" i="36"/>
  <c r="E154" i="36"/>
  <c r="E153" i="36"/>
  <c r="E152" i="36"/>
  <c r="E151" i="36"/>
  <c r="E150" i="36"/>
  <c r="E149" i="36"/>
  <c r="E148" i="36"/>
  <c r="E147" i="36"/>
  <c r="E146" i="36"/>
  <c r="E145" i="36"/>
  <c r="E144" i="36"/>
  <c r="E143" i="36"/>
  <c r="E142" i="36"/>
  <c r="E141" i="36"/>
  <c r="E140" i="36"/>
  <c r="E139" i="36"/>
  <c r="E138" i="36"/>
  <c r="E137" i="36"/>
  <c r="E136" i="36"/>
  <c r="E135" i="36"/>
  <c r="E134" i="36"/>
  <c r="E133" i="36"/>
  <c r="E132" i="36"/>
  <c r="E131" i="36"/>
  <c r="E130" i="36"/>
  <c r="E129" i="36"/>
  <c r="E128" i="36"/>
  <c r="E127" i="36"/>
  <c r="E126" i="36"/>
  <c r="E125" i="36"/>
  <c r="E124" i="36"/>
  <c r="E123" i="36"/>
  <c r="E122" i="36"/>
  <c r="E121" i="36"/>
  <c r="E120" i="36"/>
  <c r="E119" i="36"/>
  <c r="E118" i="36"/>
  <c r="E117" i="36"/>
  <c r="E116" i="36"/>
  <c r="E115" i="36"/>
  <c r="E114" i="36"/>
  <c r="E113" i="36"/>
  <c r="E112" i="36"/>
  <c r="E111" i="36"/>
  <c r="E110" i="36"/>
  <c r="E109" i="36"/>
  <c r="E108" i="36"/>
  <c r="E107" i="36"/>
  <c r="E106" i="36"/>
  <c r="E105" i="36"/>
  <c r="E104" i="36"/>
  <c r="E103" i="36"/>
  <c r="E102" i="36"/>
  <c r="E101" i="36"/>
  <c r="E100" i="36"/>
  <c r="E99" i="36"/>
  <c r="E98" i="36"/>
  <c r="E97" i="36"/>
  <c r="E96" i="36"/>
  <c r="E95" i="36"/>
  <c r="E94" i="36"/>
  <c r="E93" i="36"/>
  <c r="E92" i="36"/>
  <c r="E91" i="36"/>
  <c r="E90" i="36"/>
  <c r="E89" i="36"/>
  <c r="E88" i="36"/>
  <c r="E87" i="36"/>
  <c r="E86" i="36"/>
  <c r="E85" i="36"/>
  <c r="E84" i="36"/>
  <c r="E83" i="36"/>
  <c r="E82" i="36"/>
  <c r="E81" i="36"/>
  <c r="E80" i="36"/>
  <c r="E79" i="36"/>
  <c r="E78" i="36"/>
  <c r="E77" i="36"/>
  <c r="E76" i="36"/>
  <c r="E75" i="36"/>
  <c r="E74" i="36"/>
  <c r="E73" i="36"/>
  <c r="E72" i="36"/>
  <c r="E71" i="36"/>
  <c r="E70" i="36"/>
  <c r="E69" i="36"/>
  <c r="E68" i="36"/>
  <c r="E67" i="36"/>
  <c r="E66" i="36"/>
  <c r="E65" i="36"/>
  <c r="E64" i="36"/>
  <c r="E63" i="36"/>
  <c r="E62" i="36"/>
  <c r="E61" i="36"/>
  <c r="E60" i="36"/>
  <c r="E59" i="36"/>
  <c r="E58" i="36"/>
  <c r="E57" i="36"/>
  <c r="E56" i="36"/>
  <c r="E55" i="36"/>
  <c r="E54" i="36"/>
  <c r="E53" i="36"/>
  <c r="E52" i="36"/>
  <c r="E51" i="36"/>
  <c r="E50" i="36"/>
  <c r="E49" i="36"/>
  <c r="E48" i="36"/>
  <c r="E47" i="36"/>
  <c r="E46" i="36"/>
  <c r="E45" i="36"/>
  <c r="E44" i="36"/>
  <c r="E43" i="36"/>
  <c r="E42" i="36"/>
  <c r="E41" i="36"/>
  <c r="E40" i="36"/>
  <c r="E39" i="36"/>
  <c r="E38" i="36"/>
  <c r="E37" i="36"/>
  <c r="E36" i="36"/>
  <c r="E35" i="36"/>
  <c r="E34" i="36"/>
  <c r="E33" i="36"/>
  <c r="E32" i="36"/>
  <c r="E31" i="36"/>
  <c r="E30" i="36"/>
  <c r="E29" i="36"/>
  <c r="E28" i="36"/>
  <c r="E27" i="36"/>
  <c r="E26" i="36"/>
  <c r="E25" i="36"/>
  <c r="E24" i="36"/>
  <c r="E23" i="36"/>
  <c r="E22" i="36"/>
  <c r="E21" i="36"/>
  <c r="E20" i="36"/>
  <c r="E19" i="36"/>
  <c r="E18" i="36"/>
  <c r="E17" i="36"/>
  <c r="E16" i="36"/>
  <c r="E15" i="36"/>
  <c r="E14" i="36"/>
  <c r="E13" i="36"/>
  <c r="E12" i="36"/>
  <c r="E11" i="36"/>
  <c r="E10" i="36"/>
  <c r="E9" i="36"/>
  <c r="E8" i="36"/>
  <c r="E7" i="36"/>
  <c r="E6" i="36"/>
  <c r="E5" i="36"/>
  <c r="E4" i="36"/>
  <c r="S10" i="41" l="1"/>
  <c r="S246" i="41"/>
  <c r="S244" i="41"/>
  <c r="E33" i="1" s="1"/>
  <c r="D32" i="1"/>
  <c r="E24" i="1"/>
  <c r="D23" i="1"/>
  <c r="D26" i="1"/>
  <c r="D39" i="1" l="1"/>
  <c r="E32" i="1"/>
  <c r="E30" i="1" s="1"/>
  <c r="S151" i="41"/>
  <c r="D37" i="1" s="1"/>
  <c r="S153" i="41"/>
  <c r="S117" i="41"/>
  <c r="D22" i="1" s="1"/>
  <c r="S90" i="41"/>
  <c r="D21" i="1" s="1"/>
  <c r="S6" i="41"/>
  <c r="S48" i="41"/>
  <c r="D16" i="1" s="1"/>
  <c r="S115" i="41"/>
  <c r="D35" i="1" s="1"/>
  <c r="S52" i="41"/>
  <c r="D29" i="1" s="1"/>
  <c r="S88" i="41"/>
  <c r="D17" i="1" s="1"/>
  <c r="S8" i="41"/>
  <c r="D19" i="1" s="1"/>
  <c r="S91" i="41"/>
  <c r="S50" i="41"/>
  <c r="D20" i="1" s="1"/>
  <c r="I189" i="39"/>
  <c r="I193" i="39"/>
  <c r="I192" i="39"/>
  <c r="I188" i="39"/>
  <c r="I187" i="39"/>
  <c r="I186" i="39"/>
  <c r="I185" i="39"/>
  <c r="I184" i="39"/>
  <c r="I183" i="39"/>
  <c r="I182" i="39"/>
  <c r="I181" i="39"/>
  <c r="I180" i="39"/>
  <c r="I179" i="39"/>
  <c r="I177" i="39"/>
  <c r="I176" i="39"/>
  <c r="I175" i="39"/>
  <c r="I174" i="39"/>
  <c r="I173" i="39"/>
  <c r="I172" i="39"/>
  <c r="I171" i="39"/>
  <c r="I170" i="39"/>
  <c r="I169" i="39"/>
  <c r="I167" i="39"/>
  <c r="I166" i="39"/>
  <c r="I165" i="39"/>
  <c r="I164" i="39"/>
  <c r="I163" i="39"/>
  <c r="I162" i="39"/>
  <c r="I161" i="39"/>
  <c r="I160" i="39"/>
  <c r="I159" i="39"/>
  <c r="I158" i="39"/>
  <c r="I157" i="39"/>
  <c r="I156" i="39"/>
  <c r="I155" i="39"/>
  <c r="I152" i="39"/>
  <c r="I150" i="39"/>
  <c r="I149" i="39"/>
  <c r="I147" i="39"/>
  <c r="I146" i="39"/>
  <c r="I143" i="39"/>
  <c r="I141" i="39"/>
  <c r="I140" i="39"/>
  <c r="I139" i="39"/>
  <c r="I138" i="39"/>
  <c r="I136" i="39"/>
  <c r="I134" i="39"/>
  <c r="I133" i="39"/>
  <c r="I131" i="39"/>
  <c r="I130" i="39"/>
  <c r="I129" i="39"/>
  <c r="I128" i="39"/>
  <c r="I127" i="39"/>
  <c r="I126" i="39"/>
  <c r="I125" i="39"/>
  <c r="I124" i="39"/>
  <c r="I123" i="39"/>
  <c r="I122" i="39"/>
  <c r="I121" i="39"/>
  <c r="I120" i="39"/>
  <c r="I117" i="39"/>
  <c r="I111" i="39"/>
  <c r="I109" i="39"/>
  <c r="I108" i="39"/>
  <c r="I106" i="39"/>
  <c r="I105" i="39"/>
  <c r="I103" i="39"/>
  <c r="I102" i="39"/>
  <c r="I100" i="39"/>
  <c r="I99" i="39"/>
  <c r="I98" i="39"/>
  <c r="I97" i="39"/>
  <c r="I96" i="39"/>
  <c r="I95" i="39"/>
  <c r="I94" i="39"/>
  <c r="I93" i="39"/>
  <c r="I92" i="39"/>
  <c r="I91" i="39"/>
  <c r="I89" i="39"/>
  <c r="I87" i="39"/>
  <c r="I85" i="39"/>
  <c r="I84" i="39"/>
  <c r="I83" i="39"/>
  <c r="I82" i="39"/>
  <c r="I81" i="39"/>
  <c r="I80" i="39"/>
  <c r="I78" i="39"/>
  <c r="I77" i="39"/>
  <c r="I76" i="39"/>
  <c r="I75" i="39"/>
  <c r="I74" i="39"/>
  <c r="I70" i="39"/>
  <c r="I69" i="39"/>
  <c r="I67" i="39"/>
  <c r="I66" i="39"/>
  <c r="I64" i="39"/>
  <c r="I63" i="39"/>
  <c r="I61" i="39"/>
  <c r="I60" i="39"/>
  <c r="I58" i="39"/>
  <c r="I57" i="39"/>
  <c r="I56" i="39"/>
  <c r="I54" i="39"/>
  <c r="I53" i="39"/>
  <c r="I51" i="39"/>
  <c r="I50" i="39"/>
  <c r="I49" i="39"/>
  <c r="I48" i="39"/>
  <c r="I47" i="39"/>
  <c r="I46" i="39"/>
  <c r="I45" i="39"/>
  <c r="I44" i="39"/>
  <c r="I42" i="39"/>
  <c r="I40" i="39"/>
  <c r="I39" i="39"/>
  <c r="I38" i="39"/>
  <c r="I37" i="39"/>
  <c r="I36" i="39"/>
  <c r="I35" i="39"/>
  <c r="I34" i="39"/>
  <c r="I33" i="39"/>
  <c r="I32" i="39"/>
  <c r="I31" i="39"/>
  <c r="I29" i="39"/>
  <c r="I28" i="39"/>
  <c r="I27" i="39"/>
  <c r="I25" i="39"/>
  <c r="I24" i="39"/>
  <c r="I23" i="39"/>
  <c r="I22" i="39"/>
  <c r="I21" i="39"/>
  <c r="I20" i="39"/>
  <c r="I19" i="39"/>
  <c r="I18" i="39"/>
  <c r="I17" i="39"/>
  <c r="I16" i="39"/>
  <c r="I15" i="39"/>
  <c r="I14" i="39"/>
  <c r="I13" i="39"/>
  <c r="I12" i="39"/>
  <c r="I11" i="39"/>
  <c r="I10" i="39"/>
  <c r="I9" i="39"/>
  <c r="I8" i="39"/>
  <c r="I6" i="39"/>
  <c r="D34" i="1" l="1"/>
  <c r="D31" i="1"/>
  <c r="D30" i="1" s="1"/>
  <c r="D28" i="1"/>
  <c r="D18" i="1" s="1"/>
  <c r="D15" i="1"/>
  <c r="D14" i="1" s="1"/>
  <c r="E29" i="1"/>
  <c r="E21" i="1"/>
  <c r="I41" i="39"/>
  <c r="I116" i="39"/>
  <c r="I135" i="39"/>
  <c r="I72" i="39"/>
  <c r="I88" i="39"/>
  <c r="I151" i="39"/>
  <c r="I71" i="39"/>
  <c r="I190" i="39"/>
  <c r="I142" i="39"/>
  <c r="I5" i="39"/>
  <c r="I110" i="39"/>
  <c r="E18" i="1" l="1"/>
  <c r="E13" i="1" s="1"/>
  <c r="D13" i="1"/>
  <c r="K16" i="25"/>
  <c r="N16" i="25"/>
  <c r="K17" i="25"/>
  <c r="N17" i="25"/>
  <c r="K18" i="25"/>
  <c r="N18" i="25"/>
  <c r="K19" i="25"/>
  <c r="N19" i="25"/>
  <c r="K20" i="25"/>
  <c r="N20" i="25"/>
  <c r="F2" i="37"/>
  <c r="A6" i="37"/>
  <c r="I6" i="37"/>
  <c r="A7" i="37"/>
  <c r="I7" i="37"/>
  <c r="A8" i="37"/>
  <c r="I8" i="37"/>
  <c r="A9" i="37"/>
  <c r="I9" i="37"/>
  <c r="A10" i="37"/>
  <c r="I10" i="37"/>
  <c r="A11" i="37"/>
  <c r="I11" i="37"/>
  <c r="A12" i="37"/>
  <c r="I12" i="37"/>
  <c r="A13" i="37"/>
  <c r="I13" i="37"/>
  <c r="A14" i="37"/>
  <c r="I14" i="37"/>
  <c r="A15" i="37"/>
  <c r="I15" i="37"/>
  <c r="A16" i="37"/>
  <c r="I16" i="37"/>
  <c r="A17" i="37"/>
  <c r="I17" i="37"/>
  <c r="A18" i="37"/>
  <c r="I18" i="37"/>
  <c r="A20" i="37"/>
  <c r="I20" i="37"/>
  <c r="A21" i="37"/>
  <c r="I21" i="37"/>
  <c r="A22" i="37"/>
  <c r="I22" i="37"/>
  <c r="A23" i="37"/>
  <c r="I23" i="37"/>
  <c r="A24" i="37"/>
  <c r="I24" i="37"/>
  <c r="A25" i="37"/>
  <c r="I25" i="37"/>
  <c r="A26" i="37"/>
  <c r="I26" i="37"/>
  <c r="A27" i="37"/>
  <c r="I27" i="37"/>
  <c r="A28" i="37"/>
  <c r="I28" i="37"/>
  <c r="A29" i="37"/>
  <c r="I29" i="37"/>
  <c r="A30" i="37"/>
  <c r="I30" i="37"/>
  <c r="A31" i="37"/>
  <c r="I31" i="37"/>
  <c r="A32" i="37"/>
  <c r="I32" i="37"/>
  <c r="A34" i="37"/>
  <c r="I34" i="37"/>
  <c r="A35" i="37"/>
  <c r="I35" i="37"/>
  <c r="A36" i="37"/>
  <c r="I36" i="37"/>
  <c r="A37" i="37"/>
  <c r="I37" i="37"/>
  <c r="A38" i="37"/>
  <c r="I38" i="37"/>
  <c r="A39" i="37"/>
  <c r="I39" i="37"/>
  <c r="A40" i="37"/>
  <c r="I40" i="37"/>
  <c r="A41" i="37"/>
  <c r="I41" i="37"/>
  <c r="A42" i="37"/>
  <c r="I42" i="37"/>
  <c r="A43" i="37"/>
  <c r="I43" i="37"/>
  <c r="A44" i="37"/>
  <c r="I44" i="37"/>
  <c r="A45" i="37"/>
  <c r="I45" i="37"/>
  <c r="A46" i="37"/>
  <c r="I46" i="37"/>
  <c r="A47" i="37"/>
  <c r="I47" i="37"/>
  <c r="A48" i="37"/>
  <c r="I48" i="37"/>
  <c r="I49" i="37"/>
  <c r="A50" i="37"/>
  <c r="I50" i="37"/>
  <c r="A51" i="37"/>
  <c r="I51" i="37"/>
  <c r="A52" i="37"/>
  <c r="I52" i="37"/>
  <c r="I53" i="37"/>
  <c r="I54" i="37"/>
  <c r="I55" i="37"/>
  <c r="I56" i="37"/>
  <c r="I57" i="37"/>
  <c r="I58" i="37"/>
  <c r="I59" i="37"/>
  <c r="I60" i="37"/>
  <c r="I61" i="37"/>
  <c r="I62" i="37"/>
  <c r="A63" i="37"/>
  <c r="I63" i="37"/>
  <c r="A64" i="37"/>
  <c r="I64" i="37"/>
  <c r="A65" i="37"/>
  <c r="I65" i="37"/>
  <c r="A66" i="37"/>
  <c r="I66" i="37"/>
  <c r="A67" i="37"/>
  <c r="I67" i="37"/>
  <c r="A68" i="37"/>
  <c r="I68" i="37"/>
  <c r="A69" i="37"/>
  <c r="I69" i="37"/>
  <c r="A70" i="37"/>
  <c r="I70" i="37"/>
  <c r="A72" i="37"/>
  <c r="I72" i="37"/>
  <c r="A73" i="37"/>
  <c r="I73" i="37"/>
  <c r="A74" i="37"/>
  <c r="I74" i="37"/>
  <c r="A75" i="37"/>
  <c r="I75" i="37"/>
  <c r="A76" i="37"/>
  <c r="I76" i="37"/>
  <c r="I78" i="37"/>
  <c r="I79" i="37"/>
  <c r="I80" i="37"/>
  <c r="I81" i="37"/>
  <c r="I82" i="37"/>
  <c r="I83" i="37"/>
  <c r="I84" i="37"/>
  <c r="I85" i="37"/>
  <c r="I86" i="37"/>
  <c r="I87" i="37"/>
  <c r="I88" i="37"/>
  <c r="I89" i="37"/>
  <c r="I90" i="37"/>
  <c r="I91" i="37"/>
  <c r="I92" i="37"/>
  <c r="I93" i="37"/>
  <c r="I94" i="37"/>
  <c r="I95" i="37"/>
  <c r="I96" i="37"/>
  <c r="I97" i="37"/>
  <c r="I98" i="37"/>
  <c r="I99" i="37"/>
  <c r="I100" i="37"/>
  <c r="A101" i="37"/>
  <c r="I101" i="37"/>
  <c r="A102" i="37"/>
  <c r="I102" i="37"/>
  <c r="A103" i="37"/>
  <c r="I103" i="37"/>
  <c r="A104" i="37"/>
  <c r="I104" i="37"/>
  <c r="A105" i="37"/>
  <c r="I105" i="37"/>
  <c r="A106" i="37"/>
  <c r="I106" i="37"/>
  <c r="I107" i="37"/>
  <c r="I108" i="37"/>
  <c r="A109" i="37"/>
  <c r="I109" i="37"/>
  <c r="A110" i="37"/>
  <c r="I110" i="37"/>
  <c r="I111" i="37"/>
  <c r="A112" i="37"/>
  <c r="I112" i="37"/>
  <c r="I113" i="37"/>
  <c r="A114" i="37"/>
  <c r="I114" i="37"/>
  <c r="A116" i="37"/>
  <c r="I116" i="37"/>
  <c r="A117" i="37"/>
  <c r="I117" i="37"/>
  <c r="A118" i="37"/>
  <c r="I118" i="37"/>
  <c r="I119" i="37"/>
  <c r="I120" i="37"/>
  <c r="I121" i="37"/>
  <c r="I122" i="37"/>
  <c r="I123" i="37"/>
  <c r="I124" i="37"/>
  <c r="A125" i="37"/>
  <c r="I125" i="37"/>
  <c r="A126" i="37"/>
  <c r="I126" i="37"/>
  <c r="A127" i="37"/>
  <c r="I127" i="37"/>
  <c r="A128" i="37"/>
  <c r="I128" i="37"/>
  <c r="A129" i="37"/>
  <c r="I129" i="37"/>
  <c r="A130" i="37"/>
  <c r="I130" i="37"/>
  <c r="A131" i="37"/>
  <c r="I131" i="37"/>
  <c r="A132" i="37"/>
  <c r="I132" i="37"/>
  <c r="A133" i="37"/>
  <c r="I133" i="37"/>
  <c r="A134" i="37"/>
  <c r="I134" i="37"/>
  <c r="A135" i="37"/>
  <c r="I135" i="37"/>
  <c r="A136" i="37"/>
  <c r="I136" i="37"/>
  <c r="A137" i="37"/>
  <c r="I137" i="37"/>
  <c r="A138" i="37"/>
  <c r="I138" i="37"/>
  <c r="A139" i="37"/>
  <c r="I139" i="37"/>
  <c r="A140" i="37"/>
  <c r="I140" i="37"/>
  <c r="A141" i="37"/>
  <c r="I141" i="37"/>
  <c r="A142" i="37"/>
  <c r="I142" i="37"/>
  <c r="A145" i="37"/>
  <c r="I145" i="37"/>
  <c r="A146" i="37"/>
  <c r="I146" i="37"/>
  <c r="A148" i="37"/>
  <c r="I148" i="37"/>
  <c r="A149" i="37"/>
  <c r="I149" i="37"/>
  <c r="A150" i="37"/>
  <c r="I150" i="37"/>
  <c r="A151" i="37"/>
  <c r="I151" i="37"/>
  <c r="A152" i="37"/>
  <c r="I152" i="37"/>
  <c r="A153" i="37"/>
  <c r="I153" i="37"/>
  <c r="A154" i="37"/>
  <c r="I154" i="37"/>
  <c r="A155" i="37"/>
  <c r="I155" i="37"/>
  <c r="A156" i="37"/>
  <c r="I156" i="37"/>
  <c r="A157" i="37"/>
  <c r="I157" i="37"/>
  <c r="A158" i="37"/>
  <c r="I158" i="37"/>
  <c r="A159" i="37"/>
  <c r="I159" i="37"/>
  <c r="A160" i="37"/>
  <c r="I160" i="37"/>
  <c r="A161" i="37"/>
  <c r="I161" i="37"/>
  <c r="A162" i="37"/>
  <c r="I162" i="37"/>
  <c r="A163" i="37"/>
  <c r="I163" i="37"/>
  <c r="A164" i="37"/>
  <c r="I164" i="37"/>
  <c r="A166" i="37"/>
  <c r="I166" i="37"/>
  <c r="A167" i="37"/>
  <c r="I167" i="37"/>
  <c r="A168" i="37"/>
  <c r="I168" i="37"/>
  <c r="A169" i="37"/>
  <c r="I169" i="37"/>
  <c r="A170" i="37"/>
  <c r="I170" i="37"/>
  <c r="A171" i="37"/>
  <c r="I171" i="37"/>
  <c r="A173" i="37"/>
  <c r="I173" i="37"/>
  <c r="A174" i="37"/>
  <c r="I174" i="37"/>
  <c r="A175" i="37"/>
  <c r="I175" i="37"/>
  <c r="A176" i="37"/>
  <c r="I176" i="37"/>
  <c r="A177" i="37"/>
  <c r="I177" i="37"/>
  <c r="A178" i="37"/>
  <c r="I178" i="37"/>
  <c r="A179" i="37"/>
  <c r="I179" i="37"/>
  <c r="A180" i="37"/>
  <c r="I180" i="37"/>
  <c r="A181" i="37"/>
  <c r="I181" i="37"/>
  <c r="A182" i="37"/>
  <c r="I182" i="37"/>
  <c r="A183" i="37"/>
  <c r="I183" i="37"/>
  <c r="A184" i="37"/>
  <c r="I184" i="37"/>
  <c r="A185" i="37"/>
  <c r="I185" i="37"/>
  <c r="A186" i="37"/>
  <c r="I186" i="37"/>
  <c r="A188" i="37"/>
  <c r="I188" i="37"/>
  <c r="A189" i="37"/>
  <c r="A192" i="37" s="1"/>
  <c r="I189" i="37"/>
  <c r="I190" i="37"/>
  <c r="I191" i="37"/>
  <c r="I192" i="37"/>
  <c r="A195" i="37"/>
  <c r="I195" i="37"/>
  <c r="A196" i="37"/>
  <c r="I196" i="37"/>
  <c r="A198" i="37"/>
  <c r="I198" i="37"/>
  <c r="A199" i="37"/>
  <c r="I199" i="37"/>
  <c r="A202" i="37"/>
  <c r="I202" i="37"/>
  <c r="A203" i="37"/>
  <c r="I203" i="37"/>
  <c r="A205" i="37"/>
  <c r="I205" i="37"/>
  <c r="A206" i="37"/>
  <c r="I206" i="37"/>
  <c r="A208" i="37"/>
  <c r="I208" i="37"/>
  <c r="A209" i="37"/>
  <c r="I209" i="37"/>
  <c r="I210" i="37"/>
  <c r="A211" i="37"/>
  <c r="I211" i="37"/>
  <c r="A212" i="37"/>
  <c r="I212" i="37"/>
  <c r="A213" i="37"/>
  <c r="I213" i="37"/>
  <c r="A214" i="37"/>
  <c r="I214" i="37"/>
  <c r="A215" i="37"/>
  <c r="I215" i="37"/>
  <c r="I216" i="37"/>
  <c r="I217" i="37"/>
  <c r="I218" i="37"/>
  <c r="A219" i="37"/>
  <c r="I219" i="37"/>
  <c r="A221" i="37"/>
  <c r="I221" i="37"/>
  <c r="A222" i="37"/>
  <c r="I222" i="37"/>
  <c r="A223" i="37"/>
  <c r="I223" i="37"/>
  <c r="A225" i="37"/>
  <c r="I225" i="37"/>
  <c r="A232" i="37"/>
  <c r="I232" i="37"/>
  <c r="A234" i="37"/>
  <c r="I234" i="37"/>
  <c r="A235" i="37"/>
  <c r="I235" i="37"/>
  <c r="A238" i="37"/>
  <c r="I238" i="37"/>
  <c r="I239" i="37"/>
  <c r="A241" i="37"/>
  <c r="I241" i="37"/>
  <c r="A242" i="37"/>
  <c r="I242" i="37"/>
  <c r="I244" i="37"/>
  <c r="I245" i="37"/>
  <c r="I247" i="37"/>
  <c r="H250" i="37"/>
  <c r="F2" i="36"/>
  <c r="A6" i="36"/>
  <c r="I6" i="36"/>
  <c r="A7" i="36"/>
  <c r="I7" i="36"/>
  <c r="A8" i="36"/>
  <c r="I8" i="36"/>
  <c r="A9" i="36"/>
  <c r="I9" i="36"/>
  <c r="A10" i="36"/>
  <c r="I10" i="36"/>
  <c r="A11" i="36"/>
  <c r="I11" i="36"/>
  <c r="A12" i="36"/>
  <c r="I12" i="36"/>
  <c r="A13" i="36"/>
  <c r="I13" i="36"/>
  <c r="A14" i="36"/>
  <c r="I14" i="36"/>
  <c r="A15" i="36"/>
  <c r="I15" i="36"/>
  <c r="A16" i="36"/>
  <c r="I16" i="36"/>
  <c r="A17" i="36"/>
  <c r="I17" i="36"/>
  <c r="A18" i="36"/>
  <c r="I18" i="36"/>
  <c r="A20" i="36"/>
  <c r="I20" i="36"/>
  <c r="A21" i="36"/>
  <c r="I21" i="36"/>
  <c r="A22" i="36"/>
  <c r="I22" i="36"/>
  <c r="A23" i="36"/>
  <c r="I23" i="36"/>
  <c r="A24" i="36"/>
  <c r="I24" i="36"/>
  <c r="A25" i="36"/>
  <c r="I25" i="36"/>
  <c r="A26" i="36"/>
  <c r="I26" i="36"/>
  <c r="A27" i="36"/>
  <c r="I27" i="36"/>
  <c r="A28" i="36"/>
  <c r="I28" i="36"/>
  <c r="A29" i="36"/>
  <c r="I29" i="36"/>
  <c r="A30" i="36"/>
  <c r="I30" i="36"/>
  <c r="A31" i="36"/>
  <c r="I31" i="36"/>
  <c r="A32" i="36"/>
  <c r="I32" i="36"/>
  <c r="A34" i="36"/>
  <c r="I34" i="36"/>
  <c r="A35" i="36"/>
  <c r="I35" i="36"/>
  <c r="A36" i="36"/>
  <c r="I36" i="36"/>
  <c r="A37" i="36"/>
  <c r="I37" i="36"/>
  <c r="A38" i="36"/>
  <c r="I38" i="36"/>
  <c r="A39" i="36"/>
  <c r="I39" i="36"/>
  <c r="A40" i="36"/>
  <c r="I40" i="36"/>
  <c r="A41" i="36"/>
  <c r="I41" i="36"/>
  <c r="A42" i="36"/>
  <c r="I42" i="36"/>
  <c r="A43" i="36"/>
  <c r="I43" i="36"/>
  <c r="A44" i="36"/>
  <c r="I44" i="36"/>
  <c r="A45" i="36"/>
  <c r="I45" i="36"/>
  <c r="A46" i="36"/>
  <c r="I46" i="36"/>
  <c r="A47" i="36"/>
  <c r="I47" i="36"/>
  <c r="A48" i="36"/>
  <c r="I48" i="36"/>
  <c r="I49" i="36"/>
  <c r="A50" i="36"/>
  <c r="I50" i="36"/>
  <c r="A51" i="36"/>
  <c r="I51" i="36"/>
  <c r="A52" i="36"/>
  <c r="I52" i="36"/>
  <c r="I53" i="36"/>
  <c r="I54" i="36"/>
  <c r="I55" i="36"/>
  <c r="I56" i="36"/>
  <c r="I57" i="36"/>
  <c r="I58" i="36"/>
  <c r="I59" i="36"/>
  <c r="I60" i="36"/>
  <c r="I61" i="36"/>
  <c r="I62" i="36"/>
  <c r="A63" i="36"/>
  <c r="I63" i="36"/>
  <c r="A64" i="36"/>
  <c r="I64" i="36"/>
  <c r="A65" i="36"/>
  <c r="I65" i="36"/>
  <c r="A66" i="36"/>
  <c r="I66" i="36"/>
  <c r="A67" i="36"/>
  <c r="I67" i="36"/>
  <c r="A68" i="36"/>
  <c r="I68" i="36"/>
  <c r="A69" i="36"/>
  <c r="I69" i="36"/>
  <c r="A70" i="36"/>
  <c r="I70" i="36"/>
  <c r="A72" i="36"/>
  <c r="I72" i="36"/>
  <c r="A73" i="36"/>
  <c r="I73" i="36"/>
  <c r="A74" i="36"/>
  <c r="I74" i="36"/>
  <c r="A75" i="36"/>
  <c r="I75" i="36"/>
  <c r="A76" i="36"/>
  <c r="I76" i="36"/>
  <c r="I78" i="36"/>
  <c r="I79" i="36"/>
  <c r="I80" i="36"/>
  <c r="I81" i="36"/>
  <c r="I82" i="36"/>
  <c r="I83" i="36"/>
  <c r="I84" i="36"/>
  <c r="I85" i="36"/>
  <c r="I86" i="36"/>
  <c r="I87" i="36"/>
  <c r="I88" i="36"/>
  <c r="I89" i="36"/>
  <c r="I90" i="36"/>
  <c r="I91" i="36"/>
  <c r="I92" i="36"/>
  <c r="I93" i="36"/>
  <c r="I94" i="36"/>
  <c r="I95" i="36"/>
  <c r="I96" i="36"/>
  <c r="I97" i="36"/>
  <c r="I98" i="36"/>
  <c r="I99" i="36"/>
  <c r="I100" i="36"/>
  <c r="A101" i="36"/>
  <c r="I101" i="36"/>
  <c r="A102" i="36"/>
  <c r="I102" i="36"/>
  <c r="A103" i="36"/>
  <c r="I103" i="36"/>
  <c r="A104" i="36"/>
  <c r="I104" i="36"/>
  <c r="A105" i="36"/>
  <c r="I105" i="36"/>
  <c r="A106" i="36"/>
  <c r="I106" i="36"/>
  <c r="I107" i="36"/>
  <c r="I108" i="36"/>
  <c r="A109" i="36"/>
  <c r="I109" i="36"/>
  <c r="A110" i="36"/>
  <c r="I110" i="36"/>
  <c r="I111" i="36"/>
  <c r="A112" i="36"/>
  <c r="I112" i="36"/>
  <c r="I113" i="36"/>
  <c r="A114" i="36"/>
  <c r="I114" i="36"/>
  <c r="A116" i="36"/>
  <c r="I116" i="36"/>
  <c r="A117" i="36"/>
  <c r="I117" i="36"/>
  <c r="A118" i="36"/>
  <c r="I118" i="36"/>
  <c r="I119" i="36"/>
  <c r="I120" i="36"/>
  <c r="I121" i="36"/>
  <c r="I122" i="36"/>
  <c r="I123" i="36"/>
  <c r="I124" i="36"/>
  <c r="A125" i="36"/>
  <c r="I125" i="36"/>
  <c r="A126" i="36"/>
  <c r="I126" i="36"/>
  <c r="A127" i="36"/>
  <c r="I127" i="36"/>
  <c r="A128" i="36"/>
  <c r="I128" i="36"/>
  <c r="A129" i="36"/>
  <c r="I129" i="36"/>
  <c r="A130" i="36"/>
  <c r="I130" i="36"/>
  <c r="A131" i="36"/>
  <c r="I131" i="36"/>
  <c r="A132" i="36"/>
  <c r="I132" i="36"/>
  <c r="A133" i="36"/>
  <c r="I133" i="36"/>
  <c r="A134" i="36"/>
  <c r="I134" i="36"/>
  <c r="A135" i="36"/>
  <c r="I135" i="36"/>
  <c r="A136" i="36"/>
  <c r="I136" i="36"/>
  <c r="A137" i="36"/>
  <c r="I137" i="36"/>
  <c r="A138" i="36"/>
  <c r="I138" i="36"/>
  <c r="A139" i="36"/>
  <c r="I139" i="36"/>
  <c r="A140" i="36"/>
  <c r="I140" i="36"/>
  <c r="A141" i="36"/>
  <c r="I141" i="36"/>
  <c r="A142" i="36"/>
  <c r="I142" i="36"/>
  <c r="A145" i="36"/>
  <c r="I145" i="36"/>
  <c r="A146" i="36"/>
  <c r="I146" i="36"/>
  <c r="A148" i="36"/>
  <c r="I148" i="36"/>
  <c r="A149" i="36"/>
  <c r="I149" i="36"/>
  <c r="A150" i="36"/>
  <c r="I150" i="36"/>
  <c r="A151" i="36"/>
  <c r="I151" i="36"/>
  <c r="A152" i="36"/>
  <c r="I152" i="36"/>
  <c r="A153" i="36"/>
  <c r="I153" i="36"/>
  <c r="A154" i="36"/>
  <c r="I154" i="36"/>
  <c r="A155" i="36"/>
  <c r="I155" i="36"/>
  <c r="A156" i="36"/>
  <c r="I156" i="36"/>
  <c r="A157" i="36"/>
  <c r="I157" i="36"/>
  <c r="A158" i="36"/>
  <c r="I158" i="36"/>
  <c r="A159" i="36"/>
  <c r="I159" i="36"/>
  <c r="A160" i="36"/>
  <c r="I160" i="36"/>
  <c r="A161" i="36"/>
  <c r="I161" i="36"/>
  <c r="A162" i="36"/>
  <c r="I162" i="36"/>
  <c r="A163" i="36"/>
  <c r="I163" i="36"/>
  <c r="A164" i="36"/>
  <c r="I164" i="36"/>
  <c r="A166" i="36"/>
  <c r="I166" i="36"/>
  <c r="A167" i="36"/>
  <c r="I167" i="36"/>
  <c r="A168" i="36"/>
  <c r="I168" i="36"/>
  <c r="A169" i="36"/>
  <c r="I169" i="36"/>
  <c r="A170" i="36"/>
  <c r="I170" i="36"/>
  <c r="A171" i="36"/>
  <c r="I171" i="36"/>
  <c r="A173" i="36"/>
  <c r="I173" i="36"/>
  <c r="A174" i="36"/>
  <c r="I174" i="36"/>
  <c r="A175" i="36"/>
  <c r="I175" i="36"/>
  <c r="A176" i="36"/>
  <c r="I176" i="36"/>
  <c r="A177" i="36"/>
  <c r="I177" i="36"/>
  <c r="A178" i="36"/>
  <c r="I178" i="36"/>
  <c r="A179" i="36"/>
  <c r="I179" i="36"/>
  <c r="A180" i="36"/>
  <c r="I180" i="36"/>
  <c r="A181" i="36"/>
  <c r="I181" i="36"/>
  <c r="A182" i="36"/>
  <c r="I182" i="36"/>
  <c r="A183" i="36"/>
  <c r="I183" i="36"/>
  <c r="A184" i="36"/>
  <c r="I184" i="36"/>
  <c r="A185" i="36"/>
  <c r="I185" i="36"/>
  <c r="A186" i="36"/>
  <c r="I186" i="36"/>
  <c r="I188" i="36"/>
  <c r="A190" i="36"/>
  <c r="I190" i="36"/>
  <c r="A191" i="36"/>
  <c r="A193" i="36" s="1"/>
  <c r="I191" i="36"/>
  <c r="I192" i="36"/>
  <c r="I193" i="36"/>
  <c r="I194" i="36"/>
  <c r="A196" i="36"/>
  <c r="I196" i="36"/>
  <c r="A197" i="36"/>
  <c r="I197" i="36"/>
  <c r="A199" i="36"/>
  <c r="I199" i="36"/>
  <c r="A200" i="36"/>
  <c r="I200" i="36"/>
  <c r="A203" i="36"/>
  <c r="I203" i="36"/>
  <c r="H254" i="36" s="1"/>
  <c r="A204" i="36"/>
  <c r="I204" i="36"/>
  <c r="G254" i="36" s="1"/>
  <c r="A206" i="36"/>
  <c r="I206" i="36"/>
  <c r="A207" i="36"/>
  <c r="I207" i="36"/>
  <c r="I209" i="36"/>
  <c r="A210" i="36"/>
  <c r="I210" i="36"/>
  <c r="I211" i="36"/>
  <c r="A212" i="36"/>
  <c r="I212" i="36"/>
  <c r="A213" i="36"/>
  <c r="I213" i="36"/>
  <c r="A214" i="36"/>
  <c r="I214" i="36"/>
  <c r="A215" i="36"/>
  <c r="I215" i="36"/>
  <c r="A216" i="36"/>
  <c r="I216" i="36"/>
  <c r="I217" i="36"/>
  <c r="I218" i="36"/>
  <c r="I219" i="36"/>
  <c r="A220" i="36"/>
  <c r="I220" i="36"/>
  <c r="A222" i="36"/>
  <c r="I222" i="36"/>
  <c r="A223" i="36"/>
  <c r="I223" i="36"/>
  <c r="A224" i="36"/>
  <c r="I224" i="36"/>
  <c r="A226" i="36"/>
  <c r="I226" i="36"/>
  <c r="A228" i="36"/>
  <c r="I228" i="36"/>
  <c r="A235" i="36"/>
  <c r="I235" i="36"/>
  <c r="A237" i="36"/>
  <c r="I237" i="36"/>
  <c r="A238" i="36"/>
  <c r="I238" i="36"/>
  <c r="A241" i="36"/>
  <c r="I241" i="36"/>
  <c r="I242" i="36"/>
  <c r="A244" i="36"/>
  <c r="I244" i="36"/>
  <c r="A245" i="36"/>
  <c r="I245" i="36"/>
  <c r="I247" i="36"/>
  <c r="I248" i="36"/>
  <c r="I250" i="36"/>
  <c r="R16" i="25" l="1"/>
  <c r="S16" i="25"/>
  <c r="R20" i="25"/>
  <c r="S20" i="25" s="1"/>
  <c r="R18" i="25"/>
  <c r="S18" i="25" s="1"/>
  <c r="R19" i="25"/>
  <c r="R17" i="25"/>
  <c r="S17" i="25"/>
  <c r="S19" i="25"/>
  <c r="G250" i="37"/>
  <c r="I250" i="37" s="1"/>
  <c r="I254" i="36"/>
  <c r="A192" i="36"/>
  <c r="H253" i="36"/>
  <c r="H255" i="36" s="1"/>
  <c r="G253" i="36"/>
  <c r="G255" i="36" s="1"/>
  <c r="H249" i="37"/>
  <c r="H251" i="37" s="1"/>
  <c r="G249" i="37"/>
  <c r="A191" i="37"/>
  <c r="A190" i="37"/>
  <c r="A194" i="36"/>
  <c r="I253" i="36" l="1"/>
  <c r="I255" i="36" s="1"/>
  <c r="I249" i="37"/>
  <c r="I251" i="37" s="1"/>
  <c r="G251" i="37"/>
  <c r="E51" i="1"/>
  <c r="H35" i="35" l="1"/>
  <c r="S35" i="35" s="1"/>
  <c r="H34" i="35"/>
  <c r="S34" i="35" s="1"/>
  <c r="H33" i="35"/>
  <c r="S33" i="35" s="1"/>
  <c r="H32" i="35"/>
  <c r="S32" i="35" s="1"/>
  <c r="D13" i="35"/>
  <c r="F13" i="35"/>
  <c r="G13" i="35"/>
  <c r="I13" i="35"/>
  <c r="J13" i="35"/>
  <c r="L13" i="35"/>
  <c r="M13" i="35"/>
  <c r="C13" i="35"/>
  <c r="S28" i="35"/>
  <c r="S26" i="35" s="1"/>
  <c r="S29" i="35"/>
  <c r="S36" i="35"/>
  <c r="S37" i="35"/>
  <c r="S38" i="35"/>
  <c r="S39" i="35"/>
  <c r="S40" i="35"/>
  <c r="S41" i="35"/>
  <c r="S42" i="35"/>
  <c r="S43" i="35"/>
  <c r="S44" i="35"/>
  <c r="S45" i="35"/>
  <c r="S46" i="35"/>
  <c r="S56" i="35"/>
  <c r="S54" i="35" s="1"/>
  <c r="S57" i="35"/>
  <c r="S48" i="35"/>
  <c r="S49" i="35"/>
  <c r="S50" i="35"/>
  <c r="S51" i="35"/>
  <c r="S52" i="35"/>
  <c r="S53" i="35"/>
  <c r="E26" i="34"/>
  <c r="E24" i="34"/>
  <c r="J14" i="28" l="1"/>
  <c r="J13" i="28"/>
  <c r="J6" i="28"/>
  <c r="J24" i="28" s="1"/>
  <c r="J5" i="28"/>
  <c r="J23" i="28" s="1"/>
  <c r="T91" i="27"/>
  <c r="T81" i="27"/>
  <c r="T75" i="27"/>
  <c r="T74" i="27"/>
  <c r="T73" i="27"/>
  <c r="T71" i="27"/>
  <c r="T69" i="27"/>
  <c r="T66" i="27"/>
  <c r="T64" i="27"/>
  <c r="T63" i="27"/>
  <c r="T55" i="27"/>
  <c r="T53" i="27"/>
  <c r="T51" i="27"/>
  <c r="T46" i="27"/>
  <c r="T43" i="27"/>
  <c r="T31" i="27"/>
  <c r="T30" i="27"/>
  <c r="T28" i="27"/>
  <c r="T23" i="27"/>
  <c r="T26" i="27" l="1"/>
  <c r="T17" i="27"/>
  <c r="T15" i="27"/>
  <c r="T21" i="27"/>
  <c r="T13" i="27"/>
  <c r="T14" i="27"/>
  <c r="T18" i="27"/>
  <c r="T16" i="27"/>
  <c r="T33" i="27" s="1"/>
  <c r="T108" i="27" s="1"/>
  <c r="G10" i="32" s="1"/>
  <c r="G18" i="32" s="1"/>
  <c r="T94" i="27"/>
  <c r="T37" i="27"/>
  <c r="T39" i="27"/>
  <c r="T41" i="27"/>
  <c r="T58" i="27" s="1"/>
  <c r="T70" i="27"/>
  <c r="T89" i="27"/>
  <c r="T92" i="27"/>
  <c r="T97" i="27"/>
  <c r="T82" i="27"/>
  <c r="T19" i="27"/>
  <c r="T22" i="27"/>
  <c r="T25" i="27"/>
  <c r="T27" i="27"/>
  <c r="T29" i="27"/>
  <c r="T45" i="27"/>
  <c r="T54" i="27"/>
  <c r="T67" i="27"/>
  <c r="T85" i="27"/>
  <c r="T49" i="27"/>
  <c r="T11" i="27"/>
  <c r="T65" i="27"/>
  <c r="T90" i="27"/>
  <c r="T99" i="27" s="1"/>
  <c r="T95" i="27"/>
  <c r="T98" i="27"/>
  <c r="T42" i="27"/>
  <c r="T48" i="27"/>
  <c r="T52" i="27"/>
  <c r="T57" i="27"/>
  <c r="T20" i="27"/>
  <c r="T47" i="27"/>
  <c r="T56" i="27"/>
  <c r="T38" i="27"/>
  <c r="T40" i="27"/>
  <c r="T93" i="27"/>
  <c r="T96" i="27"/>
  <c r="T32" i="27" l="1"/>
  <c r="T107" i="27" s="1"/>
  <c r="F10" i="32" s="1"/>
  <c r="N15" i="25"/>
  <c r="K15" i="25"/>
  <c r="R15" i="25" s="1"/>
  <c r="N14" i="25"/>
  <c r="K14" i="25"/>
  <c r="N13" i="25"/>
  <c r="K13" i="25"/>
  <c r="R13" i="25" s="1"/>
  <c r="R14" i="25" l="1"/>
  <c r="T3" i="27"/>
  <c r="E48" i="1"/>
  <c r="S13" i="25"/>
  <c r="S14" i="25"/>
  <c r="S15" i="25"/>
  <c r="N48" i="24"/>
  <c r="K48" i="24"/>
  <c r="A48" i="24"/>
  <c r="N47" i="24"/>
  <c r="K47" i="24"/>
  <c r="A47" i="24"/>
  <c r="N45" i="24"/>
  <c r="K45" i="24"/>
  <c r="A45" i="24"/>
  <c r="N40" i="24"/>
  <c r="K40" i="24"/>
  <c r="A40" i="24"/>
  <c r="N39" i="24"/>
  <c r="K39" i="24"/>
  <c r="A39" i="24"/>
  <c r="N37" i="24"/>
  <c r="K37" i="24"/>
  <c r="A37" i="24"/>
  <c r="N35" i="24"/>
  <c r="K35" i="24"/>
  <c r="A35" i="24"/>
  <c r="N34" i="24"/>
  <c r="K34" i="24"/>
  <c r="A34" i="24"/>
  <c r="N33" i="24"/>
  <c r="K33" i="24"/>
  <c r="A33" i="24"/>
  <c r="N32" i="24"/>
  <c r="R32" i="24" s="1"/>
  <c r="S32" i="24" s="1"/>
  <c r="K32" i="24"/>
  <c r="A32" i="24"/>
  <c r="N31" i="24"/>
  <c r="K31" i="24"/>
  <c r="A31" i="24"/>
  <c r="N30" i="24"/>
  <c r="K30" i="24"/>
  <c r="R30" i="24" s="1"/>
  <c r="S30" i="24" s="1"/>
  <c r="A30" i="24"/>
  <c r="N29" i="24"/>
  <c r="K29" i="24"/>
  <c r="A29" i="24"/>
  <c r="E30" i="24" s="1"/>
  <c r="N28" i="24"/>
  <c r="K28" i="24"/>
  <c r="A28" i="24"/>
  <c r="N27" i="24"/>
  <c r="K27" i="24"/>
  <c r="A27" i="24"/>
  <c r="E28" i="24" s="1"/>
  <c r="N25" i="24"/>
  <c r="K25" i="24"/>
  <c r="A25" i="24"/>
  <c r="N24" i="24"/>
  <c r="K24" i="24"/>
  <c r="A24" i="24"/>
  <c r="N23" i="24"/>
  <c r="K23" i="24"/>
  <c r="A23" i="24"/>
  <c r="N22" i="24"/>
  <c r="K22" i="24"/>
  <c r="A22" i="24"/>
  <c r="N21" i="24"/>
  <c r="K21" i="24"/>
  <c r="A21" i="24"/>
  <c r="N20" i="24"/>
  <c r="K20" i="24"/>
  <c r="A20" i="24"/>
  <c r="N19" i="24"/>
  <c r="K19" i="24"/>
  <c r="A19" i="24"/>
  <c r="G15" i="24"/>
  <c r="T47" i="24" s="1"/>
  <c r="H15" i="24"/>
  <c r="N13" i="24"/>
  <c r="K13" i="24"/>
  <c r="A13" i="24"/>
  <c r="N11" i="24"/>
  <c r="K11" i="24"/>
  <c r="A11" i="24"/>
  <c r="N10" i="24"/>
  <c r="K10" i="24"/>
  <c r="A10" i="24"/>
  <c r="N9" i="24"/>
  <c r="K9" i="24"/>
  <c r="A9" i="24"/>
  <c r="N8" i="24"/>
  <c r="K8" i="24"/>
  <c r="A8" i="24"/>
  <c r="S6" i="25" l="1"/>
  <c r="F13" i="32" s="1"/>
  <c r="R13" i="24"/>
  <c r="S13" i="24" s="1"/>
  <c r="R45" i="24"/>
  <c r="S45" i="24" s="1"/>
  <c r="R22" i="24"/>
  <c r="S22" i="24" s="1"/>
  <c r="R33" i="24"/>
  <c r="S33" i="24" s="1"/>
  <c r="R48" i="24"/>
  <c r="S48" i="24" s="1"/>
  <c r="R21" i="24"/>
  <c r="S21" i="24" s="1"/>
  <c r="R9" i="24"/>
  <c r="S9" i="24" s="1"/>
  <c r="R37" i="24"/>
  <c r="S37" i="24" s="1"/>
  <c r="R29" i="24"/>
  <c r="S29" i="24" s="1"/>
  <c r="R24" i="24"/>
  <c r="S24" i="24" s="1"/>
  <c r="R47" i="24"/>
  <c r="S47" i="24" s="1"/>
  <c r="R11" i="24"/>
  <c r="S11" i="24" s="1"/>
  <c r="R19" i="24"/>
  <c r="S19" i="24" s="1"/>
  <c r="R27" i="24"/>
  <c r="S27" i="24" s="1"/>
  <c r="R34" i="24"/>
  <c r="S34" i="24" s="1"/>
  <c r="R39" i="24"/>
  <c r="S39" i="24" s="1"/>
  <c r="R28" i="24"/>
  <c r="S28" i="24" s="1"/>
  <c r="R35" i="24"/>
  <c r="S35" i="24" s="1"/>
  <c r="R8" i="24"/>
  <c r="S8" i="24" s="1"/>
  <c r="R10" i="24"/>
  <c r="S10" i="24" s="1"/>
  <c r="R25" i="24"/>
  <c r="S25" i="24" s="1"/>
  <c r="R23" i="24"/>
  <c r="S23" i="24" s="1"/>
  <c r="R31" i="24"/>
  <c r="S31" i="24" s="1"/>
  <c r="R40" i="24"/>
  <c r="S40" i="24" s="1"/>
  <c r="R20" i="24"/>
  <c r="S20" i="24" s="1"/>
  <c r="T46" i="24"/>
  <c r="T48" i="24"/>
  <c r="D51" i="1" l="1"/>
  <c r="J6" i="16"/>
  <c r="J5" i="16"/>
  <c r="J9" i="16"/>
  <c r="J10" i="16"/>
  <c r="J11" i="16"/>
  <c r="J12" i="16"/>
  <c r="J13" i="16"/>
  <c r="J14" i="16"/>
  <c r="J8" i="16"/>
  <c r="J7" i="16"/>
  <c r="E66" i="1"/>
  <c r="E55" i="1" s="1"/>
  <c r="D66" i="1"/>
  <c r="E40" i="1" l="1"/>
  <c r="E12" i="1" s="1"/>
  <c r="E71" i="1" s="1"/>
  <c r="Z4" i="20"/>
  <c r="AL38" i="20" l="1"/>
  <c r="AL125" i="20"/>
  <c r="K125" i="20" s="1"/>
  <c r="AL12" i="20"/>
  <c r="K12" i="20" s="1"/>
  <c r="AL50" i="20"/>
  <c r="K50" i="20" s="1"/>
  <c r="AL28" i="20"/>
  <c r="K28" i="20" s="1"/>
  <c r="AL47" i="20"/>
  <c r="AL56" i="20"/>
  <c r="K56" i="20" s="1"/>
  <c r="AL115" i="20"/>
  <c r="K115" i="20" s="1"/>
  <c r="AL120" i="20"/>
  <c r="K120" i="20" s="1"/>
  <c r="AL124" i="20"/>
  <c r="K124" i="20" s="1"/>
  <c r="AL43" i="20"/>
  <c r="K43" i="20" s="1"/>
  <c r="AL27" i="20"/>
  <c r="K27" i="20" s="1"/>
  <c r="AL36" i="20"/>
  <c r="K36" i="20" s="1"/>
  <c r="AL42" i="20"/>
  <c r="K42" i="20" s="1"/>
  <c r="AL45" i="20"/>
  <c r="K45" i="20" s="1"/>
  <c r="AL52" i="20"/>
  <c r="K52" i="20" s="1"/>
  <c r="AL46" i="20"/>
  <c r="K46" i="20" s="1"/>
  <c r="AL118" i="20"/>
  <c r="K118" i="20" s="1"/>
  <c r="AL26" i="20"/>
  <c r="K26" i="20" s="1"/>
  <c r="AL49" i="20"/>
  <c r="K49" i="20" s="1"/>
  <c r="AL112" i="20"/>
  <c r="K112" i="20" s="1"/>
  <c r="AL116" i="20"/>
  <c r="K116" i="20" s="1"/>
  <c r="AL121" i="20"/>
  <c r="K121" i="20" s="1"/>
  <c r="AL54" i="20"/>
  <c r="K54" i="20" s="1"/>
  <c r="AL114" i="20"/>
  <c r="K114" i="20" s="1"/>
  <c r="AL37" i="20"/>
  <c r="AL107" i="20"/>
  <c r="AL102" i="20"/>
  <c r="K102" i="20" s="1"/>
  <c r="AL101" i="20"/>
  <c r="K101" i="20" s="1"/>
  <c r="AL100" i="20"/>
  <c r="K100" i="20" s="1"/>
  <c r="AL99" i="20"/>
  <c r="K99" i="20" s="1"/>
  <c r="AL98" i="20"/>
  <c r="K98" i="20" s="1"/>
  <c r="AL97" i="20"/>
  <c r="K97" i="20" s="1"/>
  <c r="AL96" i="20"/>
  <c r="K96" i="20" s="1"/>
  <c r="AL95" i="20"/>
  <c r="K95" i="20" s="1"/>
  <c r="AL94" i="20"/>
  <c r="K94" i="20" s="1"/>
  <c r="AL93" i="20"/>
  <c r="K93" i="20" s="1"/>
  <c r="AL92" i="20"/>
  <c r="K92" i="20" s="1"/>
  <c r="AL90" i="20"/>
  <c r="K90" i="20" s="1"/>
  <c r="AL89" i="20"/>
  <c r="K89" i="20" s="1"/>
  <c r="AL88" i="20"/>
  <c r="K88" i="20" s="1"/>
  <c r="AL87" i="20"/>
  <c r="K87" i="20" s="1"/>
  <c r="AL86" i="20"/>
  <c r="K86" i="20" s="1"/>
  <c r="AL84" i="20"/>
  <c r="K84" i="20" s="1"/>
  <c r="AL83" i="20"/>
  <c r="K83" i="20" s="1"/>
  <c r="AL82" i="20"/>
  <c r="K82" i="20" s="1"/>
  <c r="AL81" i="20"/>
  <c r="K81" i="20" s="1"/>
  <c r="AL80" i="20"/>
  <c r="K80" i="20" s="1"/>
  <c r="AL78" i="20"/>
  <c r="K78" i="20" s="1"/>
  <c r="AL77" i="20"/>
  <c r="K77" i="20" s="1"/>
  <c r="AL76" i="20"/>
  <c r="K76" i="20" s="1"/>
  <c r="AL65" i="20"/>
  <c r="K65" i="20" s="1"/>
  <c r="AL63" i="20"/>
  <c r="K63" i="20" s="1"/>
  <c r="AL62" i="20"/>
  <c r="K62" i="20" s="1"/>
  <c r="AL61" i="20"/>
  <c r="K61" i="20" s="1"/>
  <c r="AL60" i="20"/>
  <c r="K60" i="20" s="1"/>
  <c r="AL59" i="20"/>
  <c r="K59" i="20" s="1"/>
  <c r="AL58" i="20"/>
  <c r="K58" i="20" s="1"/>
  <c r="AL71" i="20"/>
  <c r="K71" i="20" s="1"/>
  <c r="AL70" i="20"/>
  <c r="K70" i="20" s="1"/>
  <c r="AL69" i="20"/>
  <c r="K69" i="20" s="1"/>
  <c r="AL68" i="20"/>
  <c r="K68" i="20" s="1"/>
  <c r="AL67" i="20"/>
  <c r="K67" i="20" s="1"/>
  <c r="AL66" i="20"/>
  <c r="K66" i="20" s="1"/>
  <c r="AL25" i="20"/>
  <c r="K25" i="20" s="1"/>
  <c r="AL35" i="20"/>
  <c r="AL41" i="20"/>
  <c r="AL55" i="20"/>
  <c r="K55" i="20" s="1"/>
  <c r="AL13" i="20"/>
  <c r="K13" i="20" s="1"/>
  <c r="AL15" i="20"/>
  <c r="K15" i="20" s="1"/>
  <c r="AL16" i="20"/>
  <c r="K16" i="20" s="1"/>
  <c r="AL17" i="20"/>
  <c r="K17" i="20" s="1"/>
  <c r="AL18" i="20"/>
  <c r="K18" i="20" s="1"/>
  <c r="AL19" i="20"/>
  <c r="K19" i="20" s="1"/>
  <c r="AL20" i="20"/>
  <c r="K20" i="20" s="1"/>
  <c r="AL21" i="20"/>
  <c r="K21" i="20" s="1"/>
  <c r="AL22" i="20"/>
  <c r="K22" i="20" s="1"/>
  <c r="AL23" i="20"/>
  <c r="K23" i="20" s="1"/>
  <c r="AL30" i="20"/>
  <c r="K30" i="20" s="1"/>
  <c r="AL44" i="20"/>
  <c r="K44" i="20" s="1"/>
  <c r="AL51" i="20"/>
  <c r="K51" i="20" s="1"/>
  <c r="AL113" i="20"/>
  <c r="K113" i="20" s="1"/>
  <c r="AL117" i="20"/>
  <c r="K117" i="20" s="1"/>
  <c r="AL122" i="20"/>
  <c r="K122" i="20" s="1"/>
  <c r="AL29" i="20"/>
  <c r="K29" i="20" s="1"/>
  <c r="AL123" i="20"/>
  <c r="K123" i="20" s="1"/>
  <c r="AL40" i="20"/>
  <c r="AL48" i="20"/>
  <c r="AL57" i="20"/>
  <c r="K57" i="20" s="1"/>
  <c r="AL197" i="20"/>
  <c r="K197" i="20" s="1"/>
  <c r="V30" i="20" l="1"/>
  <c r="V17" i="20"/>
  <c r="V25" i="20"/>
  <c r="V118" i="20"/>
  <c r="V102" i="20"/>
  <c r="V55" i="20"/>
  <c r="V89" i="20"/>
  <c r="V16" i="20"/>
  <c r="V27" i="20"/>
  <c r="V29" i="20"/>
  <c r="V48" i="20"/>
  <c r="V70" i="20"/>
  <c r="V122" i="20"/>
  <c r="V68" i="20"/>
  <c r="V117" i="20"/>
  <c r="V69" i="20"/>
  <c r="V78" i="20"/>
  <c r="V93" i="20"/>
  <c r="V54" i="20"/>
  <c r="V124" i="20"/>
  <c r="V28" i="20"/>
  <c r="V115" i="20"/>
  <c r="V56" i="20"/>
  <c r="V50" i="20"/>
  <c r="V12" i="20"/>
  <c r="V90" i="20"/>
  <c r="V120" i="20"/>
  <c r="V92" i="20"/>
  <c r="V52" i="20"/>
  <c r="V41" i="20"/>
  <c r="V58" i="20"/>
  <c r="V116" i="20"/>
  <c r="V22" i="20"/>
  <c r="V59" i="20"/>
  <c r="V83" i="20"/>
  <c r="V97" i="20"/>
  <c r="V107" i="20"/>
  <c r="V108" i="20" s="1"/>
  <c r="V112" i="20"/>
  <c r="V45" i="20"/>
  <c r="V13" i="20"/>
  <c r="V113" i="20"/>
  <c r="V197" i="20"/>
  <c r="V198" i="20" s="1"/>
  <c r="V95" i="20"/>
  <c r="V23" i="20"/>
  <c r="V96" i="20"/>
  <c r="V51" i="20"/>
  <c r="V21" i="20"/>
  <c r="V35" i="20"/>
  <c r="V60" i="20"/>
  <c r="V84" i="20"/>
  <c r="V98" i="20"/>
  <c r="V42" i="20"/>
  <c r="V77" i="20"/>
  <c r="V121" i="20"/>
  <c r="V20" i="20"/>
  <c r="V61" i="20"/>
  <c r="V86" i="20"/>
  <c r="V99" i="20"/>
  <c r="V76" i="20"/>
  <c r="V80" i="20"/>
  <c r="V71" i="20"/>
  <c r="V40" i="20"/>
  <c r="V57" i="20"/>
  <c r="V123" i="20"/>
  <c r="V19" i="20"/>
  <c r="V62" i="20"/>
  <c r="V87" i="20"/>
  <c r="V100" i="20"/>
  <c r="V36" i="20"/>
  <c r="V15" i="20"/>
  <c r="V94" i="20"/>
  <c r="V81" i="20"/>
  <c r="V46" i="20"/>
  <c r="V82" i="20"/>
  <c r="V26" i="20"/>
  <c r="V44" i="20"/>
  <c r="V18" i="20"/>
  <c r="V63" i="20"/>
  <c r="V88" i="20"/>
  <c r="V101" i="20"/>
  <c r="V37" i="20"/>
  <c r="V114" i="20"/>
  <c r="V49" i="20"/>
  <c r="V125" i="20"/>
  <c r="V67" i="20"/>
  <c r="V65" i="20"/>
  <c r="V103" i="20" l="1"/>
  <c r="V126" i="20"/>
  <c r="D52" i="1"/>
  <c r="D50" i="1"/>
  <c r="D43" i="1"/>
  <c r="D49" i="1"/>
  <c r="D46" i="1"/>
  <c r="D54" i="1"/>
  <c r="D56" i="1"/>
  <c r="J14" i="12" l="1"/>
  <c r="J17" i="12" l="1"/>
  <c r="J18" i="12"/>
  <c r="J19" i="12"/>
  <c r="J20" i="12"/>
  <c r="J9" i="12"/>
  <c r="J10" i="12"/>
  <c r="J11" i="12"/>
  <c r="J12" i="12"/>
  <c r="J13" i="12"/>
  <c r="J15" i="12"/>
  <c r="J8" i="12"/>
  <c r="J8" i="11"/>
  <c r="J6" i="12"/>
  <c r="J5" i="12"/>
  <c r="J18" i="11"/>
  <c r="J17" i="11"/>
  <c r="J16" i="11"/>
  <c r="J15" i="11"/>
  <c r="J14" i="11"/>
  <c r="J13" i="11"/>
  <c r="J12" i="11"/>
  <c r="J11" i="11"/>
  <c r="J10" i="11"/>
  <c r="J9" i="11"/>
  <c r="J6" i="11"/>
  <c r="J5" i="11"/>
  <c r="K5" i="7"/>
  <c r="K11" i="7"/>
  <c r="K6" i="7"/>
  <c r="K10" i="7"/>
  <c r="K9" i="7"/>
  <c r="K8" i="7"/>
  <c r="K7" i="7"/>
  <c r="J163" i="9" l="1"/>
  <c r="V43" i="20"/>
  <c r="V72" i="20" s="1"/>
  <c r="D45" i="1" l="1"/>
  <c r="D55" i="1"/>
  <c r="AL133" i="20"/>
  <c r="K133" i="20" s="1"/>
  <c r="AL131" i="20"/>
  <c r="K131" i="20" s="1"/>
  <c r="AL130" i="20"/>
  <c r="V133" i="20" l="1"/>
  <c r="V130" i="20"/>
  <c r="V131" i="20"/>
  <c r="V189" i="20" l="1"/>
  <c r="F9" i="32" s="1"/>
  <c r="F18" i="32" s="1"/>
  <c r="I18" i="32" l="1"/>
  <c r="D44" i="1"/>
  <c r="D40" i="1" s="1"/>
  <c r="D12" i="1" s="1"/>
  <c r="D71"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tc={D3DCFFB6-D1D1-4146-AA9D-772C5F10F2CD}</author>
    <author>tc={C7C40168-07B4-45C1-834C-F8D1BCCC6C12}</author>
    <author>tc={93281175-2F86-433D-ADEA-50E993C0A7B6}</author>
  </authors>
  <commentList>
    <comment ref="D50" authorId="0" shapeId="0" xr:uid="{D3DCFFB6-D1D1-4146-AA9D-772C5F10F2CD}">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@Mirra Flavio (EGP&amp;TGX)  da allineamento con Francesco vanno eliminate queste voci nel BOQ civile</t>
      </text>
    </comment>
    <comment ref="D52" authorId="1" shapeId="0" xr:uid="{C7C40168-07B4-45C1-834C-F8D1BCCC6C12}">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Ho considerato le fondazioni delle CU. Non è chiara questa voce</t>
      </text>
    </comment>
    <comment ref="D54" authorId="2" shapeId="0" xr:uid="{93281175-2F86-433D-ADEA-50E993C0A7B6}">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Ho messo le azioni che sono nel BOQ civile (topsoil establishment e ri-vegetazione aree degradate). Vanno sommate tutte le compensazioni ambientali che sono probabilmente in altro foglio e che seguono i piani ambientali di paese.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tc={0919CC70-914C-4FDA-8716-9631E22B151F}</author>
  </authors>
  <commentList>
    <comment ref="E7" authorId="0" shapeId="0" xr:uid="{0919CC70-914C-4FDA-8716-9631E22B151F}">
      <text>
        <t>[Commento in thread]
La versione di Excel in uso consente di leggere questo commento in thread, ma tutte le modifiche a esso apportate verranno rimosse se il file viene aperto in una versione più recente di Excel. Ulteriori informazioni: https://go.microsoft.com/fwlink/?linkid=870924
[Tasks]
È presente un'attività ancorata a questo commento che non può essere visualizzata nel client.
Commento:
@Pavone Luigi (EGP&amp;TGX) inserite voci personale di costruzione. Aggiungere x favore riferimenti specifica tecnica</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tc={A1820F9A-3709-4956-88F4-AEB198C93104}</author>
    <author>Morgantini Paolo (EGP TGX)</author>
    <author>tc={76B5948E-09DF-4698-B7E3-2F33C3061494}</author>
    <author>tc={5804B65F-C15E-4E85-992E-A92E5111E037}</author>
    <author>tc={8722F4E9-0AF1-4D1C-A36A-86DAA19ACEC4}</author>
    <author>tc={4C4E353B-19A4-43D1-89FB-0D62F7F39044}</author>
  </authors>
  <commentList>
    <comment ref="F8" authorId="0" shapeId="0" xr:uid="{A1820F9A-3709-4956-88F4-AEB198C93104}">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The final list of HSE Plan depending of site activities and characteristics</t>
      </text>
    </comment>
    <comment ref="G8" authorId="1" shapeId="0" xr:uid="{D75F8BB9-D1F8-4C5A-8665-E7D39F198F7C}">
      <text>
        <r>
          <rPr>
            <b/>
            <sz val="9"/>
            <color indexed="81"/>
            <rFont val="Tahoma"/>
            <family val="2"/>
          </rPr>
          <t>Morgantini Paolo (EGP TGX):</t>
        </r>
        <r>
          <rPr>
            <sz val="9"/>
            <color indexed="81"/>
            <rFont val="Tahoma"/>
            <family val="2"/>
          </rPr>
          <t xml:space="preserve">
lump sum</t>
        </r>
      </text>
    </comment>
    <comment ref="G11" authorId="1" shapeId="0" xr:uid="{39D2957B-786C-473A-BD00-B3888DD7B288}">
      <text>
        <r>
          <rPr>
            <b/>
            <sz val="9"/>
            <color indexed="81"/>
            <rFont val="Tahoma"/>
            <family val="2"/>
          </rPr>
          <t>Morgantini Paolo (EGP TGX):</t>
        </r>
        <r>
          <rPr>
            <sz val="9"/>
            <color indexed="81"/>
            <rFont val="Tahoma"/>
            <family val="2"/>
          </rPr>
          <t xml:space="preserve">
lump sum</t>
        </r>
      </text>
    </comment>
    <comment ref="G14" authorId="1" shapeId="0" xr:uid="{2EFF8DED-7460-4B07-8822-206EDBA2B094}">
      <text>
        <r>
          <rPr>
            <b/>
            <sz val="9"/>
            <color indexed="81"/>
            <rFont val="Tahoma"/>
            <family val="2"/>
          </rPr>
          <t>Morgantini Paolo (EGP TGX):</t>
        </r>
        <r>
          <rPr>
            <sz val="9"/>
            <color indexed="81"/>
            <rFont val="Tahoma"/>
            <family val="2"/>
          </rPr>
          <t xml:space="preserve">
lump sum</t>
        </r>
      </text>
    </comment>
    <comment ref="F17" authorId="2" shapeId="0" xr:uid="{76B5948E-09DF-4698-B7E3-2F33C3061494}">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Depending on the project activities</t>
      </text>
    </comment>
    <comment ref="G17" authorId="1" shapeId="0" xr:uid="{A88C2DC2-99B1-4187-9E04-CEBE08201850}">
      <text>
        <r>
          <rPr>
            <b/>
            <sz val="9"/>
            <color indexed="81"/>
            <rFont val="Tahoma"/>
            <family val="2"/>
          </rPr>
          <t>Morgantini Paolo (EGP TGX):</t>
        </r>
        <r>
          <rPr>
            <sz val="9"/>
            <color indexed="81"/>
            <rFont val="Tahoma"/>
            <family val="2"/>
          </rPr>
          <t xml:space="preserve">
lump sum</t>
        </r>
      </text>
    </comment>
    <comment ref="G20" authorId="1" shapeId="0" xr:uid="{5ABCF1C8-5A69-43C3-90E3-894EAEE24691}">
      <text>
        <r>
          <rPr>
            <b/>
            <sz val="9"/>
            <color indexed="81"/>
            <rFont val="Tahoma"/>
            <family val="2"/>
          </rPr>
          <t>Morgantini Paolo (EGP TGX):</t>
        </r>
        <r>
          <rPr>
            <sz val="9"/>
            <color indexed="81"/>
            <rFont val="Tahoma"/>
            <family val="2"/>
          </rPr>
          <t xml:space="preserve">
lump sum</t>
        </r>
      </text>
    </comment>
    <comment ref="G23" authorId="1" shapeId="0" xr:uid="{27950E9B-1D0A-4D55-AA17-3D245E4B78CA}">
      <text>
        <r>
          <rPr>
            <b/>
            <sz val="9"/>
            <color indexed="81"/>
            <rFont val="Tahoma"/>
            <family val="2"/>
          </rPr>
          <t>Morgantini Paolo (EGP TGX):</t>
        </r>
        <r>
          <rPr>
            <sz val="9"/>
            <color indexed="81"/>
            <rFont val="Tahoma"/>
            <family val="2"/>
          </rPr>
          <t xml:space="preserve">
lump sum</t>
        </r>
      </text>
    </comment>
    <comment ref="G24" authorId="1" shapeId="0" xr:uid="{77D4CEE1-8F55-404E-B519-788438DFAEA7}">
      <text>
        <r>
          <rPr>
            <b/>
            <sz val="9"/>
            <color indexed="81"/>
            <rFont val="Tahoma"/>
            <family val="2"/>
          </rPr>
          <t>Morgantini Paolo (EGP TGX):</t>
        </r>
        <r>
          <rPr>
            <sz val="9"/>
            <color indexed="81"/>
            <rFont val="Tahoma"/>
            <family val="2"/>
          </rPr>
          <t xml:space="preserve">
lump sum</t>
        </r>
      </text>
    </comment>
    <comment ref="G27" authorId="1" shapeId="0" xr:uid="{957F3163-7395-4A50-BBE5-2004AB2FC4CC}">
      <text>
        <r>
          <rPr>
            <b/>
            <sz val="9"/>
            <color indexed="81"/>
            <rFont val="Tahoma"/>
            <family val="2"/>
          </rPr>
          <t>Morgantini Paolo (EGP TGX):</t>
        </r>
        <r>
          <rPr>
            <sz val="9"/>
            <color indexed="81"/>
            <rFont val="Tahoma"/>
            <family val="2"/>
          </rPr>
          <t xml:space="preserve">
lump sum</t>
        </r>
      </text>
    </comment>
    <comment ref="F28" authorId="3" shapeId="0" xr:uid="{5804B65F-C15E-4E85-992E-A92E5111E037}">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Depending of the project activities</t>
      </text>
    </comment>
    <comment ref="G28" authorId="1" shapeId="0" xr:uid="{4ABFC8FF-562C-4C44-B73F-BA919B79B7B5}">
      <text>
        <r>
          <rPr>
            <b/>
            <sz val="9"/>
            <color indexed="81"/>
            <rFont val="Tahoma"/>
            <family val="2"/>
          </rPr>
          <t>Morgantini Paolo (EGP TGX):</t>
        </r>
        <r>
          <rPr>
            <sz val="9"/>
            <color indexed="81"/>
            <rFont val="Tahoma"/>
            <family val="2"/>
          </rPr>
          <t xml:space="preserve">
lump sum</t>
        </r>
      </text>
    </comment>
    <comment ref="F29" authorId="4" shapeId="0" xr:uid="{8722F4E9-0AF1-4D1C-A36A-86DAA19ACEC4}">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Depending of the project activities</t>
      </text>
    </comment>
    <comment ref="F30" authorId="5" shapeId="0" xr:uid="{4C4E353B-19A4-43D1-89FB-0D62F7F39044}">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Depending of the project activities</t>
      </text>
    </comment>
    <comment ref="G30" authorId="1" shapeId="0" xr:uid="{7F11C1F0-9031-4BDC-8673-720466190A97}">
      <text>
        <r>
          <rPr>
            <b/>
            <sz val="9"/>
            <color indexed="81"/>
            <rFont val="Tahoma"/>
            <family val="2"/>
          </rPr>
          <t>Morgantini Paolo (EGP TGX):</t>
        </r>
        <r>
          <rPr>
            <sz val="9"/>
            <color indexed="81"/>
            <rFont val="Tahoma"/>
            <family val="2"/>
          </rPr>
          <t xml:space="preserve">
lump sum</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tc={A03727F9-09BB-4736-A480-50AF583888BD}</author>
    <author>tc={82DEBC0E-174F-403C-84A9-2904FF1FAC86}</author>
  </authors>
  <commentList>
    <comment ref="D198" authorId="0" shapeId="0" xr:uid="{A03727F9-09BB-4736-A480-50AF583888BD}">
      <text>
        <t xml:space="preserve">[Commento in thread]
La versione di Excel in uso consente di leggere questo commento in thread, ma tutte le modifiche a esso apportate verranno rimosse se il file viene aperto in una versione più recente di Excel. Ulteriori informazioni: https://go.microsoft.com/fwlink/?linkid=870924
[Tasks]
È presente un'attività ancorata a questo commento che non può essere visualizzata nel client.
Commento:
@D'Orsi Roberto (EGP&amp;TGX) la linea MT fuori dal parco dove viene considerata? Linea MT fuori dal parco FV (dalla cabina di consegna fino alla sottostazione o altro punto indicato da Edistribuzione). I lavori per la linea MT esterna al parco devono essere necessariamente quotati separatamente dalle linee MT interne per valutare se conveniene farla fare al BOPista o ad Edistribuzione. Per la linea MT occorre avere le seguenti righe: 1) fornitura cavo MT ad elica visibile (e corrugato, se applica) 2)posa del cavo 3) scavo e richiusura dello scavo con letto di sabbia e descrizione della protezione (es. calcestruzzo, gettato o in lastre, ecc.) 4) asfaltatura 5) Trivellazione Orizzontale Controllata 6) fornitura e posa fibra ottica, incluso corrugato e tutto quanto necessario </t>
      </text>
    </comment>
    <comment ref="D199" authorId="1" shapeId="0" xr:uid="{82DEBC0E-174F-403C-84A9-2904FF1FAC86}">
      <text>
        <t>[Commento in thread]
La versione di Excel in uso consente di leggere questo commento in thread, ma tutte le modifiche a esso apportate verranno rimosse se il file viene aperto in una versione più recente di Excel. Ulteriori informazioni: https://go.microsoft.com/fwlink/?linkid=870924
[Tasks]
È presente un'attività ancorata a questo commento che non può essere visualizzata nel client.
Commento:
@D'Orsi Roberto (EGP&amp;TGX) Esplodere la voce di costo attuale nelle seguenti: 1) Fornitura e posa del cabinato (box) per le cabine MT utente, delivery, sezionamento, scada etc 2)Fornitura e montaggio delle apparecchiature elettromeccaniche della cabina utente, inclusi collegamento dei cavi 3) Fornitura e montaggio delle apparecchiature elettromeccaniche della cabina di consegna, inclusi collegamento dei cavi 4)Fornitura e montaggio delle apparecchiature elettromeccaniche della cabina sezionamento, inclusi collegamento dei cavi.Qualora nella nuova versione che vi accingete a condividere fossero già presenti, non considerare il commento</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tc={C41043D3-95F6-4D6E-93E0-4E6B8FF5DAC6}</author>
  </authors>
  <commentList>
    <comment ref="D193" authorId="0" shapeId="0" xr:uid="{C41043D3-95F6-4D6E-93E0-4E6B8FF5DAC6}">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@Tosi Giada (EGP&amp;TGX) inseriamo qui HDD?</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tc={AC8B2D18-B50E-4FA3-A4AA-D1A7E7FA2624}</author>
  </authors>
  <commentList>
    <comment ref="C15" authorId="0" shapeId="0" xr:uid="{AC8B2D18-B50E-4FA3-A4AA-D1A7E7FA2624}">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Da far confermare a @Basili Maurizio (EGP&amp;TGX) 
Rispondi:
OK, confermo</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tc={598AEB7E-48D6-4722-8F94-94EF4B8908D7}</author>
    <author>tc={B8ABF888-64E9-45DB-860B-13379CC0D88A}</author>
  </authors>
  <commentList>
    <comment ref="E42" authorId="0" shapeId="0" xr:uid="{598AEB7E-48D6-4722-8F94-94EF4B8908D7}">
      <text>
        <t>[Commento in thread]
La versione di Excel in uso consente di leggere questo commento in thread, ma tutte le modifiche a esso apportate verranno rimosse se il file viene aperto in una versione più recente di Excel. Ulteriori informazioni: https://go.microsoft.com/fwlink/?linkid=870924
[Tasks]
È presente un'attività ancorata a questo commento che non può essere visualizzata nel client.
Commento:
@Angeli Duodo Ginevra (EGP&amp;TGX) controllare se serve ancora</t>
      </text>
    </comment>
    <comment ref="E56" authorId="1" shapeId="0" xr:uid="{B8ABF888-64E9-45DB-860B-13379CC0D88A}">
      <text>
        <t xml:space="preserve">[Commento in thread]
La versione di Excel in uso consente di leggere questo commento in thread, ma tutte le modifiche a esso apportate verranno rimosse se il file viene aperto in una versione più recente di Excel. Ulteriori informazioni: https://go.microsoft.com/fwlink/?linkid=870924
[Tasks]
È presente un'attività ancorata a questo commento che non può essere visualizzata nel client.
Commento:
@Avanzi Andrea (GPROC) chiarire perché si accorpano voci di safety con quelle commussioning (approccio credo non confermato per il commissionind delle voci in opzione). Chiedo a @Morgantini Paolo (EGP&amp;TGX) e @Melani Walter (EGP&amp;TGX) se l’approccio proposto da PROC possa esser accettato
Rispondi:
@Morgantini Paolo (EGP&amp;TGX) 
Rispondi:
@Melani Walter (EGP&amp;TGX)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tc={D767E4E1-ECC5-4D4A-ABA1-B79BB67CB406}</author>
    <author>tc={36592370-D4DD-43BA-9798-5815AFC73682}</author>
    <author>tc={B4976549-4751-4AC2-90C9-EF7A0FFFBFB1}</author>
    <author>tc={C9B2CFF2-F78B-40A1-8D9E-8B8533FA2EA4}</author>
  </authors>
  <commentList>
    <comment ref="C10" authorId="0" shapeId="0" xr:uid="{D767E4E1-ECC5-4D4A-ABA1-B79BB67CB406}">
      <text>
        <t>[Commento in thread]
La versione di Excel in uso consente di leggere questo commento in thread, ma tutte le modifiche a esso apportate verranno rimosse se il file viene aperto in una versione più recente di Excel. Ulteriori informazioni: https://go.microsoft.com/fwlink/?linkid=870924
[Tasks]
È presente un'attività ancorata a questo commento che non può essere visualizzata nel client.
Commento:
@Russo Girolamo (EGP&amp;TGX) cortesemente ti chiedo di indicare i codici TS riferite a questa voce e alle successive due. In caso di dubbi contattami. grazie</t>
      </text>
    </comment>
    <comment ref="E10" authorId="1" shapeId="0" xr:uid="{36592370-D4DD-43BA-9798-5815AFC73682}">
      <text>
        <t>[Commento in thread]
La versione di Excel in uso consente di leggere questo commento in thread, ma tutte le modifiche a esso apportate verranno rimosse se il file viene aperto in una versione più recente di Excel. Ulteriori informazioni: https://go.microsoft.com/fwlink/?linkid=870924
[Tasks]
È presente un'attività ancorata a questo commento che non può essere visualizzata nel client.
Commento:
@Avanzi Andrea (GPROC) dettaglio non esplicitato per altre tecnologie (WTG)</t>
      </text>
    </comment>
    <comment ref="C11" authorId="2" shapeId="0" xr:uid="{B4976549-4751-4AC2-90C9-EF7A0FFFBFB1}">
      <text>
        <t>[Commento in thread]
La versione di Excel in uso consente di leggere questo commento in thread, ma tutte le modifiche a esso apportate verranno rimosse se il file viene aperto in una versione più recente di Excel. Ulteriori informazioni: https://go.microsoft.com/fwlink/?linkid=870924
[Tasks]
È presente un'attività ancorata a questo commento che non può essere visualizzata nel client.
Commento:
@Russo Girolamo (EGP&amp;TGX) cortesemente ti chiedo di indicare i codici TS riferite a questa voce e alle successive due. In caso di dubbi contattami. grazie</t>
      </text>
    </comment>
    <comment ref="C12" authorId="3" shapeId="0" xr:uid="{C9B2CFF2-F78B-40A1-8D9E-8B8533FA2EA4}">
      <text>
        <t>[Commento in thread]
La versione di Excel in uso consente di leggere questo commento in thread, ma tutte le modifiche a esso apportate verranno rimosse se il file viene aperto in una versione più recente di Excel. Ulteriori informazioni: https://go.microsoft.com/fwlink/?linkid=870924
[Tasks]
È presente un'attività ancorata a questo commento che non può essere visualizzata nel client.
Commento:
@Russo Girolamo (EGP&amp;TGX) cortesemente ti chiedo di indicare i codici TS riferite a questa voce e alle successive due. In caso di dubbi contattami. grazie</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tc={41572B8A-44D4-45D0-8ED0-5BCFA05C05F9}</author>
    <author>tc={651FB5BD-1856-4451-A834-0608FB750217}</author>
    <author>tc={EA2C5F05-7B20-4AC1-B88E-2A4376FCAB16}</author>
    <author>tc={413FB4A3-4CA5-42F8-9BAC-6BE7522F11DC}</author>
    <author>tc={6F7B1C0B-0151-4860-B099-2E8B09AB3C76}</author>
    <author>tc={37391BAB-614D-49D5-9565-A3AE57FD975D}</author>
  </authors>
  <commentList>
    <comment ref="E19" authorId="0" shapeId="0" xr:uid="{41572B8A-44D4-45D0-8ED0-5BCFA05C05F9}">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@Tringali Danilo (EGP&amp;TGX) verificare con foglio HSE</t>
      </text>
    </comment>
    <comment ref="E20" authorId="1" shapeId="0" xr:uid="{651FB5BD-1856-4451-A834-0608FB750217}">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@Tringali Danilo (EGP&amp;TGX) temi comm nel foglio comm… ad oggi no news about this by comm</t>
      </text>
    </comment>
    <comment ref="E21" authorId="2" shapeId="0" xr:uid="{EA2C5F05-7B20-4AC1-B88E-2A4376FCAB16}">
      <text>
        <t xml:space="preserve">[Commento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@Tringali Danilo (EGP&amp;TGX)  idem sopra
</t>
      </text>
    </comment>
    <comment ref="E24" authorId="3" shapeId="0" xr:uid="{413FB4A3-4CA5-42F8-9BAC-6BE7522F11DC}">
      <text>
        <t>[Commento in thread]
La versione di Excel in uso consente di leggere questo commento in thread, ma tutte le modifiche a esso apportate verranno rimosse se il file viene aperto in una versione più recente di Excel. Ulteriori informazioni: https://go.microsoft.com/fwlink/?linkid=870924
[Tasks]
È presente un'attività ancorata a questo commento che non può essere visualizzata nel client.
Commento:
@Tringali Danilo (EGP&amp;TGX) Vedere foglio design ed eventualmente ne parliamo per aggiornamento</t>
      </text>
    </comment>
    <comment ref="E25" authorId="4" shapeId="0" xr:uid="{6F7B1C0B-0151-4860-B099-2E8B09AB3C76}">
      <text>
        <t>[Commento in thread]
La versione di Excel in uso consente di leggere questo commento in thread, ma tutte le modifiche a esso apportate verranno rimosse se il file viene aperto in una versione più recente di Excel. Ulteriori informazioni: https://go.microsoft.com/fwlink/?linkid=870924
[Tasks]
È presente un'attività ancorata a questo commento che non può essere visualizzata nel client.
Commento:
@Mirra Flavio (EGP&amp;TGX) lo lasciamo qui?</t>
      </text>
    </comment>
    <comment ref="E27" authorId="5" shapeId="0" xr:uid="{37391BAB-614D-49D5-9565-A3AE57FD975D}">
      <text>
        <t>[Commento in thread]
La versione di Excel in uso consente di leggere questo commento in thread, ma tutte le modifiche a esso apportate verranno rimosse se il file viene aperto in una versione più recente di Excel. Ulteriori informazioni: https://go.microsoft.com/fwlink/?linkid=870924
[Tasks]
È presente un'attività ancorata a questo commento che non può essere visualizzata nel client.
Commento:
@Mirra Flavio (EGP&amp;TGX) / @Tringali Danilo (EGP&amp;TGX)  come richiesto da Proc ogni foglio dovrebbe contenuere se possibile tutte le voci riguardanti le aree di impianto. Questo è un esempio in cui opere civili dovrebbero star qui e non nel foglio civile… parliamone. Se le mettiamo qui credo vada dato il dettaglio solito civile
Rispondi:
Cambiare descrizione voce</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tc={220E84BC-B636-450B-81DB-5EA679C66A53}</author>
    <author>Morgantini Paolo (EGP TGX)</author>
    <author>tc={5C070D85-288C-437F-A480-287DCA27F3E7}</author>
  </authors>
  <commentList>
    <comment ref="F10" authorId="0" shapeId="0" xr:uid="{220E84BC-B636-450B-81DB-5EA679C66A53}">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The final list of HSE Plan depending of site activities and characteristics</t>
      </text>
    </comment>
    <comment ref="G10" authorId="1" shapeId="0" xr:uid="{80E27338-D8ED-4B47-8D2B-5EE35936BE61}">
      <text>
        <r>
          <rPr>
            <b/>
            <sz val="9"/>
            <color indexed="81"/>
            <rFont val="Tahoma"/>
            <family val="2"/>
          </rPr>
          <t>Morgantini Paolo (EGP TGX):</t>
        </r>
        <r>
          <rPr>
            <sz val="9"/>
            <color indexed="81"/>
            <rFont val="Tahoma"/>
            <family val="2"/>
          </rPr>
          <t xml:space="preserve">
lump sum</t>
        </r>
      </text>
    </comment>
    <comment ref="F22" authorId="2" shapeId="0" xr:uid="{5C070D85-288C-437F-A480-287DCA27F3E7}">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Depending of the project activities</t>
      </text>
    </comment>
  </commentList>
</comments>
</file>

<file path=xl/sharedStrings.xml><?xml version="1.0" encoding="utf-8"?>
<sst xmlns="http://schemas.openxmlformats.org/spreadsheetml/2006/main" count="11405" uniqueCount="2620">
  <si>
    <t>Procurement Process - Progetto Name</t>
  </si>
  <si>
    <t>BOP Advanced Basic Design Approach + O&amp;M Building</t>
  </si>
  <si>
    <t>Tender</t>
  </si>
  <si>
    <t>BOP Advanced Basic Design</t>
  </si>
  <si>
    <t>SOW</t>
  </si>
  <si>
    <t>Date Offer</t>
  </si>
  <si>
    <t>Name of the Supplier</t>
  </si>
  <si>
    <t>CONTRACTOR</t>
  </si>
  <si>
    <t>Legal Representative</t>
  </si>
  <si>
    <t>Plant Name</t>
  </si>
  <si>
    <t>Project name</t>
  </si>
  <si>
    <t>PROJECT</t>
  </si>
  <si>
    <t>Revision</t>
  </si>
  <si>
    <t>Inverter Type</t>
  </si>
  <si>
    <t>String Inverter</t>
  </si>
  <si>
    <t>TECHNOLOGY</t>
  </si>
  <si>
    <t>01</t>
  </si>
  <si>
    <t>PV Modules</t>
  </si>
  <si>
    <t>Bifacial</t>
  </si>
  <si>
    <t>Structures</t>
  </si>
  <si>
    <t>Tracker System</t>
  </si>
  <si>
    <t>Currency</t>
  </si>
  <si>
    <t>Paralel Station</t>
  </si>
  <si>
    <t>MV Parallel Station Not Necessary</t>
  </si>
  <si>
    <t>EUR</t>
  </si>
  <si>
    <t>Voltage Level of Connection</t>
  </si>
  <si>
    <t>High Voltage</t>
  </si>
  <si>
    <t>CONNECTION</t>
  </si>
  <si>
    <t>Exch.Rate</t>
  </si>
  <si>
    <t>Voltage [kV]</t>
  </si>
  <si>
    <t>OHL T-Line lenght [km]</t>
  </si>
  <si>
    <t>UGR HV T-Line lenght [km]</t>
  </si>
  <si>
    <t>Type of HV Connection</t>
  </si>
  <si>
    <t>New Bay in Existing Substation</t>
  </si>
  <si>
    <t>Total DC Power [MW]</t>
  </si>
  <si>
    <t>POWER</t>
  </si>
  <si>
    <t>Total AC Power [MW]</t>
  </si>
  <si>
    <t>Total DC Site Camp 
Stand-alone PV plants [W]</t>
  </si>
  <si>
    <t>INCOTERMS</t>
  </si>
  <si>
    <t>DDP</t>
  </si>
  <si>
    <t>LOGISTIC</t>
  </si>
  <si>
    <t>PROJECT:</t>
  </si>
  <si>
    <t>Pontestura</t>
  </si>
  <si>
    <t>LOCAL CURRENCY:</t>
  </si>
  <si>
    <t>Potenza DC (MW)</t>
  </si>
  <si>
    <t>Rev:</t>
  </si>
  <si>
    <t>CONTRACTOR:</t>
  </si>
  <si>
    <t>Nome dell'impresa</t>
  </si>
  <si>
    <t>gg/mm/2025</t>
  </si>
  <si>
    <t>Sheet Name</t>
  </si>
  <si>
    <t>BASE</t>
  </si>
  <si>
    <t>OPTIONAL</t>
  </si>
  <si>
    <t>Miscellaneous</t>
  </si>
  <si>
    <t>Civil Works</t>
  </si>
  <si>
    <t>Civil BOP</t>
  </si>
  <si>
    <t>ACCESS ROADS</t>
  </si>
  <si>
    <t>O&amp;M Building</t>
  </si>
  <si>
    <t>EMBOP-SI</t>
  </si>
  <si>
    <t>Electro-Mechanical BOP for String Inverter Solution</t>
  </si>
  <si>
    <t>TRK Install.</t>
  </si>
  <si>
    <t>Trackers Installation</t>
  </si>
  <si>
    <t>Spare Parts</t>
  </si>
  <si>
    <t>HSE (ITA ESP)</t>
  </si>
  <si>
    <t>Health Safety Environment</t>
  </si>
  <si>
    <t>Sustainability</t>
  </si>
  <si>
    <t>Security</t>
  </si>
  <si>
    <t>Tot</t>
  </si>
  <si>
    <t>Total Base €/W</t>
  </si>
  <si>
    <t>PROJECT NAME</t>
  </si>
  <si>
    <t>BILL OF QUANTITIES - SUMMARY</t>
  </si>
  <si>
    <t>SECTION</t>
  </si>
  <si>
    <t>MANDATORY ITEMS</t>
  </si>
  <si>
    <t>OPTIONAL ITEMS</t>
  </si>
  <si>
    <t>NOTE</t>
  </si>
  <si>
    <t>Support Structures &amp; Trackers Total</t>
  </si>
  <si>
    <t>Support Structures &amp; Trackers System Custom Cleareance</t>
  </si>
  <si>
    <t>Support Structures &amp; Trackers System Supply or 
Floating Structure and Achoring System Supply</t>
  </si>
  <si>
    <t>Support Structures &amp; Trackers Transportation</t>
  </si>
  <si>
    <t>Support Structures &amp; Trackers back-up parts supply</t>
  </si>
  <si>
    <t>BOP Total (Electrical + Civil)</t>
  </si>
  <si>
    <t>BOP Electrical Total</t>
  </si>
  <si>
    <t>Cables Total</t>
  </si>
  <si>
    <t>MV CABLES SUPPLY</t>
  </si>
  <si>
    <t>LV CABLES  SUPPLY</t>
  </si>
  <si>
    <t>I&amp;C CABLES SUPPLY</t>
  </si>
  <si>
    <t>BOP Electrical Works</t>
  </si>
  <si>
    <t>MV CABLES INSTALLATION</t>
  </si>
  <si>
    <t>LV CABLES  INSTALLATION</t>
  </si>
  <si>
    <t>I&amp;C CABLES INSTALLATION</t>
  </si>
  <si>
    <t>EARTHING SYSTEM INSTALLATION</t>
  </si>
  <si>
    <t>I&amp;C MAIN EQUIPMENT INSTALLATION</t>
  </si>
  <si>
    <t>SOLAR EQUIPMENT INSTALLATION</t>
  </si>
  <si>
    <t>DIESEL GENERATOR INSTALLATION</t>
  </si>
  <si>
    <t>FIRE RESISTANT ANTI-RODENT BARRIER AND SEALING SUPPLY</t>
  </si>
  <si>
    <t>VIDEO SURVEILLANCE AND ANTI-INTRUSION SYSTEM</t>
  </si>
  <si>
    <t xml:space="preserve">OTHERS </t>
  </si>
  <si>
    <t>COMMISSIONING</t>
  </si>
  <si>
    <t>BOP Electrical Equipments</t>
  </si>
  <si>
    <t>I&amp;C MAIN EQUIPMENT SUPPLY</t>
  </si>
  <si>
    <t>SOLAR EQUIPMENT SUPPLY</t>
  </si>
  <si>
    <t>DIESEL GENERATOR SUPPLY</t>
  </si>
  <si>
    <t>BOP Electrical Other</t>
  </si>
  <si>
    <t>EARTHING SYSTEM SUPPLY</t>
  </si>
  <si>
    <t>VIDEO SURVEILLANCE AND ANTI-INTRUSION SYSTEM SUPPLY</t>
  </si>
  <si>
    <t>ENGINEERING</t>
  </si>
  <si>
    <t>OTHERS SUPPLY</t>
  </si>
  <si>
    <t>BOP Civil Total</t>
  </si>
  <si>
    <t>Civil works</t>
  </si>
  <si>
    <t>Cleanup of explosive remants of war</t>
  </si>
  <si>
    <t>Earth Movements</t>
  </si>
  <si>
    <t>Collector Trenches</t>
  </si>
  <si>
    <t>Drainage system</t>
  </si>
  <si>
    <t>Fences</t>
  </si>
  <si>
    <t>Site Facilities</t>
  </si>
  <si>
    <t>External Roads</t>
  </si>
  <si>
    <t>Internal Roads</t>
  </si>
  <si>
    <t>Modules Installation</t>
  </si>
  <si>
    <t>Support Structures &amp; Trackers System Installation and Commissioning or Floating Structure and Achoring System Installation and Commissioning</t>
  </si>
  <si>
    <t>Conversion unit platform</t>
  </si>
  <si>
    <t>O&amp;M Building and Auxiliary Building</t>
  </si>
  <si>
    <t>Enviromental Works</t>
  </si>
  <si>
    <t>BOP Civil Other</t>
  </si>
  <si>
    <t>Engineering</t>
  </si>
  <si>
    <t>FIRE WATER SUPPLY</t>
  </si>
  <si>
    <t>PIPING, VALVES AND ACCESSORIES</t>
  </si>
  <si>
    <t>HYDRANTS AND ACCESSORIES</t>
  </si>
  <si>
    <t>WATER SPRAY FOR TRANSFORMERS</t>
  </si>
  <si>
    <t>FIRE DETECTION</t>
  </si>
  <si>
    <t>WATER MANAGEMENT</t>
  </si>
  <si>
    <t>Safety costs</t>
  </si>
  <si>
    <t>Valid only for Italy and Spain (Safety costs NOT subject to discount)</t>
  </si>
  <si>
    <t>HSE other costs</t>
  </si>
  <si>
    <t>SPARE PARTS</t>
  </si>
  <si>
    <t>TOTAL</t>
  </si>
  <si>
    <t>ENGINEERING SERVICES</t>
  </si>
  <si>
    <t>WBS</t>
  </si>
  <si>
    <t>Reference Document</t>
  </si>
  <si>
    <t>Code</t>
  </si>
  <si>
    <t>DESCRIPTION</t>
  </si>
  <si>
    <t>SCOPE</t>
  </si>
  <si>
    <t>Unit of measure</t>
  </si>
  <si>
    <t>Quantity</t>
  </si>
  <si>
    <t>Labour</t>
  </si>
  <si>
    <t>Equipment</t>
  </si>
  <si>
    <t>SUPPLY</t>
  </si>
  <si>
    <t>Unit Price</t>
  </si>
  <si>
    <t>Total Price</t>
  </si>
  <si>
    <t>Notes</t>
  </si>
  <si>
    <t>ORE/U.M.</t>
  </si>
  <si>
    <t>EURO/Hour</t>
  </si>
  <si>
    <t>EURO/U.M.</t>
  </si>
  <si>
    <t>Main equipment used for works, for each item</t>
  </si>
  <si>
    <t>Description of supplied materials, for each item</t>
  </si>
  <si>
    <t>GENERAL COSTS </t>
  </si>
  <si>
    <t>Total Mandatory</t>
  </si>
  <si>
    <t> </t>
  </si>
  <si>
    <t>Total Option</t>
  </si>
  <si>
    <t>Bank Guarantee</t>
  </si>
  <si>
    <t>GRE…..</t>
  </si>
  <si>
    <t>Cost of Bank Guarantee (Down Payment, Execution, Warranty - exclusion of FX, Tracker, SI, PCU, TC supply)</t>
  </si>
  <si>
    <t>Mandatory</t>
  </si>
  <si>
    <t>ls</t>
  </si>
  <si>
    <t>PV MODULE CLEANING</t>
  </si>
  <si>
    <t>Cleaning of the PV Modules to be carried out immediately before the final electrification and anyway in order to guarantee the optimal performance of the PV Park from the beginning.</t>
  </si>
  <si>
    <t>N° PV Modules</t>
  </si>
  <si>
    <t>Preliminary works and Site Survey</t>
  </si>
  <si>
    <t>Topographical survey</t>
  </si>
  <si>
    <t>Optional</t>
  </si>
  <si>
    <t>Applicable For LS</t>
  </si>
  <si>
    <t>Geological and geotechnical including surveys and electrical grounding parameters.</t>
  </si>
  <si>
    <t>Underground investigation of existing utilities / foundations</t>
  </si>
  <si>
    <t>Engineering Design</t>
  </si>
  <si>
    <t>Executive Civil Design</t>
  </si>
  <si>
    <t>Red Lines Civil Design</t>
  </si>
  <si>
    <t>External Roads Executive Design</t>
  </si>
  <si>
    <t>External Roads Red Lines Design</t>
  </si>
  <si>
    <t>As Built Civil Design</t>
  </si>
  <si>
    <t>As Built Engineering Firefighting FF</t>
  </si>
  <si>
    <t>Design for permit</t>
  </si>
  <si>
    <t>Executive Electrical Design</t>
  </si>
  <si>
    <t>FIREFIGHTING FF EXECUTIVE DESIGN
Executive design of all fire detection and fire fighting system included in BOP scope of supply (including FF Engineering for TAC, in case TAC is in SoW)</t>
  </si>
  <si>
    <t>FIREFIGHTING FF CERTIFICATION
Hand over to ENEL of all declartions and certification related to "safety relevant systems", to be used for "SCIA Antincendio" - reference Italian Decress 37/08, 07/08/12, 20/12/12</t>
  </si>
  <si>
    <t>Red Lines Electrical Design</t>
  </si>
  <si>
    <t>Red Lines Engineering Firefighting FF</t>
  </si>
  <si>
    <t>As Built Electrical Design</t>
  </si>
  <si>
    <t>Environmental</t>
  </si>
  <si>
    <t>WBS (per Mr Quyd)
*da ricostruire struttura</t>
  </si>
  <si>
    <t>DESCRIPTION ITEM</t>
  </si>
  <si>
    <t>Mitigation  </t>
  </si>
  <si>
    <t>Fauna Mitigation</t>
  </si>
  <si>
    <t>All necessary measures to minimize the impacts of the project on wildlife (e.g. bird diverters for HV line, environmental-friendly fences, monitorig fauna, rescue fauna…)</t>
  </si>
  <si>
    <t>NA</t>
  </si>
  <si>
    <t>Vegetation and Flora Mitigation</t>
  </si>
  <si>
    <t>All necessary measures to minimize or restore the impacts of the project on natural vegetation (e.g. physiographic restitution, revegetation, fences for critical habitats or protected flora, monitoring flora, rescue flora…)</t>
  </si>
  <si>
    <t>Landscape and other Mitigation measures</t>
  </si>
  <si>
    <t>All necessary measures to minimize the impacts of the project on landscape and other environmental components (e.g. natural and phisycal screens, noise barriers,…) - Opera di mitigazione perimetrale realizzata in accordo alle  specifiche tecniche riportate nelle prescrizioni autorizzative del Decreto di AU</t>
  </si>
  <si>
    <t xml:space="preserve">Compensation </t>
  </si>
  <si>
    <t>Fauna Compensation</t>
  </si>
  <si>
    <t>All possible measures to compensate the residual impacts of the project on fauna (e.g. shelter, artificial nests, feeding point, re-population of species…)</t>
  </si>
  <si>
    <t>Vegetation and Flora Compensation</t>
  </si>
  <si>
    <t>All possible measures to compensate the residual impacts of the project on vegetation (e.g. activities in case of habitat loss, ecological corridors, compensations programs invasive/exotic species, pollinator-friendly cultivation…)</t>
  </si>
  <si>
    <t>Landscape and other Compensation measures</t>
  </si>
  <si>
    <t>All possible measures to compensate the residual impacts of the project on landscape and other environmental componentes (e.g. construction of viewpoints, trail, information panels…) - Si veda riga precedente relative alle mitigazioni</t>
  </si>
  <si>
    <t>Archaeological, paleontological &amp; Cultural Heritage Compensation</t>
  </si>
  <si>
    <t>All possible measures to restore and enhance archaeological, paleontological and heritage elements.</t>
  </si>
  <si>
    <t>PERSONNEL</t>
  </si>
  <si>
    <t>Construction Personnel</t>
  </si>
  <si>
    <t/>
  </si>
  <si>
    <t>GRE.EEC.S.00.XX.A.00000.00.392.00</t>
  </si>
  <si>
    <t>General costs (Project Manager- Site Manager- Civil Supervisor - Electrical Supervisor- Mechanical Supervisor- Quality Controller- Material Supervisor- Topographical surveyor)</t>
  </si>
  <si>
    <t>h</t>
  </si>
  <si>
    <t>HSE Personnel</t>
  </si>
  <si>
    <t>HSE Requirements (rev.03):
par. 8.1.1. HSE Organization for Construction Work Sites
par. 8.1.4. HSE Contractors Team</t>
  </si>
  <si>
    <t>HSE Coordinator</t>
  </si>
  <si>
    <t>HS Officer</t>
  </si>
  <si>
    <t>Env Officer</t>
  </si>
  <si>
    <t>Documents HSE administrator</t>
  </si>
  <si>
    <t>according with the specific needs of the project</t>
  </si>
  <si>
    <t>Unloading and Storage of Equipment</t>
  </si>
  <si>
    <t>GRE.EEC.S.00.XX.A.00000.00.392.00
GRE.EEC.S.21.IT.P.18371.00.126.01 - SOW BOP Pontestura</t>
  </si>
  <si>
    <t>Unloading and Storage of SI / PCU/TC</t>
  </si>
  <si>
    <t>Unloading and Storage of the tracker structures and equipments</t>
  </si>
  <si>
    <t>Unloading and Storage of PV Modules</t>
  </si>
  <si>
    <t>Site Camp</t>
  </si>
  <si>
    <t>GRE.EEC.S.41.XX.A.00000.00.191.02 - par.6.1
ANNEX B - Table1_6.1</t>
  </si>
  <si>
    <t>Services and Utilities</t>
  </si>
  <si>
    <t>GRE.EEC.S.41.XX.A.00000.00.191.02 - par.6.2
ANNEX B - Table1_6.2</t>
  </si>
  <si>
    <t>General camp Facilities</t>
  </si>
  <si>
    <t>GRE.EEC.S.41.XX.A.00000.00.191.02 - par.6.3
ANNEX B - Table1_6.3</t>
  </si>
  <si>
    <t>EGP facilities with sinergy  with O&amp;M building</t>
  </si>
  <si>
    <t>EGP facilities without sinergy with O&amp;M building</t>
  </si>
  <si>
    <t>GRE.EEC.S.41.XX.A.00000.00.191.02 - par.6.4/6.6
ANNEX B - Table1_6.4/6.6</t>
  </si>
  <si>
    <t>Access control facilities - Site signs</t>
  </si>
  <si>
    <t>GRE.EEC.S.41.XX.A.00000.00.191.02 - par.6.5
ANNEX B - Table1_6.5</t>
  </si>
  <si>
    <t>Cabling &amp; Network Services</t>
  </si>
  <si>
    <t>GRE.EEC.S.41.XX.A.00000.00.191.02 - par.6.7
ANNEX B - Table1_6.7</t>
  </si>
  <si>
    <t>Security and surveillance service</t>
  </si>
  <si>
    <t>month</t>
  </si>
  <si>
    <t>GRE.EEC.S.41.XX.A.00000.00.191.02 - par.6.8
ANNEX B - Table1_6.8</t>
  </si>
  <si>
    <t>Extra time site camp</t>
  </si>
  <si>
    <t>week</t>
  </si>
  <si>
    <t>GRE.EEC.S.41.XX.A.00000.00.191.02 - par.8
ANNEX B - Table1_8</t>
  </si>
  <si>
    <t>Operation and maintenance</t>
  </si>
  <si>
    <t>GRE.EEC.S.41.XX.A.00000.00.191.02 - par.9
ANNEX B - Table1_9</t>
  </si>
  <si>
    <t>Decommisioning and dismantling</t>
  </si>
  <si>
    <t>ANNEX B - Table2</t>
  </si>
  <si>
    <t>Additional facilities (for workers at construction site for isolated/large size site camp)</t>
  </si>
  <si>
    <t>PRELIMINARY CHECK</t>
  </si>
  <si>
    <t>EGP.EEC.S.45.XX.P.00000.00.021.12 GRE.EEC.Q.45.XX.P.00000.00.078.04</t>
  </si>
  <si>
    <t>Preliminary check and turnover documentation</t>
  </si>
  <si>
    <t>PERFORMANCE RATIO TEST</t>
  </si>
  <si>
    <t>Performance ratio tests</t>
  </si>
  <si>
    <t>PHOTOVOLTAIC SYSTEM  VERIFICATIONS</t>
  </si>
  <si>
    <t>PLANT TEST</t>
  </si>
  <si>
    <t>EGP.EEC.S.45.XX.P.00000.00.021.12</t>
  </si>
  <si>
    <t>PV PARK TEMPORARY OPERATION SERVICE (par. 12.13) - Phase 1</t>
  </si>
  <si>
    <t>PV PARK TEMPORARY OPERATION SERVICE (par. 12.13) - Phase 2</t>
  </si>
  <si>
    <t>FENCE AND GATE</t>
  </si>
  <si>
    <t>Fence and Gate (FENCING VERIFICATIONS)</t>
  </si>
  <si>
    <t>LINEE AEREE MT</t>
  </si>
  <si>
    <t>MV Overhead lines (PV GENERATION POWER LINES VERIFICATIONS)</t>
  </si>
  <si>
    <t>MONITORING SYSTEM</t>
  </si>
  <si>
    <t>EGP.EEC.S.45.XX.P.00000.00.021.12
GRE.EEC.Q.45.XX.P.00000.00.078.04</t>
  </si>
  <si>
    <t xml:space="preserve">Field Monitoring System (FMS) - Meteorological Monitoring System (MMS)
</t>
  </si>
  <si>
    <t>O&amp;M</t>
  </si>
  <si>
    <t>Design</t>
  </si>
  <si>
    <t>Executive Design O&amp;M Building</t>
  </si>
  <si>
    <t>Red Lines Design O&amp;M Building</t>
  </si>
  <si>
    <t>As built Design O&amp;M Building</t>
  </si>
  <si>
    <t>Executive Design O&amp;M Warehouse</t>
  </si>
  <si>
    <t>Red Lines Design O&amp;M Warehouse</t>
  </si>
  <si>
    <t>As built Design O&amp;M Warehouse</t>
  </si>
  <si>
    <t>GRE.EEC.G.73.XX.X.00000.00.XXX.04
GRE.EEC.S.25.XX.A.00000.13.011</t>
  </si>
  <si>
    <t>O&amp;M building</t>
  </si>
  <si>
    <r>
      <rPr>
        <b/>
        <sz val="10"/>
        <color rgb="FF000000"/>
        <rFont val="Arial"/>
        <family val="2"/>
      </rPr>
      <t>m</t>
    </r>
    <r>
      <rPr>
        <b/>
        <vertAlign val="superscript"/>
        <sz val="10"/>
        <color rgb="FF44546A"/>
        <rFont val="Arial Narrow"/>
        <family val="2"/>
      </rPr>
      <t>2</t>
    </r>
  </si>
  <si>
    <t>Waste Storage area</t>
  </si>
  <si>
    <t>Parking Lot</t>
  </si>
  <si>
    <t>O&amp;M Warehouse</t>
  </si>
  <si>
    <t>OM2.1</t>
  </si>
  <si>
    <t>WAREHOUSE – Main Building Area</t>
  </si>
  <si>
    <t>OM2.2</t>
  </si>
  <si>
    <t>WAREHOUSE – Secondary Building Area</t>
  </si>
  <si>
    <t>OM2.3</t>
  </si>
  <si>
    <t>Workshop area</t>
  </si>
  <si>
    <t>OM2.4</t>
  </si>
  <si>
    <t>Climate controlled storage room (m2)</t>
  </si>
  <si>
    <t>TO DO LIST</t>
  </si>
  <si>
    <t>UNITà</t>
  </si>
  <si>
    <t>Persona</t>
  </si>
  <si>
    <t>Foglio</t>
  </si>
  <si>
    <t>Nota da risolvere</t>
  </si>
  <si>
    <t>ELE</t>
  </si>
  <si>
    <t xml:space="preserve">Accardi </t>
  </si>
  <si>
    <t>ELE-BOP</t>
  </si>
  <si>
    <t>1.Avete messo tutte le voci del vecchio foglio
2.Va bene dove ho messo le voci del foglio precedente riguardanti il commissioning?
3.Inserire i reference documents agli items</t>
  </si>
  <si>
    <t>4.Duplicare foglio e creare SI e CI - andare con una proposta e chiedere a loro conferma</t>
  </si>
  <si>
    <t>COMM</t>
  </si>
  <si>
    <t>MARIA</t>
  </si>
  <si>
    <t>POSSIAMO METTERE LE VOCI COMMISSIONING IN UNA SOLA VOCE?</t>
  </si>
  <si>
    <t>Melani</t>
  </si>
  <si>
    <t>ELE BOP</t>
  </si>
  <si>
    <t>Nel foglio Commisioning non si fa distinzione cold e hot commissioning, nel foglio ELE BOP è presente la voce "Cold Commissioning, Hot Commissioning and Start-Up, Temporary Operation", è corretto che siano insieme? Va bene com'è?</t>
  </si>
  <si>
    <t>Commissionig</t>
  </si>
  <si>
    <t>Foglio da cancellare, le varie voci vanno completate nei vari fogli inserendo i vari riferimenti dei documenti nelle voci</t>
  </si>
  <si>
    <t>SOLAR</t>
  </si>
  <si>
    <t>avanzi e danilo</t>
  </si>
  <si>
    <t>Avanzi Tracker Supply</t>
  </si>
  <si>
    <t>Vedi commenti sul file di avanzi e chiudere i commenti  facendo le modifiche sul file della BoQ PV</t>
  </si>
  <si>
    <t>ginevra e avanzi</t>
  </si>
  <si>
    <t>FX Supply</t>
  </si>
  <si>
    <t>warranties e cost of bank cosa sono e lo facciamo noi o lo fanno O&amp;M. se lo fa o&amp;M si toglie</t>
  </si>
  <si>
    <t>basili/danilo</t>
  </si>
  <si>
    <t>Dopo commento di Angelo stanno nelle sue specifiche o qui?</t>
  </si>
  <si>
    <t>basili</t>
  </si>
  <si>
    <t>voce tracker front end è chiuso?</t>
  </si>
  <si>
    <t>mirra/ferrari</t>
  </si>
  <si>
    <t>Chiedere di inserire i riferimenti ai documenti</t>
  </si>
  <si>
    <t>tutti</t>
  </si>
  <si>
    <t>reference documents</t>
  </si>
  <si>
    <t>definire la lista dei codici di riferimento</t>
  </si>
  <si>
    <t>Summary</t>
  </si>
  <si>
    <t>Sistemare il foglio summary con i riferimenti</t>
  </si>
  <si>
    <t>Si potrebbe inserire un messaggio che dica al PE che può trovare i riferimenti da inserire nella Smart technical specification</t>
  </si>
  <si>
    <t>Tech</t>
  </si>
  <si>
    <t>- EPC_Global_XXXXX:
PPP.PSS.ENG.03.001 Topography</t>
  </si>
  <si>
    <t>All</t>
  </si>
  <si>
    <t>Not Applicable</t>
  </si>
  <si>
    <t>- EPC_Global_XXXXX:
PPP.PSS.ENG.03.002 Geotechnical Studies</t>
  </si>
  <si>
    <t>luigi pavone</t>
  </si>
  <si>
    <t>Engineering Design BoP</t>
  </si>
  <si>
    <t>- EPC_Global_XXXXX:
PPP.PSS.ENG ENGINEERING</t>
  </si>
  <si>
    <t>ferrari paolo</t>
  </si>
  <si>
    <t>Option</t>
  </si>
  <si>
    <t>Da capire</t>
  </si>
  <si>
    <t>da capire</t>
  </si>
  <si>
    <t>SOLAR BoP Bill of Quantities</t>
  </si>
  <si>
    <t xml:space="preserve"> Reference Document</t>
  </si>
  <si>
    <t>Scope</t>
  </si>
  <si>
    <t>Measurement 
Unit</t>
  </si>
  <si>
    <t xml:space="preserve"> 
Quantity</t>
  </si>
  <si>
    <t xml:space="preserve"> MV CABLES (SUPPLY AND INSTALLATION)</t>
  </si>
  <si>
    <t>21.01.01.00</t>
  </si>
  <si>
    <t>MV Cable supply and installation - Internal PV Park</t>
  </si>
  <si>
    <t>21.01.01.03/00</t>
  </si>
  <si>
    <t>MV AL Cable 1x95mm2 [Q] - Supply</t>
  </si>
  <si>
    <t>m</t>
  </si>
  <si>
    <t>21.01.01.04/00</t>
  </si>
  <si>
    <t>MV AL Cable 1x95mm2 [Q] - Installation/Laying</t>
  </si>
  <si>
    <t>21.01.01.05/00</t>
  </si>
  <si>
    <t>MV AL Cable 1x120mm2 [Q] - Supply</t>
  </si>
  <si>
    <t>21.01.01.06/00</t>
  </si>
  <si>
    <t>MV AL Cable 1x120mm2 [Q] - Installation/Laying</t>
  </si>
  <si>
    <t>21.01.01.07/00</t>
  </si>
  <si>
    <t>MV AL Cable 1x150mm2 [Q] - Supply</t>
  </si>
  <si>
    <t>21.01.01.08/00</t>
  </si>
  <si>
    <t>MV AL Cable 1x150mm2 [Q] - Installation/Laying</t>
  </si>
  <si>
    <t>21.01.01.09/00</t>
  </si>
  <si>
    <t>MV AL Cable 1x185mm2 [Q] - Supply</t>
  </si>
  <si>
    <t>21.01.01.10/00</t>
  </si>
  <si>
    <t>MV AL Cable 1x185mm2 [Q] - Installation/Laying</t>
  </si>
  <si>
    <t>21.01.01.11/00</t>
  </si>
  <si>
    <t>MV AL Cable 1x240mm2 [Q] - Supply</t>
  </si>
  <si>
    <t>21.01.01.12/00</t>
  </si>
  <si>
    <t>MV AL Cable 1x240mm2 [Q] - Installation/Laying</t>
  </si>
  <si>
    <t>21.01.01.13/00</t>
  </si>
  <si>
    <t>MV AL Cable 1x300mm2 [Q] - Supply</t>
  </si>
  <si>
    <t>21.01.01.14/00</t>
  </si>
  <si>
    <t>MV AL Cable 1x300mm2 [Q] - Installation/Laying</t>
  </si>
  <si>
    <t>21.01.01.15/00</t>
  </si>
  <si>
    <t>MV AL Cable 1x400mm2 [Q] - Supply</t>
  </si>
  <si>
    <t>21.01.01.16/00</t>
  </si>
  <si>
    <t>MV AL Cable 1x400mm2 [Q] - Installation/Laying</t>
  </si>
  <si>
    <t>21.01.01.17/00</t>
  </si>
  <si>
    <t>MV AL Cable 1x500mm2 [Q] - Supply</t>
  </si>
  <si>
    <t>21.01.01.18/00</t>
  </si>
  <si>
    <t>MV AL Cable 1x500mm2 [Q] - Installation/Laying</t>
  </si>
  <si>
    <t>21.01.01.19/00</t>
  </si>
  <si>
    <t>MV AL Cable 1x630mm2 [Q] - Supply</t>
  </si>
  <si>
    <t>21.01.01.20/00</t>
  </si>
  <si>
    <t>MV AL Cable 1x630mm2 [Q] - Installation/Laying</t>
  </si>
  <si>
    <t>21.01.02.00</t>
  </si>
  <si>
    <t>MV Cable termination supply and installation</t>
  </si>
  <si>
    <t>21.01.02.95/00</t>
  </si>
  <si>
    <t>MV Cable terminations - up to 300mm2 [Q] - Supply</t>
  </si>
  <si>
    <t>21.01.02.96/00</t>
  </si>
  <si>
    <t>MV Cable terminations - from 400mm2 to 630mm2 [Q] - Supply</t>
  </si>
  <si>
    <t>21.01.02.97/00</t>
  </si>
  <si>
    <t>MV Cable terminations - [Q] - Installation</t>
  </si>
  <si>
    <t>21.01.03.00</t>
  </si>
  <si>
    <t>MV Cable joint supply and installation</t>
  </si>
  <si>
    <t>21.01.03.05/00</t>
  </si>
  <si>
    <t>MV Cable joint 1x95mm2 [Q] - Supply</t>
  </si>
  <si>
    <t>21.01.03.07/00</t>
  </si>
  <si>
    <t>MV Cable joint 1x120mm2 [Q] - Supply</t>
  </si>
  <si>
    <t>21.01.03.09/00</t>
  </si>
  <si>
    <t>MV Cable joint 1x150mm2 [Q] - Supply</t>
  </si>
  <si>
    <t>21.01.03.11/00</t>
  </si>
  <si>
    <t>MV Cable joint 1x185mm2 [Q] - Supply</t>
  </si>
  <si>
    <t>21.01.03.13/00</t>
  </si>
  <si>
    <t>MV Cable joint 1x240mm2 [Q] - Supply</t>
  </si>
  <si>
    <t>21.01.03.15/00</t>
  </si>
  <si>
    <t>MV Cable joint 1x300mm2 [Q] - Supply</t>
  </si>
  <si>
    <t>21.01.03.17/00</t>
  </si>
  <si>
    <t>MV Cable joint 1x400mm2 [Q] - Supply</t>
  </si>
  <si>
    <t>21.01.03.19/00</t>
  </si>
  <si>
    <t>MV Cable joint 1x500mm2 [Q] - Supply</t>
  </si>
  <si>
    <t>21.01.03.21/00</t>
  </si>
  <si>
    <t>MV Cable joint 1x630mm2 [Q] - Supply</t>
  </si>
  <si>
    <t>21.01.03.40/00</t>
  </si>
  <si>
    <t>MV Cable joints [Q] - Installation</t>
  </si>
  <si>
    <t xml:space="preserve"> LV CABLES (SUPPLY AND INSTALLATION)</t>
  </si>
  <si>
    <t>21.01.07.00</t>
  </si>
  <si>
    <t>LV Solar Cable supply and laying</t>
  </si>
  <si>
    <t>21.01.07.01/00</t>
  </si>
  <si>
    <t>CU Solar Cable 1x4mm2 [Q] - Supply</t>
  </si>
  <si>
    <t>21.01.07.03/00</t>
  </si>
  <si>
    <t>CU Solar Cable 1x6mm2 [Q] - Supply</t>
  </si>
  <si>
    <t>21.01.07.05/00</t>
  </si>
  <si>
    <t>CU Solar Cable 1x10mm2 [Q] - Supply</t>
  </si>
  <si>
    <t>21.01.07.08/00</t>
  </si>
  <si>
    <t>CU Solar Cables up to 10 mm2[Q] - Installation/Laying</t>
  </si>
  <si>
    <t>21.01.07.13/00</t>
  </si>
  <si>
    <t>CU Solar Cable 1x185mm2 [Q] - Supply</t>
  </si>
  <si>
    <t>Cavi solari solo per impianti con inverter centralizzato</t>
  </si>
  <si>
    <t>21.01.07.14/00</t>
  </si>
  <si>
    <t>CU Solar Cable 1x240mm2 [Q] - Supply</t>
  </si>
  <si>
    <t>21.01.07.15/00</t>
  </si>
  <si>
    <t>CU Solar Cable 1x300mm2 [Q] - Supply</t>
  </si>
  <si>
    <t>21.01.07.16/00</t>
  </si>
  <si>
    <t>CU Solar Cables from 185 to 300 mm2 [Q] - Installation/Laying</t>
  </si>
  <si>
    <t>Stesso prezzo '21.01.04.90/00</t>
  </si>
  <si>
    <t>21.01.08.00</t>
  </si>
  <si>
    <t>LV Solar Connectors supply and installation</t>
  </si>
  <si>
    <t>21.01.08.07/00</t>
  </si>
  <si>
    <t>Solar Connectors [Q] - Supply</t>
  </si>
  <si>
    <t>21.01.08.08/00</t>
  </si>
  <si>
    <t>Solar Connectors [Q] - Installation</t>
  </si>
  <si>
    <t>21.01.04.00</t>
  </si>
  <si>
    <t xml:space="preserve">LV Power Cable supply and laying </t>
  </si>
  <si>
    <t>21.01.04.17/00</t>
  </si>
  <si>
    <t>LV Unshielded AL Cable 1x240mm2 [Q] - Supply</t>
  </si>
  <si>
    <t>21.01.04.19/00</t>
  </si>
  <si>
    <t>LV Unshielded AL Cable 1x300mm2 [Q] - Supply</t>
  </si>
  <si>
    <t>21.01.04.21/00</t>
  </si>
  <si>
    <t>LV Unshielded AL Cable 1x400mm2 [Q] - Supply</t>
  </si>
  <si>
    <t>21.01.04.90/00</t>
  </si>
  <si>
    <t>LV Unshielded AL Cables [Q] - Installation/Laying</t>
  </si>
  <si>
    <t>Stesso prezzo '21.01.07.16/00</t>
  </si>
  <si>
    <t>21.01.04.23/00</t>
  </si>
  <si>
    <t>LV Unshielded AL Cable 3x25mm2 [Q] - Supply</t>
  </si>
  <si>
    <t>cavi per tracker</t>
  </si>
  <si>
    <t>21.01.04.24/00</t>
  </si>
  <si>
    <t>LV Unshielded AL Cable 3x25mm2 [Q] - Installation/Laying</t>
  </si>
  <si>
    <t>21.01.05.00</t>
  </si>
  <si>
    <t>LV Power Cable termination supply and installation</t>
  </si>
  <si>
    <t>21.01.05.45/00</t>
  </si>
  <si>
    <t>LV Unshielded Cable terminations [Q] - Supply</t>
  </si>
  <si>
    <t>Comprende anche i terminali per cavi solari 185 ecc.</t>
  </si>
  <si>
    <t>21.01.05.46/00</t>
  </si>
  <si>
    <t>LV Unshielded Cable terminations [Q] - Installation</t>
  </si>
  <si>
    <t>21.01.09.00</t>
  </si>
  <si>
    <t xml:space="preserve">LV Auxiliary Cable supply, laying </t>
  </si>
  <si>
    <t>21.01.09.91/00</t>
  </si>
  <si>
    <t>LV aux cables [L] - Supply</t>
  </si>
  <si>
    <t>set</t>
  </si>
  <si>
    <t>21.01.09.92/00</t>
  </si>
  <si>
    <t>LV aux cables [L] - Installation/Laying</t>
  </si>
  <si>
    <t>21.01.10.00</t>
  </si>
  <si>
    <t>LV Auxiliary Cable termination supply and installation</t>
  </si>
  <si>
    <t>21.01.10.91/00</t>
  </si>
  <si>
    <t>LV aux Cable terminations [L] - Supply</t>
  </si>
  <si>
    <t>21.01.10.92/00</t>
  </si>
  <si>
    <t>LV aux Cable terminations [L] - Installation</t>
  </si>
  <si>
    <t xml:space="preserve"> I&amp;C CABLES (SUPPLY AND INSTALLATION)</t>
  </si>
  <si>
    <t>21.01.12.00</t>
  </si>
  <si>
    <t xml:space="preserve">I&amp;C Cable supply, laying </t>
  </si>
  <si>
    <t>21.01.12.65/00</t>
  </si>
  <si>
    <t>I&amp;C Cables (Unshielded, Shielded Single &amp; Multiple Twisted Pairs, Serial Ethernet, RS485, RJ45, Coaxial) [Q] - Supply</t>
  </si>
  <si>
    <t>21.01.12.66/00</t>
  </si>
  <si>
    <t>I&amp;C Cables (Unshielded, Shielded Single &amp; Multiple Twisted Pairs, Serial Ethernet, RS485, RJ45, Coaxial) [Q] - Installation/Laying</t>
  </si>
  <si>
    <t>21.01.12.37/00</t>
  </si>
  <si>
    <t>I&amp;C Cable fiber optic (12 pairs) [Q] - Supply</t>
  </si>
  <si>
    <t>21.01.12.39/00</t>
  </si>
  <si>
    <t>I&amp;C Cable fiber optic (1 pair) [Q] - Supply</t>
  </si>
  <si>
    <t>21.01.12.67/00</t>
  </si>
  <si>
    <t>I&amp;C Cable fiber optic (1 Pair,12 pairs) [Q] - Installation/Laying</t>
  </si>
  <si>
    <t>21.01.13.00</t>
  </si>
  <si>
    <t>I&amp;C Cable termination supply and installation</t>
  </si>
  <si>
    <t>21.01.13.51/00</t>
  </si>
  <si>
    <t>I&amp;C Cable Terminations (Unshielded, Shielded Single &amp; Multiple Twisted Pairs, Serial Ethernet, RS485, RJ45, Coaxial)  [Q] - Supply</t>
  </si>
  <si>
    <t>21.01.13.52/00</t>
  </si>
  <si>
    <t>I&amp;C Cable Terminations (Unshielded, Shielded Single &amp; Multiple Twisted Pairs, Serial Ethernet, RS485, RJ45, Coaxial)  [Q] - Installation</t>
  </si>
  <si>
    <t>21.01.13.31/00</t>
  </si>
  <si>
    <t>I&amp;C Cable termination fiber optic (1 pair) [Q] - Supply</t>
  </si>
  <si>
    <t>21.01.13.29/00</t>
  </si>
  <si>
    <t>I&amp;C Cable termination fiber optic (12 pairs) [Q] - Supply</t>
  </si>
  <si>
    <t>21.01.13.32/00</t>
  </si>
  <si>
    <t>I&amp;C Cable termination fiber optic (1 pair) [Q] - Installation</t>
  </si>
  <si>
    <t>21.01.13.30/00</t>
  </si>
  <si>
    <t>I&amp;C Cable termination fiber optic (12 pairs) [Q] - Installation</t>
  </si>
  <si>
    <t>21.02.07.00</t>
  </si>
  <si>
    <t>Cable hanger system</t>
  </si>
  <si>
    <t>21.02.07.02/00</t>
  </si>
  <si>
    <t>Supply and installation of a complete cable hanger system, with all accessories needed [Q]</t>
  </si>
  <si>
    <t>EARTHING (SUPPLY AND INSTALLATION)</t>
  </si>
  <si>
    <t>21.03.01.00</t>
  </si>
  <si>
    <t>Earthing bare copper conductor supply and installation</t>
  </si>
  <si>
    <t>21.03.01.05/00</t>
  </si>
  <si>
    <t>Earthing bare copper conductor 35mm2 [Q] - Supply</t>
  </si>
  <si>
    <t>21.03.01.07/00</t>
  </si>
  <si>
    <t>Earthing bare copper conductor 35mm2 [Q] - Installation</t>
  </si>
  <si>
    <t>21.03.01.09/00</t>
  </si>
  <si>
    <t>Earthing bare copper conductor 50mm2 [Q] - Supply</t>
  </si>
  <si>
    <t>21.03.01.11/00</t>
  </si>
  <si>
    <t>Earthing bare copper conductor 50mm2 [Q] - Installation</t>
  </si>
  <si>
    <t>21.03.01.13/00</t>
  </si>
  <si>
    <t>Earthing bare copper conductor 70mm2 [Q] - Supply</t>
  </si>
  <si>
    <t>21.03.01.15/00</t>
  </si>
  <si>
    <t>Earthing bare copper conductor 70mm2 [Q] - Installation</t>
  </si>
  <si>
    <t>21.03.01.17/00</t>
  </si>
  <si>
    <t>Earthing bare copper conductor 95 mm2 [Q] - Supply</t>
  </si>
  <si>
    <t>21.03.01.19/00</t>
  </si>
  <si>
    <t>Earthing bare copper conductor 95 mm2 [Q] - Installation</t>
  </si>
  <si>
    <t>21.03.01.21/00</t>
  </si>
  <si>
    <t>Earthing bare copper conductor 120mm2 [Q] - Supply</t>
  </si>
  <si>
    <t>21.03.01.23/00</t>
  </si>
  <si>
    <t>Earthing bare copper conductor 120mm2 [Q] - Installation</t>
  </si>
  <si>
    <t>21.03.03.00</t>
  </si>
  <si>
    <t>Earthing connection supply and installation</t>
  </si>
  <si>
    <t>21.03.03.41/00</t>
  </si>
  <si>
    <t>Earthing connection compression clamp  [Q] - Supply</t>
  </si>
  <si>
    <t>21.03.03.42/00</t>
  </si>
  <si>
    <t>Earthing connection compression clamp  [Q] - Installation</t>
  </si>
  <si>
    <t>21.03.04.00</t>
  </si>
  <si>
    <t>Pit and earth electrode supply and installation</t>
  </si>
  <si>
    <t>21.03.04.01/00</t>
  </si>
  <si>
    <t>Pit and earth electrode D: 15mm - L: 1.5m [Q] - Supply</t>
  </si>
  <si>
    <t>Fence</t>
  </si>
  <si>
    <t>21.03.04.02/00</t>
  </si>
  <si>
    <t>Pit and earth electrode D: 15mm - L: 1.5m [Q] - Installation</t>
  </si>
  <si>
    <t>21.03.06.00</t>
  </si>
  <si>
    <t>Earthing Cable termination supply and connection</t>
  </si>
  <si>
    <t>21.03.06.27/00</t>
  </si>
  <si>
    <t>Earthing Cable terminations [Q] - Supply</t>
  </si>
  <si>
    <t>21.03.06.28/00</t>
  </si>
  <si>
    <t>Earthing Cable terminations [Q] - Installation</t>
  </si>
  <si>
    <t>FIRE RESISTANT ANTI-RODENT BARRIER AND SEALING (SUPPLY AND INSTALLATION)</t>
  </si>
  <si>
    <t>21.06.00.00</t>
  </si>
  <si>
    <t>FIRE RESISTANT ANTI-RODENT BARRIER AND SEALING</t>
  </si>
  <si>
    <t>21.06.01.00</t>
  </si>
  <si>
    <t>Fire resistant anti-rodent barrier and sealing supply and installation</t>
  </si>
  <si>
    <t>21.06.01.25/00</t>
  </si>
  <si>
    <t>Fire resistant anti-rodent barrier and sealing  crossing [Q] - Supply</t>
  </si>
  <si>
    <t>m2</t>
  </si>
  <si>
    <t>21.06.01.26/00</t>
  </si>
  <si>
    <t>Fire resistant anti-rodent barrier and sealing  crossing [Q] - Installation</t>
  </si>
  <si>
    <t>VIDEO SURVEILLANCE AND ANTI-INTRUSION SYSTEM (SUPPLY AND INSTALLATION)</t>
  </si>
  <si>
    <t>21.07.00.00</t>
  </si>
  <si>
    <t>21.07.01.00</t>
  </si>
  <si>
    <t>Video surveillance and anti-intrusion system supply, installation and test</t>
  </si>
  <si>
    <t>21.07.01.01/00</t>
  </si>
  <si>
    <t>Control &amp; recording system unit [Q] - Supply</t>
  </si>
  <si>
    <t>21.07.01.02/00</t>
  </si>
  <si>
    <t xml:space="preserve">Control &amp; recording system unit [Q] - Installation </t>
  </si>
  <si>
    <t>21.07.01.03/00</t>
  </si>
  <si>
    <t>CCVT panel HMI [Q] - Supply</t>
  </si>
  <si>
    <t>21.07.01.04/00</t>
  </si>
  <si>
    <t xml:space="preserve">CCVT panel HMI [Q] - Installation </t>
  </si>
  <si>
    <t>21.07.01.05/00</t>
  </si>
  <si>
    <t>Power distribution panel [Q] - Supply</t>
  </si>
  <si>
    <t>21.07.01.06/00</t>
  </si>
  <si>
    <t xml:space="preserve">Power distribution panel [Q] - Installation </t>
  </si>
  <si>
    <t>21.07.01.07/00</t>
  </si>
  <si>
    <t>Cabling (cables, connections, terminations) [Q] - Supply</t>
  </si>
  <si>
    <t>anello perimetro</t>
  </si>
  <si>
    <t>21.07.01.08/00</t>
  </si>
  <si>
    <t xml:space="preserve">Cabling (cables, connections, terminations) [Q] - Installation </t>
  </si>
  <si>
    <t>21.07.01.09/00</t>
  </si>
  <si>
    <t>Conduit [Q] - Supply</t>
  </si>
  <si>
    <t>21.07.01.10/00</t>
  </si>
  <si>
    <t xml:space="preserve">Conduit [Q] - Installation </t>
  </si>
  <si>
    <t>21.07.01.21/00</t>
  </si>
  <si>
    <t>Security camera outdoor  [Q] - Supply</t>
  </si>
  <si>
    <t xml:space="preserve">Ogni 50 metri di perimetro </t>
  </si>
  <si>
    <t>21.07.01.22/00</t>
  </si>
  <si>
    <t xml:space="preserve">Security camera outdoor [Q] - Installation </t>
  </si>
  <si>
    <t>21.05.04.00</t>
  </si>
  <si>
    <t>Street light pole supply and installation</t>
  </si>
  <si>
    <t>21.05.04.01/00</t>
  </si>
  <si>
    <t>Street light pole 4m [Q] - Supply</t>
  </si>
  <si>
    <t>Pali per video camere, 1 palo ogni 100 metri</t>
  </si>
  <si>
    <t>21.05.04.02/00</t>
  </si>
  <si>
    <t>Street light pole 4m [Q] - Installation</t>
  </si>
  <si>
    <t>I&amp;C MAIN EQUIPMENT (SUPPLY AND INSTALLATION)</t>
  </si>
  <si>
    <t>21.08.00.00</t>
  </si>
  <si>
    <t xml:space="preserve">I&amp;C MAIN EQUIPMENT </t>
  </si>
  <si>
    <t>MONTAGGIO ALL'INTERNO DELLA DELIVERY CABIN PER IMPIANTI IN MEDIA TENSIONE. PER IMPIANTI CON SSE SI INTENDE ALL'INTERNO DELL'EDIFICIO HV</t>
  </si>
  <si>
    <t>21.08.01/00</t>
  </si>
  <si>
    <t>Patch panels [Q] - Supply</t>
  </si>
  <si>
    <t>21.08.02/00</t>
  </si>
  <si>
    <t xml:space="preserve">Patch panels [Q] - Installation </t>
  </si>
  <si>
    <t>21.08.03/00</t>
  </si>
  <si>
    <t>FO switch [Q] - Supply</t>
  </si>
  <si>
    <t>21.08.04/00</t>
  </si>
  <si>
    <t xml:space="preserve">FO switch [Q] - Installation </t>
  </si>
  <si>
    <t>OTHERS (SUPPLY AND INSTALLATION)</t>
  </si>
  <si>
    <t>21.13.00.00</t>
  </si>
  <si>
    <t>OTHERS</t>
  </si>
  <si>
    <t>21.13.03.00</t>
  </si>
  <si>
    <t xml:space="preserve">Surge arrester supply and installation </t>
  </si>
  <si>
    <t xml:space="preserve"> Solo MV system in SSE HV</t>
  </si>
  <si>
    <t>21.13.03.01/00</t>
  </si>
  <si>
    <t>Surge arrester three poles for MV cable termination [Q] - Supply</t>
  </si>
  <si>
    <t>21.13.03.02/00</t>
  </si>
  <si>
    <t xml:space="preserve">Surge arrester three poles for MV cable termination [Q] - Installation </t>
  </si>
  <si>
    <t>21.13.04.00</t>
  </si>
  <si>
    <t xml:space="preserve">Wireless Temperature Cable Monitoring System (TCMS) Supply and installation </t>
  </si>
  <si>
    <t>Da concordare con fornitore RMU</t>
  </si>
  <si>
    <t>21.13.04.01/00</t>
  </si>
  <si>
    <t>Wireless Temperature Cable Monitoring System (TCMS) [Q] - Supply</t>
  </si>
  <si>
    <t>21.13.04.02/00</t>
  </si>
  <si>
    <t xml:space="preserve">Wireless Temperature Cable Monitoring System (TCMS) [Q] - Installation </t>
  </si>
  <si>
    <t>SOLAR EQUIPMENT</t>
  </si>
  <si>
    <t>21.19.00.00</t>
  </si>
  <si>
    <t>21.19.01.00</t>
  </si>
  <si>
    <t>Equipment (supply, installation and test)</t>
  </si>
  <si>
    <t>21.19.01.15/00</t>
  </si>
  <si>
    <t xml:space="preserve">PV Complete PCU [Q] - Supply </t>
  </si>
  <si>
    <t>Compilazione a cura SOLAR DESIGN UNIT in base a FWA e al progetto specifico</t>
  </si>
  <si>
    <t>21.19.01.16/00</t>
  </si>
  <si>
    <t>PV Complete PCU [Q] - Installation and Interconnection</t>
  </si>
  <si>
    <t>21.19.01.01/00</t>
  </si>
  <si>
    <t>String boxes with all accessories requested [Q] - Supply</t>
  </si>
  <si>
    <t>Per centralized inverter</t>
  </si>
  <si>
    <t>21.19.01.02/00</t>
  </si>
  <si>
    <t xml:space="preserve">String boxes with all accessories requested [Q] - Installation </t>
  </si>
  <si>
    <t>21.19.01.32/00</t>
  </si>
  <si>
    <t xml:space="preserve">PV Complete TC [Q] - Supply </t>
  </si>
  <si>
    <t>21.19.01.33/00</t>
  </si>
  <si>
    <t>PV Complete TC [Q] - Installation and Interconnection</t>
  </si>
  <si>
    <t>21.19.01.03/00</t>
  </si>
  <si>
    <t>String Inverters supply with all accessories requested [Q]</t>
  </si>
  <si>
    <t>21.19.01.04/00</t>
  </si>
  <si>
    <t>String Inverters installation with all accessories requested [Q]</t>
  </si>
  <si>
    <t>21.19.01.30/00</t>
  </si>
  <si>
    <t xml:space="preserve">PCU/TC Fiscal Produced Energy Meetering System (Outdoor) [Q] - Supply </t>
  </si>
  <si>
    <t>21.19.01.31/00</t>
  </si>
  <si>
    <t>PCU/TC Fiscal Produced Energy Meetering System  (Outdoor) [Q] - Installation</t>
  </si>
  <si>
    <t>21.19.01.18/00</t>
  </si>
  <si>
    <t>PV Modules String Cabling [Q]</t>
  </si>
  <si>
    <t>N modules</t>
  </si>
  <si>
    <t xml:space="preserve">Compilazione a cura SOLAR DESIGN UNIT </t>
  </si>
  <si>
    <t>21.19.01.25/00</t>
  </si>
  <si>
    <t>Supply of DC Pre-Paralel Box and all the accessories for the Installation (2 Input) (Two String Inverter Pre-Paralel)</t>
  </si>
  <si>
    <t>21.19.01.26/00</t>
  </si>
  <si>
    <t>Installation and Cabling of DC Pre-Paralel Box (2 Input), including accessories</t>
  </si>
  <si>
    <t>21.20.00.00</t>
  </si>
  <si>
    <t>MV INTERCONNECTION EQUIPMENT</t>
  </si>
  <si>
    <t>21.20.00.03/00</t>
  </si>
  <si>
    <r>
      <t xml:space="preserve">SUPPLY of vibrated reinforced concrete </t>
    </r>
    <r>
      <rPr>
        <b/>
        <u/>
        <sz val="11"/>
        <rFont val="Aptos"/>
        <family val="2"/>
      </rPr>
      <t xml:space="preserve">DELIVERY CABIN </t>
    </r>
    <r>
      <rPr>
        <sz val="11"/>
        <rFont val="Aptos"/>
        <family val="2"/>
      </rPr>
      <t xml:space="preserve">(CABINA di CONSEGNA) in accordance with the currently valid E-Distribuzione Technical Specification DG 2061 - Consisting of two rooms: MV Room, measurement room. Including all the following main and auxiliary components:
- MV SWG
- Lighting systems
- Earthing system
- MV, LV and communication cables -[Q] - Supply
</t>
    </r>
  </si>
  <si>
    <t>21.20.00.04/00</t>
  </si>
  <si>
    <r>
      <t xml:space="preserve">Installation and interconnection of vibrated reinforced concrete </t>
    </r>
    <r>
      <rPr>
        <b/>
        <u/>
        <sz val="11"/>
        <color theme="1"/>
        <rFont val="Aptos"/>
        <family val="2"/>
      </rPr>
      <t>DELIVERY CABIN</t>
    </r>
    <r>
      <rPr>
        <sz val="11"/>
        <color theme="1"/>
        <rFont val="Aptos"/>
        <family val="2"/>
      </rPr>
      <t xml:space="preserve"> (CABINA di CONSEGNA) - Including all types of connections from outside the cabin: MV cables, LV cables, communication and control and primary earth grid, if necessary also consider self-shrinking joints for in-out connection with the cabin on existing line  </t>
    </r>
  </si>
  <si>
    <t>21.20.00.05/00</t>
  </si>
  <si>
    <r>
      <t xml:space="preserve">Supply and internal connections of vibrated reinforced concrete </t>
    </r>
    <r>
      <rPr>
        <b/>
        <u/>
        <sz val="11"/>
        <rFont val="Aptos"/>
        <family val="2"/>
      </rPr>
      <t>USER CABIN</t>
    </r>
    <r>
      <rPr>
        <sz val="11"/>
        <rFont val="Aptos"/>
        <family val="2"/>
      </rPr>
      <t xml:space="preserve"> (CABINA UTENTE) according to paragraphs PPP.PVP.MVC.02 MV DISTRIBUTION CENTER and PPP.PVP.MVC.03 MV CENTER ENCLOSURE and </t>
    </r>
    <r>
      <rPr>
        <u/>
        <sz val="11"/>
        <rFont val="Aptos"/>
        <family val="2"/>
      </rPr>
      <t>IEC 62271-202 with IAC A Certification</t>
    </r>
    <r>
      <rPr>
        <sz val="11"/>
        <rFont val="Aptos"/>
        <family val="2"/>
      </rPr>
      <t xml:space="preserve"> - Consisting of three rooms: MV room, transformer aux room, LV+SCADA room.
Electrical part: All main and auxiliary components contained in the cabin:
-  Gas vent channel MV SWG 
- Anti-intrusion + CCTV panel and everything necessary for the anti-intrusion system (magnetic sensors, relays, etc.)
- Fire detection system
- Air conditioning system
- Anti-rodent system
- Normal and emergency lighting system internal and external
- Transformation room ventilation system 
- Normal + Emergency FM sockets
- MV, LV, communication and control cables
- Earthing system
- Any other necessary components</t>
    </r>
  </si>
  <si>
    <t>21.20.00.06/00</t>
  </si>
  <si>
    <r>
      <rPr>
        <b/>
        <sz val="11"/>
        <rFont val="Aptos"/>
        <family val="2"/>
      </rPr>
      <t>USER CABIN</t>
    </r>
    <r>
      <rPr>
        <sz val="11"/>
        <rFont val="Aptos"/>
        <family val="2"/>
      </rPr>
      <t xml:space="preserve"> - MV SWG IAC AFLR (including CCI + GSM module) - Supply [Q]</t>
    </r>
  </si>
  <si>
    <t>21.20.00.07/00</t>
  </si>
  <si>
    <r>
      <rPr>
        <b/>
        <sz val="11"/>
        <rFont val="Aptos"/>
        <family val="2"/>
      </rPr>
      <t>USER CABIN</t>
    </r>
    <r>
      <rPr>
        <sz val="11"/>
        <rFont val="Aptos"/>
        <family val="2"/>
      </rPr>
      <t xml:space="preserve"> - Auxiliary transformer - Supply [Q]</t>
    </r>
  </si>
  <si>
    <t>21.20.00.08/00</t>
  </si>
  <si>
    <r>
      <rPr>
        <b/>
        <sz val="11"/>
        <rFont val="Aptos"/>
        <family val="2"/>
      </rPr>
      <t xml:space="preserve">USER CABIN </t>
    </r>
    <r>
      <rPr>
        <sz val="11"/>
        <rFont val="Aptos"/>
        <family val="2"/>
      </rPr>
      <t xml:space="preserve">
LV AUX distribution panel  - Supply [Q]
UPS + Battery in accordance with IEC 016 - Supply [Q]
Fiscal&amp;Total Produced Energy Meetering System (</t>
    </r>
    <r>
      <rPr>
        <i/>
        <u/>
        <sz val="11"/>
        <rFont val="Aptos"/>
        <family val="2"/>
      </rPr>
      <t>To be Installed in the measurement room of delivery cabin</t>
    </r>
    <r>
      <rPr>
        <sz val="11"/>
        <rFont val="Aptos"/>
        <family val="2"/>
      </rPr>
      <t>) - Supply [Q]
Fiscal Absorbed Energy Meetering System (</t>
    </r>
    <r>
      <rPr>
        <u/>
        <sz val="11"/>
        <rFont val="Aptos"/>
        <family val="2"/>
      </rPr>
      <t>LV AUX side</t>
    </r>
    <r>
      <rPr>
        <sz val="11"/>
        <rFont val="Aptos"/>
        <family val="2"/>
      </rPr>
      <t>) - Supply [Q]
I&amp;C communication panel - Supply [Q]</t>
    </r>
  </si>
  <si>
    <t>21.20.00.09/00</t>
  </si>
  <si>
    <r>
      <t xml:space="preserve">Installation and interconnection of </t>
    </r>
    <r>
      <rPr>
        <b/>
        <u/>
        <sz val="11"/>
        <color theme="1"/>
        <rFont val="Aptos"/>
        <family val="2"/>
      </rPr>
      <t>USER CABIN</t>
    </r>
    <r>
      <rPr>
        <sz val="11"/>
        <color theme="1"/>
        <rFont val="Aptos"/>
        <family val="2"/>
      </rPr>
      <t xml:space="preserve"> (CABINA UTENTE) -  Including Plant SCADA cabinet (Out of scope of supply) and all types of connections from outside the cabin: MV cables, LV cables, communication and control, primary earth grid, I&amp;C Communication panel.</t>
    </r>
  </si>
  <si>
    <t>21.20.00.10/00</t>
  </si>
  <si>
    <t xml:space="preserve">SUPPLY of vibrated reinforced concrete CABINA DI SEZIONAMENTO in accordance with the currently valid E-Distribuzione Technical Specification DG 2061 -   Including all the following main and auxiliary components:
- MV SWG
- Lighting systems
- Earthing system
- MV, LV and communication cables -[Q] - Supply
</t>
  </si>
  <si>
    <t>21.20.00.11/00</t>
  </si>
  <si>
    <t>Installation and interconnection of vibrated reinforced concrete CABINA DI SEZIONAMENTO - Including all types of connections from outside the cabin: MV cables, LV cables, communication and control and primary earth grid.</t>
  </si>
  <si>
    <r>
      <t>MV LINE EXTERNAL TO THE PV PARK -</t>
    </r>
    <r>
      <rPr>
        <b/>
        <sz val="11"/>
        <color rgb="FFFF0000"/>
        <rFont val="Aptos"/>
        <family val="2"/>
      </rPr>
      <t xml:space="preserve"> </t>
    </r>
    <r>
      <rPr>
        <b/>
        <strike/>
        <sz val="11"/>
        <color rgb="FFFF0000"/>
        <rFont val="Aptos"/>
        <family val="2"/>
      </rPr>
      <t>e-distribuzione</t>
    </r>
    <r>
      <rPr>
        <b/>
        <sz val="11"/>
        <rFont val="Aptos"/>
        <family val="2"/>
      </rPr>
      <t xml:space="preserve"> MV Connection</t>
    </r>
  </si>
  <si>
    <t>21.01.01.81/00</t>
  </si>
  <si>
    <t>MV Cables - 3X visible helix cable - [Q] - Supply</t>
  </si>
  <si>
    <t>come richiesto - voci civili a parte</t>
  </si>
  <si>
    <t>21.01.01.82/00</t>
  </si>
  <si>
    <t>MV Cables - 3X visible helix cable - [Q] - Installation/Laying</t>
  </si>
  <si>
    <t>21.01.03.39/00</t>
  </si>
  <si>
    <t>MV Cable joints [Q] - Supply</t>
  </si>
  <si>
    <t>DIESEL GENERATOR (SUPPLY AND INSTALLATION)</t>
  </si>
  <si>
    <t>21.23.00.00</t>
  </si>
  <si>
    <t xml:space="preserve">Electrical Diesel generator supply and installation </t>
  </si>
  <si>
    <t>21.23.01.03/00</t>
  </si>
  <si>
    <t>Electrical Diesel generator 100kVA [Q] - Supply</t>
  </si>
  <si>
    <t>21.23.01.04/00</t>
  </si>
  <si>
    <t>Electrical Diesel generator 100kVA [Q] - Installation</t>
  </si>
  <si>
    <t>Sub chapter</t>
  </si>
  <si>
    <t>extra time site camp</t>
  </si>
  <si>
    <t xml:space="preserve">
ANNEX B - Table2</t>
  </si>
  <si>
    <t>Additional facilities (for workers at construction site for isolated/large size site camp )</t>
  </si>
  <si>
    <t>'</t>
  </si>
  <si>
    <t>ITEM LIST NAME</t>
  </si>
  <si>
    <t>GRE.EEC.S.00.IT.A.00000.00.207.00-par.4.1</t>
  </si>
  <si>
    <t>Project Manager</t>
  </si>
  <si>
    <t>n.pers x days</t>
  </si>
  <si>
    <t>GRE.EEC.S.00.IT.A.00000.00.207.00-par.4.2</t>
  </si>
  <si>
    <t>Site Manager</t>
  </si>
  <si>
    <t>GRE.EEC.S.00.IT.A.00000.00.207.00-par.4.3</t>
  </si>
  <si>
    <t xml:space="preserve">Civil Supervisor </t>
  </si>
  <si>
    <t>GRE.EEC.S.00.IT.A.00000.00.207.00-par.4.4</t>
  </si>
  <si>
    <t>Electrical Supervisor</t>
  </si>
  <si>
    <t>GRE.EEC.S.00.IT.A.00000.00.207.00-par.4.5</t>
  </si>
  <si>
    <t>Mechanical Supervisor</t>
  </si>
  <si>
    <t>GRE.EEC.S.00.IT.A.00000.00.207.00-par.4.6</t>
  </si>
  <si>
    <t>Quality Controller</t>
  </si>
  <si>
    <t>GRE.EEC.S.00.IT.A.00000.00.207.00-par.4.7</t>
  </si>
  <si>
    <t>Material Supervisor</t>
  </si>
  <si>
    <t>GRE.EEC.S.00.IT.A.00000.00.207.00-par.4.8</t>
  </si>
  <si>
    <t xml:space="preserve">Topographical surveyor </t>
  </si>
  <si>
    <r>
      <t xml:space="preserve">HSE Requirements (rev.03):
</t>
    </r>
    <r>
      <rPr>
        <sz val="8"/>
        <rFont val="Arial"/>
        <family val="2"/>
      </rPr>
      <t>par. 8.1.1. HSE Organization for Construction Work Sites
par. 8.1.4. HSE Contractors Team</t>
    </r>
  </si>
  <si>
    <t>HSE</t>
  </si>
  <si>
    <t>HSE PLAN</t>
  </si>
  <si>
    <r>
      <rPr>
        <b/>
        <u/>
        <sz val="8"/>
        <color rgb="FF000000"/>
        <rFont val="Arial"/>
        <family val="2"/>
      </rPr>
      <t>HSE Requirements (rev.03):</t>
    </r>
    <r>
      <rPr>
        <sz val="8"/>
        <color rgb="FF000000"/>
        <rFont val="Arial"/>
        <family val="2"/>
      </rPr>
      <t xml:space="preserve">
par. 17. DOCUMENTATION AND INFORMATION TO BE PROVIDED BY THE CONTRACTOR
par. 6. HEALTH&amp;SAFETY PLAN
par. 11.1. 1 Cranes
par. 16.3.4. Lifting Platform
par. 16.1. EXCAVATION AND TRENCHING
par. 7. ENVIRONMENTAL PLAN
par. 7.1. ENVIRONMENTAL RISK ASSESSMENT
par. 7.1.1. Storm Water Management Plan (SWMP) and the Erosion Management Plan
par. 9.3. EMERGENCY PLAN
par. 6.2.10. Traffic Management
</t>
    </r>
    <r>
      <rPr>
        <b/>
        <u/>
        <sz val="8"/>
        <color rgb="FF000000"/>
        <rFont val="Arial"/>
        <family val="2"/>
      </rPr>
      <t>Coordination Procedure</t>
    </r>
    <r>
      <rPr>
        <sz val="8"/>
        <color rgb="FF000000"/>
        <rFont val="Arial"/>
        <family val="2"/>
      </rPr>
      <t>:
par. 6 HSE Document Management</t>
    </r>
  </si>
  <si>
    <r>
      <rPr>
        <u/>
        <sz val="10"/>
        <rFont val="Arial"/>
        <family val="2"/>
      </rPr>
      <t>HSE Plans:</t>
    </r>
    <r>
      <rPr>
        <sz val="10"/>
        <rFont val="Arial"/>
        <family val="2"/>
      </rPr>
      <t xml:space="preserve">
Health &amp; Safety Plan
Risk Assesment
Lifting Plan
Excavation Plan
Environmental Plan
Environmentali risk Assessment
Waste Management Plan
Storm Water Management Plan
Erosion Management Plan
Emergency Plan
Traffic management Plan</t>
    </r>
  </si>
  <si>
    <t>The final list of items depending of site activities and characteristics</t>
  </si>
  <si>
    <t>EMERGENCY MANAGEMENT AND RESPONSE</t>
  </si>
  <si>
    <r>
      <rPr>
        <b/>
        <u/>
        <sz val="9"/>
        <rFont val="Arial"/>
        <family val="2"/>
      </rPr>
      <t>HSE Requirements (rev.03):</t>
    </r>
    <r>
      <rPr>
        <sz val="9"/>
        <rFont val="Arial"/>
        <family val="2"/>
      </rPr>
      <t xml:space="preserve">
par. 9.1. FIRST AID AND INJURED MANAGEMENT
par. 9.2. FIREFIGHTING</t>
    </r>
  </si>
  <si>
    <t>Fire extinguishers
Firefighting vehicles
Defribillator AED 
4 x 4 emergency vehicle/ambulance
First aid kits
Emergency/First aid room</t>
  </si>
  <si>
    <t>HAZARDOUS SUBSTANCES (MATERIALS MANAGEMENT)</t>
  </si>
  <si>
    <r>
      <rPr>
        <b/>
        <u/>
        <sz val="9"/>
        <rFont val="Arial"/>
        <family val="2"/>
      </rPr>
      <t>HSE Requirements (rev.03):</t>
    </r>
    <r>
      <rPr>
        <sz val="9"/>
        <rFont val="Arial"/>
        <family val="2"/>
      </rPr>
      <t xml:space="preserve">
par. 12. HAZARDOUS SUBSTANCES (MATERIALS MANAGEMENT)
par. 12.1. EXPLOSIVE
12.2. ASBESTOS</t>
    </r>
  </si>
  <si>
    <t>Facilities storing any hazardous material on site must have a containment basin contain any spill volume (volume in accordance with applicable law)
Spill kit
Activities using explosives: Remote video surveillance system implemented full-time
Management of Asbestos as special waste
Eye wash station and an emergency shower</t>
  </si>
  <si>
    <t xml:space="preserve">Only if the hazardous are present on site 
The final list of items depending of hazardous and site activities </t>
  </si>
  <si>
    <t>PROTECTION OF THE ENVIRONMENT</t>
  </si>
  <si>
    <r>
      <rPr>
        <b/>
        <u/>
        <sz val="9"/>
        <rFont val="Arial"/>
        <family val="2"/>
      </rPr>
      <t>HSE Requirements (rev.03):</t>
    </r>
    <r>
      <rPr>
        <sz val="9"/>
        <rFont val="Arial"/>
        <family val="2"/>
      </rPr>
      <t xml:space="preserve">
par. 13.4. AIR EMISSION &amp; DUST
par.13.6. NOISE AND VIBRATION
par 13.7. BIODIVERSITY</t>
    </r>
  </si>
  <si>
    <t xml:space="preserve">AIR EMISSION &amp; DUST: 
Mobile water tankers equipped with sprays system for dust suppression
NOISE MANAGEMENT: 
Installation of provisional acoustic panels; noise emissions check shall be ensured by Contractor through fixed and portable measurement on site
BIODIVERSITY: 
Transplant in out of conservation important vegetal species; Expenses for veterinary intervention </t>
  </si>
  <si>
    <t>The final list of items depending of site activities and characteristics
These activites can be mandatory after analysis and needs of the specific project</t>
  </si>
  <si>
    <t>SPECIAL REQUIREMENTS FOR HIGHER LEVEL RISK ACTIVITIES</t>
  </si>
  <si>
    <r>
      <rPr>
        <b/>
        <u/>
        <sz val="9"/>
        <rFont val="Arial"/>
        <family val="2"/>
      </rPr>
      <t>HSE Requirements (rev.03):</t>
    </r>
    <r>
      <rPr>
        <sz val="9"/>
        <rFont val="Arial"/>
        <family val="2"/>
      </rPr>
      <t xml:space="preserve">
par. 16.1. EXCAVATION AND TRENCHING</t>
    </r>
    <r>
      <rPr>
        <sz val="10"/>
        <rFont val="Arial"/>
        <family val="2"/>
      </rPr>
      <t xml:space="preserve">
par. 16.3. WORK AT HEIGHT
par. 16.5. CONFINED SPACE</t>
    </r>
  </si>
  <si>
    <t xml:space="preserve">EXCAVATION AND TRENCHING
Installation and use:
Mobile Scaffolding
Mobile lifting platform
Parapet
 Fall lifeline 
CONFINED SPACE: measure for monitoring of air quality
</t>
  </si>
  <si>
    <t>ACCESS TO THE WORK SITE</t>
  </si>
  <si>
    <r>
      <rPr>
        <b/>
        <u/>
        <sz val="9"/>
        <rFont val="Arial"/>
        <family val="2"/>
      </rPr>
      <t>HSE Requirements (rev.03):</t>
    </r>
    <r>
      <rPr>
        <sz val="9"/>
        <rFont val="Arial"/>
        <family val="2"/>
      </rPr>
      <t xml:space="preserve">
par. 6.2.9. Access to the Work Site
</t>
    </r>
  </si>
  <si>
    <t>Safety Access Control in compliance with TS EGP (when Required)</t>
  </si>
  <si>
    <t>Only if the Item is part of the SoW</t>
  </si>
  <si>
    <r>
      <rPr>
        <b/>
        <u/>
        <sz val="9"/>
        <rFont val="Arial"/>
        <family val="2"/>
      </rPr>
      <t>HSE Requirements (rev.03):</t>
    </r>
    <r>
      <rPr>
        <sz val="9"/>
        <rFont val="Arial"/>
        <family val="2"/>
      </rPr>
      <t xml:space="preserve">
par. 6.2.9.2. Facilities on Site Camp
</t>
    </r>
    <r>
      <rPr>
        <b/>
        <u/>
        <sz val="9"/>
        <rFont val="Arial"/>
        <family val="2"/>
      </rPr>
      <t>TS: Construction Site Camp-General Guidelines for Design, Execution and O&amp;M Wind and PV Solar Plant (GRE.EEC.S.41.XX.A.00000.00.191.01)</t>
    </r>
    <r>
      <rPr>
        <sz val="9"/>
        <rFont val="Arial"/>
        <family val="2"/>
      </rPr>
      <t xml:space="preserve">
</t>
    </r>
  </si>
  <si>
    <t>Facilities on Site Camp: minimum safety requirements, minimum installations, extra cleaning services</t>
  </si>
  <si>
    <t>The final list of items depending of site activities, size and characteristics</t>
  </si>
  <si>
    <t>HSE SITE COORDINATION</t>
  </si>
  <si>
    <r>
      <rPr>
        <b/>
        <u/>
        <sz val="9"/>
        <rFont val="Arial"/>
        <family val="2"/>
      </rPr>
      <t>HSE Requirements (rev.03):</t>
    </r>
    <r>
      <rPr>
        <sz val="9"/>
        <rFont val="Arial"/>
        <family val="2"/>
      </rPr>
      <t xml:space="preserve">
par. 6.2.7 Warning Signs;
par. 6.2.10. Traffic Management
16.5. CONFINED SPACE
</t>
    </r>
    <r>
      <rPr>
        <b/>
        <u/>
        <sz val="9"/>
        <rFont val="Arial"/>
        <family val="2"/>
      </rPr>
      <t>GL No. 02 “Management of site HSE signs” (rev.02)</t>
    </r>
  </si>
  <si>
    <t>TEMPORARY AND PERMANENT HSE SIGNS</t>
  </si>
  <si>
    <r>
      <rPr>
        <b/>
        <u/>
        <sz val="9"/>
        <rFont val="Arial"/>
        <family val="2"/>
      </rPr>
      <t>HSE Requirements (rev.03):</t>
    </r>
    <r>
      <rPr>
        <sz val="9"/>
        <rFont val="Arial"/>
        <family val="2"/>
      </rPr>
      <t xml:space="preserve">
8.1.6. Drugs / Alcohol / Weapons
6.2.9. Access to the Work Site</t>
    </r>
  </si>
  <si>
    <t xml:space="preserve">On-site tests to chek use of Drugs/Alcohol by workers </t>
  </si>
  <si>
    <r>
      <rPr>
        <b/>
        <u/>
        <sz val="9"/>
        <rFont val="Arial"/>
        <family val="2"/>
      </rPr>
      <t>HSE Requirements (rev.03):</t>
    </r>
    <r>
      <rPr>
        <sz val="9"/>
        <rFont val="Arial"/>
        <family val="2"/>
      </rPr>
      <t xml:space="preserve">
par. 6.1. INTERFERENCES MANAGEMENT</t>
    </r>
  </si>
  <si>
    <t>Active Safety  Device to avoid collision or accidents</t>
  </si>
  <si>
    <t>num</t>
  </si>
  <si>
    <r>
      <rPr>
        <b/>
        <u/>
        <sz val="9"/>
        <rFont val="Arial"/>
        <family val="2"/>
      </rPr>
      <t>HSE Requirements (rev.03):</t>
    </r>
    <r>
      <rPr>
        <sz val="9"/>
        <rFont val="Arial"/>
        <family val="2"/>
      </rPr>
      <t xml:space="preserve">
par. 6.2.8. Communication system</t>
    </r>
  </si>
  <si>
    <t>functional system of communication within the Work Site (if required by logistics/site conditions)</t>
  </si>
  <si>
    <t>TOTAL HSE</t>
  </si>
  <si>
    <t>Commissioning</t>
  </si>
  <si>
    <t>EGP.EEC.S.45.XX.P.00000.00.021.12 GRE.EEC.Q.45.XX.P.00000.00.062.09</t>
  </si>
  <si>
    <t>PV PARK Full EPC</t>
  </si>
  <si>
    <t>EGP.EEC.S.45.XX.P.00000.00.021.12 GRE.EEC.Q.45.XX.P.00000.00.079.04</t>
  </si>
  <si>
    <t>DELIVERY CABIN (plant connected  to the grid at MV level)</t>
  </si>
  <si>
    <t>BOP</t>
  </si>
  <si>
    <t>EGP.EEC.S.45.XX.P.00000.00.021.12 GRE.EEC.Q.45.XX.P.00000.00.098.00</t>
  </si>
  <si>
    <t>MV - LV CABINA FOR STRING INVERTER</t>
  </si>
  <si>
    <t>EGP.EEC.S.45.XX.P.00000.00.021.12 GRE.EEC.Q.45.XX.P.00000.00.097.01</t>
  </si>
  <si>
    <t>PARALLEL CABIN</t>
  </si>
  <si>
    <t>EGP.EEC.S.45.XX.P.00000.00.021.12 GRE.EEC.Q.45.XX.P.00000.00.099.01</t>
  </si>
  <si>
    <t>CONVERSION UNIT</t>
  </si>
  <si>
    <t>EGP.EEC.S.45.XX.P.00000.00.021.12 GRE.EEC.Q.45.XX.P.00000.00.101.01</t>
  </si>
  <si>
    <t xml:space="preserve">TRACKER </t>
  </si>
  <si>
    <t>EGP.EEC.S.45.XX.P.00000.00.021.12 GRE.EEC.Q.45.XX.P.00000.00.100.01</t>
  </si>
  <si>
    <t>STRING INVERTER</t>
  </si>
  <si>
    <t xml:space="preserve"> MV CABLES SUPPLY</t>
  </si>
  <si>
    <t xml:space="preserve"> MV CABLES INSTALLATION</t>
  </si>
  <si>
    <t xml:space="preserve"> MV CABLES TEST</t>
  </si>
  <si>
    <t>MV Cable Testing and comissioning</t>
  </si>
  <si>
    <t>21.01.01.79/00</t>
  </si>
  <si>
    <t>Complete MV Cable System with all accessories installed [Q] - Test</t>
  </si>
  <si>
    <t>n. tratte di cavo</t>
  </si>
  <si>
    <t xml:space="preserve"> LV CABLES SUPPLY</t>
  </si>
  <si>
    <t xml:space="preserve"> LV CABLES INSTALLATION</t>
  </si>
  <si>
    <t xml:space="preserve"> LV CABLES TEST</t>
  </si>
  <si>
    <t>LV Solar Cable Testing and comissioning</t>
  </si>
  <si>
    <t>21.01.07.11/00</t>
  </si>
  <si>
    <t>Complete Solar Cable System with all accessories installed [Q] - Test</t>
  </si>
  <si>
    <t>Quantity of Strings</t>
  </si>
  <si>
    <t xml:space="preserve">Cavi solari solo per impianti con string inverter </t>
  </si>
  <si>
    <t>LV Power Cable Testing and comissioning</t>
  </si>
  <si>
    <t>21.01.04.99/00</t>
  </si>
  <si>
    <t>Complete LV Cable System with all accessories installed [Q] - Test</t>
  </si>
  <si>
    <t>n tratte di cavo</t>
  </si>
  <si>
    <t>LV Auxiliary Cable Testing and comissioning</t>
  </si>
  <si>
    <t>21.01.09.94/00</t>
  </si>
  <si>
    <t>Complete LVaux Cable System with all accessories installed [L] - Test</t>
  </si>
  <si>
    <t xml:space="preserve"> I&amp;C CABLES SUPPLY</t>
  </si>
  <si>
    <t xml:space="preserve"> I&amp;C CABLES INSTALLATION</t>
  </si>
  <si>
    <t xml:space="preserve"> I&amp;C CABLES TEST</t>
  </si>
  <si>
    <t>I&amp;C Cable Testing and comissioning</t>
  </si>
  <si>
    <t>21.01.12.56/00</t>
  </si>
  <si>
    <t>Complete I&amp;C unshielded cable system with all accessories installed [L] - Test</t>
  </si>
  <si>
    <t>21.01.12.58/00</t>
  </si>
  <si>
    <t>Complete I&amp;C shielded twisted pairs (single and multiple) cable system with all accessories installed [L] - Test</t>
  </si>
  <si>
    <t>21.01.12.62/00</t>
  </si>
  <si>
    <t>Complete I&amp;C serial connection ethernet cable system with all accessories installed [L] - Test</t>
  </si>
  <si>
    <t>21.01.12.60/00</t>
  </si>
  <si>
    <t>Complete I&amp;C coaxial cable system with all accessories installed [L] - Test</t>
  </si>
  <si>
    <t>21.01.12.63/00</t>
  </si>
  <si>
    <t>Complete I&amp;C fiber optic (1 and 12 pairs) cable system with all accessories installed [Q] - Test</t>
  </si>
  <si>
    <t>EARTHING SYSTEM TEST</t>
  </si>
  <si>
    <t>Earthing System Testing and comissioning</t>
  </si>
  <si>
    <t>21.03.07.01/00</t>
  </si>
  <si>
    <t>Complete Earthing System testing [L] - Test</t>
  </si>
  <si>
    <t>FIRE RESISTANT ANTI-RODENT BARRIER AND SEALING INSTALLATION</t>
  </si>
  <si>
    <t>VIDEO SURVEILLANCE AND ANTI-INTRUSION SYSTEM INSTALLATION</t>
  </si>
  <si>
    <t>VIDEO SURVEILLANCE AND ANTI-INTRUSION SYSTEM TEST</t>
  </si>
  <si>
    <t>Video surveillance and anti-intrusion system Testing and comissioning</t>
  </si>
  <si>
    <t>Video surveillance and anti-intrusion system Test</t>
  </si>
  <si>
    <t>OTHERS INSTALLATION</t>
  </si>
  <si>
    <t>SOLAR EQUIPMENT TEST</t>
  </si>
  <si>
    <t>Optional in case of supply by BOP</t>
  </si>
  <si>
    <t>String boxes - Test and Commissioning</t>
  </si>
  <si>
    <t>n PCU</t>
  </si>
  <si>
    <t>New Item to add in TS, only to incentivated plants</t>
  </si>
  <si>
    <r>
      <rPr>
        <sz val="11"/>
        <rFont val="Arial"/>
        <family val="2"/>
      </rPr>
      <t xml:space="preserve">SUPPLY of vibrated reinforced concrete </t>
    </r>
    <r>
      <rPr>
        <b/>
        <sz val="11"/>
        <rFont val="Arial"/>
        <family val="2"/>
      </rPr>
      <t xml:space="preserve">DELIVERY CABIN </t>
    </r>
    <r>
      <rPr>
        <sz val="11"/>
        <rFont val="Arial"/>
        <family val="2"/>
      </rPr>
      <t>(CABINA di CONSEGNA) in accordance with the local Regulation of TSO (in Italy is E-Distribuzione Technical Specification DG 2061) - Consisting of two rooms: MV Room, measurement room. Including all the following main and auxiliary components:
- Fiscal Energy Meetering System
- Lighting systems
- Earthing system
- MV, LV and communication cables -[Q] - Supply</t>
    </r>
  </si>
  <si>
    <t>21.20.00.13/00</t>
  </si>
  <si>
    <t>SUPPLY MV SWG (Switchgear) for DELIVERY CABIN</t>
  </si>
  <si>
    <r>
      <t xml:space="preserve">Installation and interconnection of vibrated reinforced concrete </t>
    </r>
    <r>
      <rPr>
        <b/>
        <sz val="11"/>
        <color theme="1"/>
        <rFont val="Arial"/>
        <family val="2"/>
      </rPr>
      <t>DELIVERY CABIN</t>
    </r>
    <r>
      <rPr>
        <sz val="11"/>
        <color theme="1"/>
        <rFont val="Arial"/>
        <family val="2"/>
      </rPr>
      <t xml:space="preserve"> (CABINA di CONSEGNA) - Including all types of connections from outside the cabin: MV cables, LV cables, communication and control and primary earth grid, if necessary also consider self-shrinking joints for in-out connection with the cabin on existing line  </t>
    </r>
  </si>
  <si>
    <r>
      <t xml:space="preserve">Supply and internal connections of vibrated reinforced concrete </t>
    </r>
    <r>
      <rPr>
        <b/>
        <sz val="11"/>
        <color rgb="FF000000"/>
        <rFont val="Arial"/>
        <family val="2"/>
      </rPr>
      <t>USER CABIN</t>
    </r>
    <r>
      <rPr>
        <sz val="11"/>
        <color rgb="FF000000"/>
        <rFont val="Arial"/>
        <family val="2"/>
      </rPr>
      <t xml:space="preserve"> (CABINA UTENTE) according to paragraphs PPP.PVP.MVC.02 MV DISTRIBUTION CENTER and PPP.PVP.MVC.03 MV CENTER ENCLOSURE and IEC 62271-202 with IAC A Certification - Consisting of three rooms: MV room, transformer aux room, LV+SCADA room.
Electrical part: All main and auxiliary components contained in the cabin:
- Protection System Equipment (SPG/DG + SPI/DI + DDR)
- Fiscal Energy Meetering System
-  Gas vent channel MV SWG 
- Anti-intrusion + CCTV panel and everything necessary for the anti-intrusion system (magnetic sensors, relays, etc.)
- Fire detection system
- Air conditioning system
- Anti-rodent system
- Normal and emergency lighting system internal and external
- Transformation room ventilation system 
- Normal + Emergency FM sockets
- MV, LV, communication and control cables
- Earthing system
- Any other necessary components</t>
    </r>
  </si>
  <si>
    <r>
      <rPr>
        <b/>
        <sz val="11"/>
        <color rgb="FF000000"/>
        <rFont val="Arial"/>
        <family val="2"/>
      </rPr>
      <t>USER CABIN</t>
    </r>
    <r>
      <rPr>
        <sz val="11"/>
        <color rgb="FF000000"/>
        <rFont val="Arial"/>
        <family val="2"/>
      </rPr>
      <t xml:space="preserve"> - MV SWG IAC AFLR  GIS FREE or AIR (including CCI + GSM module) - Supply [Q]</t>
    </r>
  </si>
  <si>
    <r>
      <rPr>
        <b/>
        <sz val="11"/>
        <rFont val="Arial"/>
        <family val="2"/>
      </rPr>
      <t>USER CABIN</t>
    </r>
    <r>
      <rPr>
        <sz val="11"/>
        <rFont val="Arial"/>
        <family val="2"/>
      </rPr>
      <t xml:space="preserve"> - Auxiliary transformer - Supply [Q]</t>
    </r>
  </si>
  <si>
    <r>
      <rPr>
        <b/>
        <sz val="11"/>
        <rFont val="Arial"/>
        <family val="2"/>
      </rPr>
      <t xml:space="preserve">USER CABIN </t>
    </r>
    <r>
      <rPr>
        <sz val="11"/>
        <rFont val="Arial"/>
        <family val="2"/>
      </rPr>
      <t xml:space="preserve">
LV AUX distribution panel  - Supply [Q]
UPS + Battery in accordance with IEC 016 - Supply [Q]
Fiscal&amp;Total Produced Energy Meetering System (</t>
    </r>
    <r>
      <rPr>
        <i/>
        <sz val="11"/>
        <rFont val="Arial"/>
        <family val="2"/>
      </rPr>
      <t>To be Installed in the measurement room of delivery cabin</t>
    </r>
    <r>
      <rPr>
        <sz val="11"/>
        <rFont val="Arial"/>
        <family val="2"/>
      </rPr>
      <t>) - Supply [Q]
Fiscal Absorbed Energy Meetering System (LV AUX side) - Supply [Q]
I&amp;C communication panel - Supply [Q]</t>
    </r>
  </si>
  <si>
    <r>
      <t xml:space="preserve">Installation and interconnection of </t>
    </r>
    <r>
      <rPr>
        <b/>
        <sz val="11"/>
        <color theme="1"/>
        <rFont val="Arial"/>
        <family val="2"/>
      </rPr>
      <t>USER CABIN</t>
    </r>
    <r>
      <rPr>
        <sz val="11"/>
        <color theme="1"/>
        <rFont val="Arial"/>
        <family val="2"/>
      </rPr>
      <t xml:space="preserve"> (CABINA UTENTE) -  Including Plant SCADA cabinet (Out of scope of supply) and all types of connections from outside the cabin: MV cables, LV cables, communication and control, primary earth grid, I&amp;C Communication panel.</t>
    </r>
  </si>
  <si>
    <r>
      <t xml:space="preserve">SUPPLY of vibrated reinforced concrete </t>
    </r>
    <r>
      <rPr>
        <sz val="11"/>
        <rFont val="Arial"/>
        <family val="2"/>
      </rPr>
      <t>SECTIONING CABIN (CABINA DI SEZIONAMENTO) in accordance with the local Regulation of TSO (in Italy is E-Distribuzione Technical Specification DG 2061) -   Including all the following main and auxiliary components:
- Lighting systems
- Earthing system
- MV, LV and communication cables -[Q] - Supply</t>
    </r>
  </si>
  <si>
    <t>21.20.00.12/00</t>
  </si>
  <si>
    <r>
      <t xml:space="preserve">SUPPLY MV SWG (Switchgear) for </t>
    </r>
    <r>
      <rPr>
        <sz val="11"/>
        <rFont val="Arial"/>
        <family val="2"/>
      </rPr>
      <t>SECTIONING CABIN (CABINA DI SEZIONAMENTO)</t>
    </r>
  </si>
  <si>
    <r>
      <t xml:space="preserve">Installation and interconnection of vibrated reinforced concrete </t>
    </r>
    <r>
      <rPr>
        <sz val="11"/>
        <rFont val="Arial"/>
        <family val="2"/>
      </rPr>
      <t>SECTIONING CABIN (CABINA DI SEZIONAMENTO) - Including all types of connections from outside the cabin: MV cables, LV cables, communication and control and primary earth grid.</t>
    </r>
  </si>
  <si>
    <t>Testing and comissioning</t>
  </si>
  <si>
    <t>PV Delivery Cabin Test</t>
  </si>
  <si>
    <t>n Cabin</t>
  </si>
  <si>
    <r>
      <t>MV LINE EXTERNAL TO THE PV PARK -</t>
    </r>
    <r>
      <rPr>
        <b/>
        <sz val="11"/>
        <color rgb="FFFF0000"/>
        <rFont val="Arial"/>
        <family val="2"/>
      </rPr>
      <t xml:space="preserve"> </t>
    </r>
    <r>
      <rPr>
        <b/>
        <sz val="11"/>
        <rFont val="Arial"/>
        <family val="2"/>
      </rPr>
      <t>MV Connection</t>
    </r>
  </si>
  <si>
    <t>DSO Requirements - Progetto Definitivo Opere di Rete per la connessione</t>
  </si>
  <si>
    <t>GRE.EEC.S.25.XX.A.00000.00.218</t>
  </si>
  <si>
    <t>02.02.00.00/01</t>
  </si>
  <si>
    <r>
      <t xml:space="preserve">HORIZONTAL DIRECTIONAL DRILLING (HDD): CABLES/PIPES/CONDUITS </t>
    </r>
    <r>
      <rPr>
        <b/>
        <sz val="10"/>
        <color rgb="FFFF0000"/>
        <rFont val="Arial"/>
        <family val="2"/>
      </rPr>
      <t>DIAMETER 4 INCHES / 100 MM</t>
    </r>
  </si>
  <si>
    <t>civil  item</t>
  </si>
  <si>
    <t>02.02.00.00/02</t>
  </si>
  <si>
    <r>
      <t xml:space="preserve">HORIZONTAL DIRECTIONAL DRILLING (HDD): CABLES/PIPES/CONDUITS </t>
    </r>
    <r>
      <rPr>
        <b/>
        <sz val="10"/>
        <color rgb="FFFF0000"/>
        <rFont val="Arial"/>
        <family val="2"/>
      </rPr>
      <t>DIAMETER &gt; 4 TO 8 INCHES / 100 TO 200 MM</t>
    </r>
  </si>
  <si>
    <t>02.02.00.00/03</t>
  </si>
  <si>
    <r>
      <t xml:space="preserve">HORIZONTAL DIRECTIONAL DRILLING (HDD): CABLES/PIPES/CONDUITS </t>
    </r>
    <r>
      <rPr>
        <b/>
        <sz val="10"/>
        <color rgb="FFFF0000"/>
        <rFont val="Arial"/>
        <family val="2"/>
      </rPr>
      <t>DIAMETER &gt; 8 TO 12 INCHES / 200 TO 250 MM</t>
    </r>
  </si>
  <si>
    <t>02.02.00.00/04</t>
  </si>
  <si>
    <r>
      <t xml:space="preserve">HORIZONTAL DIRECTIONAL DRILLING (HDD): CABLES/PIPES/CONDUITS </t>
    </r>
    <r>
      <rPr>
        <b/>
        <sz val="10"/>
        <color rgb="FFFF0000"/>
        <rFont val="Arial"/>
        <family val="2"/>
      </rPr>
      <t>DIAMETER  &gt; 12 INCHES / 250 MM</t>
    </r>
  </si>
  <si>
    <r>
      <rPr>
        <sz val="11"/>
        <color rgb="FF000000"/>
        <rFont val="Arial"/>
        <family val="2"/>
      </rPr>
      <t>20.01.08.00</t>
    </r>
    <r>
      <rPr>
        <sz val="11"/>
        <color rgb="FFFF0000"/>
        <rFont val="Arial"/>
        <family val="2"/>
      </rPr>
      <t>.xx</t>
    </r>
  </si>
  <si>
    <r>
      <rPr>
        <sz val="10"/>
        <color rgb="FFFF0000"/>
        <rFont val="Arial"/>
        <family val="2"/>
      </rPr>
      <t xml:space="preserve">EXCAVATION AND BACKFILLING (INCLUDING SAND BED, IF NECESSARY ACCORDING TO THE DESIGN, REPLACING OF ROAD LAYERS - IF ANY- ALWAYS INCLUDED) FOR </t>
    </r>
    <r>
      <rPr>
        <b/>
        <sz val="10"/>
        <color rgb="FFFF0000"/>
        <rFont val="Arial"/>
        <family val="2"/>
      </rPr>
      <t>TYPICAL MV TRENCH 1C - 110 x48 CM (MIN) - N.1 THREE-PHASE MV LINE</t>
    </r>
  </si>
  <si>
    <t>sono gruppi elettrogeni per il funzionamento dell’impianto non per il commissioning</t>
  </si>
  <si>
    <t>Project:</t>
  </si>
  <si>
    <t xml:space="preserve">Bill of Quantities and Prices </t>
  </si>
  <si>
    <t>AC Power (MW):</t>
  </si>
  <si>
    <t>DC Power (MW):</t>
  </si>
  <si>
    <t>Contractor:</t>
  </si>
  <si>
    <t>Electro-Mechanical Ballance of Plant (ESC-BOP for String Inverters)</t>
  </si>
  <si>
    <t>Price</t>
  </si>
  <si>
    <t>Type
S=Supply
W=Works</t>
  </si>
  <si>
    <r>
      <rPr>
        <b/>
        <sz val="10"/>
        <color rgb="FFFF0000"/>
        <rFont val="Arial Narrow"/>
        <family val="2"/>
      </rPr>
      <t>B=Base Contract
O=o</t>
    </r>
    <r>
      <rPr>
        <b/>
        <sz val="10"/>
        <color theme="3"/>
        <rFont val="Arial Narrow"/>
        <family val="2"/>
      </rPr>
      <t>ptional</t>
    </r>
  </si>
  <si>
    <t>Product Reference Requirement</t>
  </si>
  <si>
    <t>Item</t>
  </si>
  <si>
    <t>TS Reference</t>
  </si>
  <si>
    <t>Item Reference</t>
  </si>
  <si>
    <t>check</t>
  </si>
  <si>
    <t>ESTIMATED 
QUANTITY</t>
  </si>
  <si>
    <t xml:space="preserve">UNITARY 
PRICE </t>
  </si>
  <si>
    <t>ESC1</t>
  </si>
  <si>
    <t>CABLES (SUPPLY AND INSTALLATION)</t>
  </si>
  <si>
    <t>ESC1.1</t>
  </si>
  <si>
    <t>SOLAR CABLES</t>
  </si>
  <si>
    <t>- EPC_Global_XXXXX:
PPP.EQP.PVM.03.003 Cables
PPP.PVP.FPP.01.004.01 Cables
PPP.PVP.FPP.02.002.01 Cables
PPP.PVP.CBL.02.003 Solar Cables</t>
  </si>
  <si>
    <t>N.A.</t>
  </si>
  <si>
    <t>S</t>
  </si>
  <si>
    <t>B</t>
  </si>
  <si>
    <t>- EPC_Global_XXXXX:
PPP.EQP.PVM.03.002 Connectors
PPP.PVP.FPP.01.004.05 DC YX Connector
PPP.PVP.FPP.01.005 DC Fast Connectors
PPP.PVP.DIN.05 TRENCHES AND WORKS ON CABLES
- CONSTRUCTION TECHNICAL SPECIFICATIONS
- VENDOR INSTALLATION PROCEDURE CERTIFICATION</t>
  </si>
  <si>
    <t>21.01.08.01/00</t>
  </si>
  <si>
    <t>Solar Connector 1x4mm2 [Q] - Supply</t>
  </si>
  <si>
    <t>21.01.08.03/00</t>
  </si>
  <si>
    <t>Solar Connector 1x6mm2 [Q] - Supply</t>
  </si>
  <si>
    <t>21.01.08.05/00</t>
  </si>
  <si>
    <t>Solar Connector 1x10mm2 [Q] - Supply</t>
  </si>
  <si>
    <t>21.01.08.02/00</t>
  </si>
  <si>
    <t>Solar Connector 1x4mm2 [Q] - Installation</t>
  </si>
  <si>
    <t>W</t>
  </si>
  <si>
    <t>21.01.08.04/00</t>
  </si>
  <si>
    <t>Solar Connector 1x6mm2 [Q] - Installation</t>
  </si>
  <si>
    <t>21.01.08.06/00</t>
  </si>
  <si>
    <t>Solar Connector 1x10mm2 [Q] - Installation</t>
  </si>
  <si>
    <t>- EPC_Global_XXXXX:
PPP.PVP.OAT.01.003 Solar Cable Fixing
PPP.PVP.DIN.05 TRENCHES AND WORKS ON CABLES
'- CONSTRUCTION TECHNICAL SPECIFICATIONS</t>
  </si>
  <si>
    <t>21.01.07.02/00</t>
  </si>
  <si>
    <t>CU Solar Cable 1x4mm2 [Q] - Installation/Laying</t>
  </si>
  <si>
    <t>21.01.07.04/00</t>
  </si>
  <si>
    <t>CU Solar Cable 1x6mm2 [Q] - Installation/Laying</t>
  </si>
  <si>
    <t>21.01.07.06/00</t>
  </si>
  <si>
    <t>CU Solar Cable 1x10mm2 [Q] - Installation/Laying</t>
  </si>
  <si>
    <t>COMMISIONING TECHNICAL SPECIFICATIONS</t>
  </si>
  <si>
    <t>ESC1.2</t>
  </si>
  <si>
    <t>LV/DC Power Cable (VOLTAGE, CABLE FORMATION, COND. MATERIAL, INS. MATERIAL)</t>
  </si>
  <si>
    <t>- EPC_Global_XXXXX:
PPP.PVP.FPP.01.004.01 Cables
PPP.PVP.CBL CABLES
PPP.PVP.CBL.02.001 Power LV DC and AC
PPP.PSS.ENG.02.003 Cable Sizing
PPP.PSS.ENG.02.003.01 LV Cables</t>
  </si>
  <si>
    <t>- EPC_Global_XXXXX
PPP.PVP.FPP.01.004.05 DC YX Connector
PPP.PVP.FPP.01.005 DC Fast Connectors
PPP.PVP.CBL.02.004.02 Barrel Connectors for Aluminium Cables
PPP.PVP.CBL.02.004.03 Cable Joint</t>
  </si>
  <si>
    <t>21.01.05.17/00</t>
  </si>
  <si>
    <t>LV Unshielded Cable termination 1x240mm2 [Q] - Supply</t>
  </si>
  <si>
    <t>21.01.05.19/00</t>
  </si>
  <si>
    <t>LV Unshielded Cable termination 1x300mm2 [Q] - Supply</t>
  </si>
  <si>
    <t>21.01.05.21/00</t>
  </si>
  <si>
    <t>LV Unshielded Cable termination 1x400mm2 [Q] - Supply</t>
  </si>
  <si>
    <t>- EPC_Global_XXXXX
PPP.PVP.CBL.02.004.02 Barrel Connectors for Aluminium Cables
PPP.PVP.DIN.05 TRENCHES AND WORKS ON CABLES
PPP.PVP.WRK.04 ELECTRICAL FIELD BOX ACTIVITIES
- CONSTRUCTION TECHNICAL SPECIFICATIONS
- VENDOR INSTALLATION PROCEDURE CERTIFICATION</t>
  </si>
  <si>
    <t>21.01.05.18/00</t>
  </si>
  <si>
    <t>LV Unshielded Cable termination 1x240mm2 [Q] - Installation</t>
  </si>
  <si>
    <t>21.01.05.20/00</t>
  </si>
  <si>
    <t>LV Unshielded Cable termination 1x300mm2 [Q] - Installation</t>
  </si>
  <si>
    <t>21.01.05.22/00</t>
  </si>
  <si>
    <t>LV Unshielded Cable termination 1x400mm2 [Q] - Installation</t>
  </si>
  <si>
    <t>'- EPC_Global_XXXXX:
PPP.PVP.DIN.05 TRENCHES AND WORKS ON CABLES
- CONSTRUCTION TECHNICAL SPECIFICATIONS</t>
  </si>
  <si>
    <t>21.01.04.84/00</t>
  </si>
  <si>
    <t>LV Unshielded AL Cable 1x240mm2 [Q] - Installation/Laying</t>
  </si>
  <si>
    <t>21.01.04.86/00</t>
  </si>
  <si>
    <t>LV Unshielded AL Cable 1x300mm2 [Q] - Installation/Laying</t>
  </si>
  <si>
    <t>21.01.04.88/00</t>
  </si>
  <si>
    <t>LV Unshielded AL Cable 1x400mm2 [Q] - Installation/Laying</t>
  </si>
  <si>
    <t>- COMMISIONING TECHNICAL SPECIFICATIONS</t>
  </si>
  <si>
    <t>Quantity of LV circuits</t>
  </si>
  <si>
    <t>ESC1.3</t>
  </si>
  <si>
    <t>MV/AC Power Cables  (VOLTAGE, CABLE FORMATION, COND. MATERIAL, INS. MATERIAL)</t>
  </si>
  <si>
    <t>- EPC_Global_XXXXX:
PPP.PVP.CBL CABLES
PPP.PVP.CBL.01 POWER MV (with all sub-section)
PPP.PSS.ENG.02.003.02 MV Cables
PPP.PVP.DIN.07.008 Grounding Method MV Cables</t>
  </si>
  <si>
    <t>- EPC_Global_XXXXX:
PPP.PVP.CBL.01.002.01 Terminal
PPP.PVP.DIN.07.008 Grounding Method MV Cables</t>
  </si>
  <si>
    <t>21.01.02.53/00</t>
  </si>
  <si>
    <t>MV Cable termination 1x150mm2 (T plug - type C) [Q] - Supply</t>
  </si>
  <si>
    <t>21.01.02.55/00</t>
  </si>
  <si>
    <t>MV Cable termination 1x185mm2 (T plug - type C) [Q] - Supply</t>
  </si>
  <si>
    <t>21.01.02.57/00</t>
  </si>
  <si>
    <t>MV Cable termination 1x240mm2 (T plug - type C) [Q] - Supply</t>
  </si>
  <si>
    <t>21.01.02.59/00</t>
  </si>
  <si>
    <t>MV Cable termination 1x300mm2 (T plug - type C) [Q] - Supply</t>
  </si>
  <si>
    <t>21.01.02.61/00</t>
  </si>
  <si>
    <t>MV Cable termination 1x400mm2 (T plug - type C) [Q] - Supply</t>
  </si>
  <si>
    <t>21.01.02.63/00</t>
  </si>
  <si>
    <t>MV Cable termination 1x500mm2 (T plug - type C) [Q] - Supply</t>
  </si>
  <si>
    <t>21.01.02.65/00</t>
  </si>
  <si>
    <t>MV Cable termination 1x630mm2 (T plug - type C) [Q] - Supply</t>
  </si>
  <si>
    <t>21.01.02.39/00</t>
  </si>
  <si>
    <t>MV Cable termination 1x400mm2 (inner cone) [Q] - Supply</t>
  </si>
  <si>
    <t>21.01.02.41/00</t>
  </si>
  <si>
    <t>MV Cable termination 1x500mm2 (inner cone) [Q] - Supply</t>
  </si>
  <si>
    <t>21.01.02.43/00</t>
  </si>
  <si>
    <t>MV Cable termination 1x630mm2 (inner cone) [Q] - Supply</t>
  </si>
  <si>
    <t>- EPC_Global_XXXXX:
PPP.PVP.CBL.01.002.02 Cable Joint
PPP.PVP.CBL.01.002.03 MV Y Connection Boxes
PPP.PVP.DIN.07.008 Grounding Method MV Cables</t>
  </si>
  <si>
    <t>21.01.03.41/00</t>
  </si>
  <si>
    <t>MV Cable joints [L] - Supply</t>
  </si>
  <si>
    <t>21.01.03.42/00</t>
  </si>
  <si>
    <t>MV Cable joints [L] - Installation</t>
  </si>
  <si>
    <t>- EPC_Global_XXXXX:
PPP.PVP.CBL.01.002.01 Terminal
PPP.PVP.DIN.05 TRENCHES AND WORKS ON CABLES
PPP.PVP.DIN.07.008 Grounding Method MV Cables
- CONSTRUCTION TECHNICAL SPECIFICATIONS
- VENDOR INSTALLATION PROCEDURE CERTIFICATION</t>
  </si>
  <si>
    <t>21.01.02.54/00</t>
  </si>
  <si>
    <t>MV Cable termination 1x150mm2 (T plug - type C) [Q] - Installation</t>
  </si>
  <si>
    <t>21.01.02.56/00</t>
  </si>
  <si>
    <t>MV Cable termination 1x185mm2 (T plug - type C) [Q] - Installation</t>
  </si>
  <si>
    <t>21.01.02.58/00</t>
  </si>
  <si>
    <t>MV Cable termination 1x240mm2 (T plug - type C) [Q] - Installation</t>
  </si>
  <si>
    <t>21.01.02.60/00</t>
  </si>
  <si>
    <t>MV Cable termination 1x300mm2 (T plug - type C) [Q] - Installation</t>
  </si>
  <si>
    <t>21.01.02.62/00</t>
  </si>
  <si>
    <t>MV Cable termination 1x400mm2 (T plug - type C) [Q] - Installation</t>
  </si>
  <si>
    <t>21.01.02.64/00</t>
  </si>
  <si>
    <t>MV Cable termination 1x500mm2 (T plug - type C) [Q] - Installation</t>
  </si>
  <si>
    <t>21.01.02.66/00</t>
  </si>
  <si>
    <t>MV Cable termination 1x630mm2 (T plug - type C) [Q] - Installation</t>
  </si>
  <si>
    <t>21.01.02.40/00</t>
  </si>
  <si>
    <t>MV Cable termination 1x400mm2 (inner cone) [Q] - Installation</t>
  </si>
  <si>
    <t>21.01.02.42/00</t>
  </si>
  <si>
    <t>MV Cable termination 1x500mm2 (inner cone) [Q] - Installation</t>
  </si>
  <si>
    <t>21.01.02.44/00</t>
  </si>
  <si>
    <t>MV Cable termination 1x630mm2 (inner cone) [Q] - Installation</t>
  </si>
  <si>
    <t>- EPC_Global_XXXXX
PPP.PVP.DIN.05 TRENCHES AND WORKS ON CABLES
- CONSTRUCTION TECHNICAL SPECIFICATIONS
- VENDOR INSTALLATION PROCEDURE SPECIFICATIONS</t>
  </si>
  <si>
    <t>- EPC_Global_XXXXX:
PPP.PVP.CBL.01.001 AC Cables (sub-section named tests)
- COMMISIONING TECHNICAL SPECIFICATIONS</t>
  </si>
  <si>
    <t>Quantity of MV circuits</t>
  </si>
  <si>
    <t>ESC1.4</t>
  </si>
  <si>
    <t>LV Aux Power Cables (power supply of trackers, O&amp;M building, meteo stations, environmental sensors, Video Surveillance and any other aux system)- supply and installation</t>
  </si>
  <si>
    <t>- EPC_Global_XXXXX:
PPP.PVP.CBL CABLES
PPP.PVP.CBL.02.002 Auxiliary Cables</t>
  </si>
  <si>
    <t>21.01.09.85/00</t>
  </si>
  <si>
    <t>LVaux Unshielded Cable [L] - Supply</t>
  </si>
  <si>
    <t>EPC_Global_XXXXX:
PPP.PVP.CBL.02.004.02 Barrel Connectors for Aluminium Cables
PPP.PVP.WRK.04 ELECTRICAL FIELD BOX ACTIVITIES
Refer to specific auxiliary equipment installation manual</t>
  </si>
  <si>
    <t>LVaux Unshielded Cable termination [L] - Supply</t>
  </si>
  <si>
    <t>- EPC_Global_XXXXX:
PPP.PVP.CBL CABLES
PPP.PVP.CBL.02.002 Auxiliary Cables
- CONSTRUCTION TECHNICAL SPECIFICATIONS
- VENDOR INSTALLATION PROCEDURE SPECIFICATIONS</t>
  </si>
  <si>
    <t xml:space="preserve">
21.01.10.92/00</t>
  </si>
  <si>
    <t>LVaux Unshielded Cable termination [L] - Installation</t>
  </si>
  <si>
    <t>- EPC_Global_XXXXX
PPP.PVP.CBL CABLES
PPP.PVP.CBL.02.002 Auxiliary Cables
- CONSTRUCTION TECHNICAL SPECIFICATIONS
- VENDOR INSTALLATION PROCEDURE SPECIFICATIONS</t>
  </si>
  <si>
    <t>21.01.09.86/00</t>
  </si>
  <si>
    <t>LVaux Unshielded Cable [L] - Installation/Laying</t>
  </si>
  <si>
    <t>- EPC_Global_XXXXX
PPP.PVP.CBL.01.001 AC Cables (sub-section named tests)
- COMMISIONING TECHNICAL SPECIFICATIONS</t>
  </si>
  <si>
    <t>ESC1.5</t>
  </si>
  <si>
    <t>Data Cables (copper) and Fiber Optic (I&amp;C communication cables for all main and auxiliary equipment)</t>
  </si>
  <si>
    <t>- EPC_Global_XXXXX:
PPP.PVP.CBL.03 SIGNAL-DATA CABLE (with all sub-sections)</t>
  </si>
  <si>
    <t>21.01.12.41/00</t>
  </si>
  <si>
    <t>I&amp;C Cable unshielded [L] - Supply</t>
  </si>
  <si>
    <t>21.01.12.43/00</t>
  </si>
  <si>
    <t>I&amp;C Cable shielded single twisted pairs with overall screen [L] - Supply</t>
  </si>
  <si>
    <t>21.01.12.45/00</t>
  </si>
  <si>
    <t>I&amp;C Cable shielded multiple twisted pairs with individual and overall screen [L] - Supply</t>
  </si>
  <si>
    <t>21.01.12.49/00</t>
  </si>
  <si>
    <t>I&amp;C Cable serial connection ethernet (Cat6/6a) [L] - Supply</t>
  </si>
  <si>
    <t>21.01.13.33/00</t>
  </si>
  <si>
    <t>I&amp;C Cable termination unshielded [L] - Supply</t>
  </si>
  <si>
    <t>21.01.13.35/00</t>
  </si>
  <si>
    <t>I&amp;C Crimp wire-End terminal for shielded single twisted pairs with overall screen cable [L] - Supply</t>
  </si>
  <si>
    <t>21.01.13.37/00</t>
  </si>
  <si>
    <t>I&amp;C Crimp wire-End terminal for shielded multiple twisted pairs with individual and overall screen cable[L] - Supply</t>
  </si>
  <si>
    <t>21.01.13.39/00</t>
  </si>
  <si>
    <t>I&amp;C RS485 terminal for shielded multiple twisted pairs with individual and overall screen cable [L] - Supply</t>
  </si>
  <si>
    <t>21.01.13.43/00</t>
  </si>
  <si>
    <t>I&amp;C RS485 terminal for serial connection ethernet cable (Cat6/6a) [L] - Supply</t>
  </si>
  <si>
    <t>21.01.13.45/00</t>
  </si>
  <si>
    <t>I&amp;C RJ45 terminal for serial connection ethernet cable (Cat6/6a) [L] - Supply</t>
  </si>
  <si>
    <t>- EPC_Global_XXXXX:
PPP.PVP.CBL.03 SIGNAL-DATA CABLE (with all sub-sections)
- CONSTRUCTION TECHNICAL SPECIFICATIONS
- VENDOR INSTALLATION PROCEDURE SPECIFICATIONS</t>
  </si>
  <si>
    <t>21.01.12.42/00</t>
  </si>
  <si>
    <t>I&amp;C Cable unshielded [L] - Installation/Laying</t>
  </si>
  <si>
    <t>21.01.12.44/00</t>
  </si>
  <si>
    <t>I&amp;C Cable shielded single twisted pairs with overall screen [L] - Installation/Laying</t>
  </si>
  <si>
    <t>21.01.12.46/00</t>
  </si>
  <si>
    <t>I&amp;C Cable shielded multiple twisted pairs with individual and overall screen [L] - Installation/Laying</t>
  </si>
  <si>
    <t>21.01.12.50/00</t>
  </si>
  <si>
    <t>I&amp;C Cable serial connection ethernet (Cat6/6a) [L] - Installation/Laying</t>
  </si>
  <si>
    <t>- EPC_Global_XXXXX
PPP.PVP.CBL.03 SIGNAL-DATA CABLE (with all sub-sections)
- CONSTRUCTION TECHNICAL SPECIFICATIONS
- VENDOR INSTALLATION PROCEDURE SPECIFICATIONS</t>
  </si>
  <si>
    <t>21.01.13.34/00</t>
  </si>
  <si>
    <t>I&amp;C Cable termination unshielded [L] - Installation</t>
  </si>
  <si>
    <t>21.01.13.36/00</t>
  </si>
  <si>
    <t>I&amp;C Crimp wire-End terminal for shielded single twisted pairs with overall screen cable [L] - Installation</t>
  </si>
  <si>
    <t>21.01.13.38/00</t>
  </si>
  <si>
    <t>I&amp;C Crimp wire-End terminal for shielded multiple twisted pairs with individual and overall screen cable [L] - Installation</t>
  </si>
  <si>
    <t>21.01.13.40/00</t>
  </si>
  <si>
    <t>I&amp;C RS485 terminal for shielded multiple twisted pairs with individual and overall screen cable [L] - Installation</t>
  </si>
  <si>
    <t>21.01.13.44/00</t>
  </si>
  <si>
    <t>I&amp;C RS485 terminal for serial connection ethernet cable (Cat6/6a) [L] - Installation</t>
  </si>
  <si>
    <t>21.01.13.46/00</t>
  </si>
  <si>
    <t>I&amp;C RJ45 terminal for serial connection ethernet cable (Cat6/6a) [L] - Installation</t>
  </si>
  <si>
    <t>21.01.12.47/00</t>
  </si>
  <si>
    <t>I&amp;C Cable coaxial [L] - Supply</t>
  </si>
  <si>
    <t>21.01.13.41/00</t>
  </si>
  <si>
    <t>I&amp;C Cable termination coaxial [L] - Supply</t>
  </si>
  <si>
    <t>21.01.12.48/00</t>
  </si>
  <si>
    <t>I&amp;C Cable coaxial [L] - Installation/Laying</t>
  </si>
  <si>
    <t>21.01.13.42/00</t>
  </si>
  <si>
    <t>I&amp;C Cable termination coaxial [L] - Installation</t>
  </si>
  <si>
    <t>- EPC_Global_XXXXX:
PPP.PVP.CBL.03 SIGNAL-DATA CABLE (with all sub-sections)
PPP.PVP.CBL.03.001 Fiber Optic</t>
  </si>
  <si>
    <t>I&amp;C Cable fiber optic (12pairs) [Q] - Supply</t>
  </si>
  <si>
    <t>I&amp;C Cable fiber optic (1pairs) [Q] - Supply</t>
  </si>
  <si>
    <t>quantity</t>
  </si>
  <si>
    <t>'- EPC_Global_XXXXX:
PPP.PVP.CBL.03 SIGNAL-DATA CABLE (with all sub-sections)
PPP.PVP.CBL.03.001 Fiber Optic
- CONSTRUCTION TECHNICAL SPECIFICATIONS
- VENDOR INSTALLATION PROCEDURE SPECIFICATIONS</t>
  </si>
  <si>
    <t>21.01.12.38/00</t>
  </si>
  <si>
    <t>I&amp;C Cable fiber optic (12pairs) [Q] - Installation/Laying</t>
  </si>
  <si>
    <t>21.01.12.40/00</t>
  </si>
  <si>
    <t>I&amp;C Cable fiber optic (1pair) [Q] - Installation/Laying</t>
  </si>
  <si>
    <t>- EPC_Global_XXXXX
PPP.PVP.CBL.03 SIGNAL-DATA CABLE (with all sub-sections)
PPP.PVP.CBL.03.001 Fiber Optic
PPP.PVP.CBL.03.003.03 Fiber Connectors
- CONSTRUCTION TECHNICAL SPECIFICATIONS
- VENDOR INSTALLATION PROCEDURE SPECIFICATIONS</t>
  </si>
  <si>
    <t>I&amp;C Cable termination fiber optic (12pairs) [Q] - Installation</t>
  </si>
  <si>
    <t>I&amp;C Cable termination fiber optic (1pair) [Q] - Installation</t>
  </si>
  <si>
    <t>- EPC_Global_XXXXX
PPP.PVP.CBL.03 SIGNAL-DATA CABLE (with all sub-sections)
PPP.PVP.CBL.01.001 AC Cables (sub-section named tests)
- COMMISIONING TECHNICAL SPECIFICATIONS</t>
  </si>
  <si>
    <t>quantity of circuits</t>
  </si>
  <si>
    <t>ESC1.7</t>
  </si>
  <si>
    <t>EARTHING GROUNDING SYSTEM (supply and installation)</t>
  </si>
  <si>
    <t>- EPC_Global_XXXXX:
PPP.PVP.DIN.07 EARTHING SYSTEM with all subsections</t>
  </si>
  <si>
    <t>21.03.01.02/00</t>
  </si>
  <si>
    <t>Earthing bare copper conductor 25mm2 [L] - Supply</t>
  </si>
  <si>
    <t>21.03.01.06/00</t>
  </si>
  <si>
    <t>Earthing bare copper conductor 35mm2 [L] - Supply</t>
  </si>
  <si>
    <t>21.03.01.10/00</t>
  </si>
  <si>
    <t>Earthing bare copper conductor 50mm2 [L] - Supply</t>
  </si>
  <si>
    <t>21.03.01.14/00</t>
  </si>
  <si>
    <t>Earthing bare copper conductor 70mm2 [L] - Supply</t>
  </si>
  <si>
    <t>21.03.01.18/00</t>
  </si>
  <si>
    <t>Earthing bare copper conductor 95mm2 [L] - Supply</t>
  </si>
  <si>
    <t>21.03.01.22/00</t>
  </si>
  <si>
    <t>Earthing bare copper conductor 120mm2 [L] - Supply</t>
  </si>
  <si>
    <t>21.03.01.26/00</t>
  </si>
  <si>
    <t>Earthing bare copper conductor 150mm2 [L] - Supply</t>
  </si>
  <si>
    <t>21.03.01.30/00</t>
  </si>
  <si>
    <t>Earthing bare copper conductor 185mm2 [L] - Supply</t>
  </si>
  <si>
    <t>21.03.01.34/00</t>
  </si>
  <si>
    <t>Earthing bare copper conductor 240mm2 [L] - Supply</t>
  </si>
  <si>
    <t>21.03.02.02/00</t>
  </si>
  <si>
    <t>Insulated Y/G copper conductor 1G6 [L] - Supply</t>
  </si>
  <si>
    <t>21.03.02.06/00</t>
  </si>
  <si>
    <t>Insulated Y/G copper conductor 1G10 [L] - Supply</t>
  </si>
  <si>
    <t>21.03.02.10/00</t>
  </si>
  <si>
    <t>Insulated Y/G copper conductor 1G16 [L] - Supply</t>
  </si>
  <si>
    <t>21.03.02.14/00</t>
  </si>
  <si>
    <t>Insulated Y/G copper conductor 1G25 [L] - Supply</t>
  </si>
  <si>
    <t>21.03.02.18/00</t>
  </si>
  <si>
    <t>Insulated Y/G copper conductor 1G35 [L] - Supply</t>
  </si>
  <si>
    <t>21.03.02.22/00</t>
  </si>
  <si>
    <t>Insulated Y/G copper conductor 1G50 [L] - Supply</t>
  </si>
  <si>
    <t>21.03.02.26/00</t>
  </si>
  <si>
    <t>Insulated Y/G copper conductor 1G70 [L] - Supply</t>
  </si>
  <si>
    <t>21.03.03.37/00</t>
  </si>
  <si>
    <t>Earthing connection thermal weldings [L] - Supply</t>
  </si>
  <si>
    <t>21.03.03.38/00</t>
  </si>
  <si>
    <t>Earthing connection thermal weldings [L] - Installation</t>
  </si>
  <si>
    <t>21.03.03.39/00</t>
  </si>
  <si>
    <t>Earthing connection compression clamps [L] - Supply</t>
  </si>
  <si>
    <t>21.03.03.40/00</t>
  </si>
  <si>
    <t>Earthing connection compression clamps [L] - Installation</t>
  </si>
  <si>
    <t>21.03.06.25/00</t>
  </si>
  <si>
    <t>Earthing Cable terminations [L] - Supply</t>
  </si>
  <si>
    <t>21.03.06.26/00</t>
  </si>
  <si>
    <t>Earthing Cable terminations [L] - Installation</t>
  </si>
  <si>
    <t>21.03.04.05/00</t>
  </si>
  <si>
    <t>Pits and earth electrodes [L] - Supply</t>
  </si>
  <si>
    <t>21.03.04.06/00</t>
  </si>
  <si>
    <t>Pits and earth electrodes [L] - Installation</t>
  </si>
  <si>
    <t>- EPC_Global_XXXXX:
PPP.PVP.DIN.07 EARTHING SYSTEM with all subsections
- CONSTRUCTION TECHNICAL SPECIFICATIONS
- VENDOR INSTALLATION PROCEDURE SPECIFICATIONS</t>
  </si>
  <si>
    <t>21.03.01.38/00</t>
  </si>
  <si>
    <t>Earthing bare copper conductors [L] - Installation</t>
  </si>
  <si>
    <t>21.03.02.50/00</t>
  </si>
  <si>
    <t>Insulated Y/G copper conductors [L] - Installation</t>
  </si>
  <si>
    <t>Complete Earthing System Testing [L]</t>
  </si>
  <si>
    <t>ECC2</t>
  </si>
  <si>
    <t>TRENCHES</t>
  </si>
  <si>
    <t>ECC2.1</t>
  </si>
  <si>
    <t>20.01.03.00.</t>
  </si>
  <si>
    <t xml:space="preserve">EARTH TRENCHES </t>
  </si>
  <si>
    <t>1_Technical Specifications Electrical Works
2_Evaluation Rules Electrical Works</t>
  </si>
  <si>
    <t>20.01.03.00.01</t>
  </si>
  <si>
    <t>EXCAVATION AND BACKFILLING (INCLUDING SAND BED, IF NECESSARY ACCORDING TO THE DESIGN) FOR TYPICAL MV TRENCH OF - 80 x 30 CM (MIN) - ONLY EARTH</t>
  </si>
  <si>
    <t>20.01.03.00.02</t>
  </si>
  <si>
    <t>EXCAVATION AND BACKFILLING (INCLUDING SAND BED, IF NECESSARY ACCORDING TO THE DESIGN) FOR OTHER EARTH TRENCH</t>
  </si>
  <si>
    <t>ECC2.2</t>
  </si>
  <si>
    <t>20.01.04.00.</t>
  </si>
  <si>
    <t xml:space="preserve">CROSSINGS </t>
  </si>
  <si>
    <t>20.01.04.00.17</t>
  </si>
  <si>
    <t>TYPICAL ROAD CROSSING OF SOLAR MV TRENCH 1-2CR-RC - 120 x 70 CM (MIN) - FOR N.1-2 THREE-PHASE MV LINE (SOLUTION WITH CONCRETE ENVELOPE, ACCORDING TO THE DESIGN)</t>
  </si>
  <si>
    <t>S/W</t>
  </si>
  <si>
    <t>20.01.04.00.18</t>
  </si>
  <si>
    <t>TYPICAL ROAD CROSSING OF SOLAR MV TRENCH 3CRBI-RC - 140 x 70 CM (MIN) - FOR N.3-4 THREE-PHASE MV LINE (SOLUTION WITH CONCRETE ENVELOPE, ACCORDING TO THE DESIGN)</t>
  </si>
  <si>
    <t>20.01.04.00.19</t>
  </si>
  <si>
    <t>TYPICAL ROAD CROSSING OF SOLAR MV TRENCH 5CRBI-RC - 140 x 100 CM (MIN) - FOR N.5-6 THREE-PHASE MV LINE (SOLUTION WITH CONCRETE ENVELOPE, ACCORDING TO THE DESIGN)</t>
  </si>
  <si>
    <t>20.01.04.00.20</t>
  </si>
  <si>
    <t>TYPICAL ROAD CROSSING OF SOLAR LV-AC TRENCH 1C-RC 80 x 40 CM (SOLUTION WITH CONCRETE ENVELOPE, ACCORDING TO THE DESIGN)</t>
  </si>
  <si>
    <t>20.01.04.00.21</t>
  </si>
  <si>
    <t>TYPICAL ROAD CROSSING OF SOLAR LV-AC TRENCH 2C-RC  80 x 60 CM (SOLUTION WITH CONCRETE ENVELOPE, ACCORDING TO THE DESIGN)</t>
  </si>
  <si>
    <t>20.01.04.00.22</t>
  </si>
  <si>
    <t>TYPICAL ROAD CROSSING OF SOLAR LV-AC TRENCH 3C-RC  80 x 80 CM (SOLUTION WITH CONCRETE ENVELOPE, ACCORDING TO THE DESIGN)</t>
  </si>
  <si>
    <t>20.01.04.00.23</t>
  </si>
  <si>
    <t>ADDITIONAL PRICE TO ITEM 20.01.04.00.22 FOR EACH THREE-PHASES LV LINE MORE IN THE SAME ROW</t>
  </si>
  <si>
    <t>20.01.04.00.24</t>
  </si>
  <si>
    <t>TYPICAL ROAD CROSSING OF SOLAR LV-AC TRENCH 4CBI-RC 90 x 60 CM  (SOLUTION WITH CONCRETE ENVELOPE, ACCORDING TO THE DESIGN)</t>
  </si>
  <si>
    <t>20.01.04.00.25</t>
  </si>
  <si>
    <t>TYPICAL ROAD CROSSING OF SOLAR LV-AC TRENCH 6CBI-RC  90 x 80 CM (SOLUTION WITH CONCRETE ENVELOPE, ACCORDING TO THE DESIGN)</t>
  </si>
  <si>
    <t>20.01.04.00.26</t>
  </si>
  <si>
    <t>TYPICAL ROAD CROSSING OF SOLAR LV-AC TRENCH 8CBI-RC  90 x 100 CM (SOLUTION WITH CONCRETE ENVELOPE, ACCORDING TO THE DESIGN)</t>
  </si>
  <si>
    <t>20.01.04.00.27</t>
  </si>
  <si>
    <t>ADDITIONAL PRICE TO ITEM 20.01.04.00.26 FOR EACH THREE-PHASES LV LINE MORE IN 2 ROW</t>
  </si>
  <si>
    <t>20.01.04.00.28</t>
  </si>
  <si>
    <t>TYPICAL ROAD CROSSING OF SOLAR LV-DC TRENCH Cu2-RC 60 x 40 CM (SOLUTION WITH CONCRETE ENVELOPE, ACCORDING TO THE DESIGN)</t>
  </si>
  <si>
    <t>20.01.04.00.29</t>
  </si>
  <si>
    <t>TYPICAL ROAD CROSSING OF SOLAR LV-DC TRENCH Cu4-RC  80 x 65 CM  (SOLUTION WITH CONCRETE ENVELOPE, ACCORDING TO THE DESIGN)</t>
  </si>
  <si>
    <t>20.01.04.00.30</t>
  </si>
  <si>
    <t>ADDITIONAL PRICE TO ITEM 20.01.04.00.29 FOR EACH THREE-PHASES LV LINE MORE IN THE SAME ROW</t>
  </si>
  <si>
    <t>20.01.04.00.31</t>
  </si>
  <si>
    <t>TYPICAL ROAD CROSSING OF SOLAR LV-DC TRENCH Cu 6BI-RC 70 x 50 CM (SOLUTION WITH CONCRETE ENVELOPE, ACCORDING TO THE DESIGN)</t>
  </si>
  <si>
    <t>20.01.04.00.32</t>
  </si>
  <si>
    <t>TYPICAL ROAD CROSSING OF SOLAR LV-DC TRENCH Cu 8BI-RC 65 x 60 CM (SOLUTION WITH CONCRETE ENVELOPE, ACCORDING TO THE DESIGN)</t>
  </si>
  <si>
    <t>20.01.04.00.33</t>
  </si>
  <si>
    <t>ADDITIONAL PRICE TO ITEM 20.01.04.00.32 FOR EACH THREE-PHASES LV LINE MORE IN 2 ROW</t>
  </si>
  <si>
    <t>ECC2.3</t>
  </si>
  <si>
    <t>20.01.08.00.</t>
  </si>
  <si>
    <t xml:space="preserve">MV TRENCHES -  SOLAR PLANT </t>
  </si>
  <si>
    <t>20.01.08.00.01</t>
  </si>
  <si>
    <t>EXCAVATION AND BACKFILLING (INCLUDING SAND BED, IF NECESSARY ACCORDING TO THE DESIGN) FOR TYPICAL MV TRENCH 1C - 110 x48 CM (MIN) - N.1 THREE-PHASE MV LINE</t>
  </si>
  <si>
    <t>20.01.08.00.02</t>
  </si>
  <si>
    <t>EXCAVATION AND BACKFILLING (INCLUDING SAND BED, IF NECESSARY ACCORDING TO THE DESIGN) FOR TYPICAL MV TRENCH 2C - 110 x 80 CM (MIN) - N.2 THREE-PHASE MV LINES</t>
  </si>
  <si>
    <t>20.01.08.00.03</t>
  </si>
  <si>
    <t>EXCAVATION AND BACKFILLING (INCLUDING SAND BED, IF NECESSARY ACCORDING TO THE DESIGN) FOR TYPICAL MV TRENCH 3C - 110 x 110 CM (MIN) - N.3 THREE-PHASE MV LINES</t>
  </si>
  <si>
    <t>20.01.08.00.04</t>
  </si>
  <si>
    <t>EXCAVATION AND BACKFILLING (INCLUDING SAND BED, IF NECESSARY ACCORDING TO THE DESIGN) FOR TYPICAL MV TRENCH 4C - 110 x 140 CM (MIN) - N.4 THREE-PHASE MV LINES</t>
  </si>
  <si>
    <t>20.01.08.00.05</t>
  </si>
  <si>
    <t>EXCAVATION AND BACKFILLING (INCLUDING SAND BED, IF NECESSARY ACCORDING TO THE DESIGN) FOR TYPICAL MV TRENCH 4CBI - 120 x 80 CM (MIN) - N.4 THREE-PHASE MV LINES IN 2 ROW</t>
  </si>
  <si>
    <t>20.01.08.00.06</t>
  </si>
  <si>
    <t>EXCAVATION AND BACKFILLING (INCLUDING SAND BED, IF NECESSARY ACCORDING TO THE DESIGN) FOR OTHER MV TRENCH</t>
  </si>
  <si>
    <t>ECC2.4</t>
  </si>
  <si>
    <t>20.01.09.00.</t>
  </si>
  <si>
    <t>LV TRENCHES - SOLAR PLANT</t>
  </si>
  <si>
    <t>20.01.09.00.01</t>
  </si>
  <si>
    <t>EXCAVATION AND BACKFILLING (INCLUDING SAND BED, IF NECESSARY ACCORDING TO THE DESIGN) FOR TYPICAL LV-AC TRENCH 1C 85 x 40 CM (MIN)</t>
  </si>
  <si>
    <t>20.01.09.00.02</t>
  </si>
  <si>
    <t>EXCAVATION AND BACKFILLING (INCLUDING SAND BED, IF NECESSARY ACCORDING TO THE DESIGN) FOR TYPICAL LV-AC TRENCH 2C  85 x 40 CM (MIN)</t>
  </si>
  <si>
    <t>20.01.09.00.03</t>
  </si>
  <si>
    <t>EXCAVATION AND BACKFILLING (INCLUDING SAND BED, IF NECESSARY ACCORDING TO THE DESIGN) FOR TYPICAL LV-AC TRENCH 3C  85 x 60 CM (MIN)</t>
  </si>
  <si>
    <t>20.01.09.00.04</t>
  </si>
  <si>
    <t>ADDITIONAL PRICE TO ITEM 20.01.09.00.03 FOR EACH THREE-PHASES LV LINE MORE IN THE SAME ROW</t>
  </si>
  <si>
    <t>20.01.09.00.05</t>
  </si>
  <si>
    <t>EXCAVATION AND BACKFILLING (INCLUDING SAND BED, IF NECESSARY ACCORDING TO THE DESIGN) FOR TYPICAL LV-AC TRENCH 4C 100 x 40 CM (MIN)</t>
  </si>
  <si>
    <t>20.01.09.00.06</t>
  </si>
  <si>
    <t>EXCAVATION AND BACKFILLING (INCLUDING SAND BED, IF NECESSARY ACCORDING TO THE DESIGN) FOR TYPICAL LV-AC TRENCH 6C  100 x 60 CM (MIN)</t>
  </si>
  <si>
    <t>20.01.09.00.07</t>
  </si>
  <si>
    <t>EXCAVATION AND BACKFILLING (INCLUDING SAND BED, IF NECESSARY ACCORDING TO THE DESIGN) FOR TYPICAL LV-AC TRENCH 8C  100 x 80 CM (MIN)</t>
  </si>
  <si>
    <t>20.01.09.00.08</t>
  </si>
  <si>
    <t>ADDITIONAL PRICE TO ITEM 20.01.09.00.07 FOR EACH THREE-PHASES LV LINE MORE IN 2 ROW</t>
  </si>
  <si>
    <t>20.01.09.00.09</t>
  </si>
  <si>
    <t>EXCAVATION AND BACKFILLING (INCLUDING SAND BED, IF NECESSARY ACCORDING TO THE DESIGN) FOR TYPICAL LV-DC TRENCH Cu1 55 x 50 CM (MIN)</t>
  </si>
  <si>
    <t>20.01.09.00.10</t>
  </si>
  <si>
    <t>EXCAVATION AND BACKFILLING (INCLUDING SAND BED, IF NECESSARY ACCORDING TO THE DESIGN) FOR TYPICAL LV-DC TRENCH Cu4  55 x 60 CM (MIN)</t>
  </si>
  <si>
    <t>20.01.09.00.11</t>
  </si>
  <si>
    <t>ADDITIONAL PRICE TO ITEM 20.01.09.00.10 FOR EACH THREE-PHASES LV LINE MORE IN THE SAME ROW</t>
  </si>
  <si>
    <t>20.01.09.00.12</t>
  </si>
  <si>
    <t>EXCAVATION AND BACKFILLING (INCLUDING SAND BED, IF NECESSARY ACCORDING TO THE DESIGN) FOR TYPICAL LV-DC TRENCH Cu6BI 65 x 50 CM (MIN)</t>
  </si>
  <si>
    <t>20.01.09.00.13</t>
  </si>
  <si>
    <t>EXCAVATION AND BACKFILLING (INCLUDING SAND BED, IF NECESSARY ACCORDING TO THE DESIGN) FOR TYPICAL LV-DC TRENCH Cu8BI 65 x 60 CM (MIN)</t>
  </si>
  <si>
    <t>20.01.09.00.14</t>
  </si>
  <si>
    <t>ADDITIONAL PRICE TO ITEM 20.01.09.00.14 FOR EACH THREE-PHASES LV LINE MORE IN 2 ROW</t>
  </si>
  <si>
    <t>21.02.06.00</t>
  </si>
  <si>
    <t>CABLE HANGER SYSTEM</t>
  </si>
  <si>
    <t>EPC_Global_XXXXX:
PPP.PVP.DIN.05.003 Hanger Structures Cableway
PPP.PVP.FPP.01 DC PARALLEL
PPP.PVP.FPP.01.001 DC Pre-Parallel Boxes
PPP.PVP.FPP.01.003 Harness (with all sub-sections)
PPP.PVP.FPP.01.004 Electrical Components (with all sub-sections)</t>
  </si>
  <si>
    <t>21.02.07.01/00</t>
  </si>
  <si>
    <t>Supply and installation of a complete cable hanger system, with all accessories needed [L]</t>
  </si>
  <si>
    <t>ECC2.24.2</t>
  </si>
  <si>
    <t>20.07.01.00</t>
  </si>
  <si>
    <t>REINFORCED CONCRETE ELECTRICAL PITS</t>
  </si>
  <si>
    <t>20.07.01.00.01</t>
  </si>
  <si>
    <t>INTERNAL DEPTH=1,00 M (INTERNAL PLAN DIMENSIONS  1,00X1,00 M)</t>
  </si>
  <si>
    <t>20.07.01.00.02</t>
  </si>
  <si>
    <t>INTERNAL DEPTH=1,00 M (INTERNAL PLAN DIMENSIONS  1,00X1,50 M)</t>
  </si>
  <si>
    <t>20.07.01.00.03</t>
  </si>
  <si>
    <t>INTERNAL DEPTH=1,50 M (INTERNAL PLAN DIMENSIONS  1,50X2,00 M)</t>
  </si>
  <si>
    <t>20.07.01.00.04</t>
  </si>
  <si>
    <t>INTERNAL DEPTH=1,50 M (INTERNAL PLAN DIMENSIONS  2,00X2,00 M)</t>
  </si>
  <si>
    <t>20.07.01.00.05</t>
  </si>
  <si>
    <t>INTERNAL ANY DEPTH AND PLAN DIMENTIONS</t>
  </si>
  <si>
    <t>ESC2.24.4</t>
  </si>
  <si>
    <t>RODENT-PROOF, FIRE-PROOF SEALING OF ALL CABLE INSTALLATION INTERFACES (UNDERGROUND/AERIAL)</t>
  </si>
  <si>
    <t>EPC_Global_XXXXX:
PPP.PVP.MVC.03.004 Anti-Rodent System 
PPP.PVP.OAT.01.002 Equipment Sealing
PPP.PVP.DIN.02.002 Foundation
PPP.PVP.DIN.02.003 Concrete Structure Sealing
PPP.PVP.WRK.04 ELECTRICAL FIELD BOX ACTIVITIES</t>
  </si>
  <si>
    <t>21.06.01.27/00</t>
  </si>
  <si>
    <t>Complete Fire Resistant Anti-Rodent Barrier and Sealing [L] - Supply</t>
  </si>
  <si>
    <t>- EPC_Global_XXXXX
PPP.PVP.MVC.03.004 Anti-Rodent System 
PPP.PVP.OAT.01.002 Equipment Sealing
PPP.PVP.DIN.02.002 Foundation
PPP.PVP.DIN.02.003 Concrete Structure Sealing
PPP.PVP.WRK.04 ELECTRICAL FIELD BOX ACTIVITIES
- CONSTRUCTION TECHNICAL SPECIFICATIONS
- VENDOR INSTALLATION PROCEDURE SPECIFICATIONS</t>
  </si>
  <si>
    <t>21.06.01.28/00</t>
  </si>
  <si>
    <t>Complete Fire Resistant Anti-Rodent Barrier and Sealing [L] - Installation</t>
  </si>
  <si>
    <t>ESC3</t>
  </si>
  <si>
    <t xml:space="preserve">ACTIVITY FOR PARALLEL/DELIVERY CABIN </t>
  </si>
  <si>
    <t>- EPC_Global_XXXXX:
PPP.PVP.MVC MV CENTERS
PPP.PVP.MVC.02 MV DISTRIBUTION CENTER
PPP.PVP.MVC.03 MV CENTER ENCLOSURE
PPP.PVP.WRK.03 CABINS ACTIVITY</t>
  </si>
  <si>
    <t>21.20.01/00</t>
  </si>
  <si>
    <t>Parallel/Delivery Cabin (fully accessorized: MV switchgears, MV/LV transformer, internal cabling, ...) [Q] - Supply</t>
  </si>
  <si>
    <t>- EPC_Global_XXXXX:
PPP.PVP.MVC MV CENTERS
PPP.PVP.MVC.02 MV DISTRIBUTION CENTER
PPP.PVP.MVC.03 MV CENTER ENCLOSURE
PPP.PVP.WRK.03 CABINS ACTIVITY
- CONSTRUCTION TECHNICAL SPECIFICATIONS
- VENDOR INSTALLATION PROCEDURE SPECIFICATIONS</t>
  </si>
  <si>
    <t>21.20.02/00</t>
  </si>
  <si>
    <t>Parallel/Delivery Cabin (fully accessorized: MV switchgears, MV/LV transformer, internal cabling, ...) [Q] - Installation and Interconnection</t>
  </si>
  <si>
    <t>ESC4</t>
  </si>
  <si>
    <t>OTHER</t>
  </si>
  <si>
    <t>ESC4.1</t>
  </si>
  <si>
    <t>Anti-lightning system</t>
  </si>
  <si>
    <t>EPC_Global_XXXXX:
PPP.PSS.ENG.02.002 Risk Assessment for Lightning Protection System</t>
  </si>
  <si>
    <t>21.04.01.01/00</t>
  </si>
  <si>
    <t>Complete lightning system [L] - Supply</t>
  </si>
  <si>
    <t>O</t>
  </si>
  <si>
    <t>- EPC_Global_XXXXX:
PPP.PSS.ENG.02.002 Risk Assessment for Lightning Protection System
- CONSTRUCTION TECHNICAL SPECIFICATIONS
- VENDOR INSTALLATION AND TESTING PROCEDURE SPECIFICATIONS
- COMMISIONING TECHNICAL SPECIFICATIONS</t>
  </si>
  <si>
    <t>21.04.01.02/00</t>
  </si>
  <si>
    <t>Complete lightning system [L] - Installation and testing</t>
  </si>
  <si>
    <t>ESC4.2</t>
  </si>
  <si>
    <t>Video surveillance system (auxiliary supply and communication cables excluded)</t>
  </si>
  <si>
    <t>- EPC_Global_XXXXX:
PPP.PVP.DIN.03 SECURITY SYSTEM (with all sub-section)
- CONSTRUCTION TECHNICAL SPECIFICATIONS
- VENDOR INSTALLATION AND TESTING PROCEDURE SPECIFICATIONS
- COMMISIONING TECHNICAL SPECIFICATIONS</t>
  </si>
  <si>
    <t>21.07.01.23/00</t>
  </si>
  <si>
    <t>Complete Video surveillance and anti-intrusion system [L] - Supply</t>
  </si>
  <si>
    <t>21.07.01.24/00</t>
  </si>
  <si>
    <t>Complete Video surveillance and anti-intrusion system [L] - Installation and test</t>
  </si>
  <si>
    <t>ESC4.3</t>
  </si>
  <si>
    <t>Equipment installation</t>
  </si>
  <si>
    <t>String boxes with all accessories requested [Q] - Installation and testing</t>
  </si>
  <si>
    <t>- EPC_Global_XXXXX:
PPP.PVP.PVS.04.003 Tracker Power Supply
PPP.PVP.WRK.04 ELECTRICAL FIELD BOX ACTIVITIES
- CONSTRUCTION TECHNICAL SPECIFICATIONS
- VENDOR INSTALLATION AND TESTING PROCEDURE SPECIFICATIONS</t>
  </si>
  <si>
    <t>Supply, installation and cabling of all field LV distribution boards (complete with all internal protections and wiring) [L]</t>
  </si>
  <si>
    <t>- EPC_Global_XXXXX:
PPP.PVP.FPP.01.002 String Boxes
PPP.PVP.WRK.04 ELECTRICAL FIELD BOX ACTIVITIES
- CONSTRUCTION TECHNICAL SPECIFICATIONS
- VENDOR INSTALLATION PROCEDURE SPECIFICATIONS</t>
  </si>
  <si>
    <t>21.19.01.06/00</t>
  </si>
  <si>
    <t>Complete Sun-shaded Self Supporting Structures for String Inverters and/or any additional field box (in case the Tracker's Supporting Structures cannot be used) with all accessories [L] - Supply</t>
  </si>
  <si>
    <t>21.19.01.07/00</t>
  </si>
  <si>
    <t>Complete Sun-shaded Self Supporting Structures for String Inverters and/or any additional field box (in case the Tracker's Supporting Structures cannot be used) with all accessories [L] - Installation</t>
  </si>
  <si>
    <t>EPC_Global_XXXXX</t>
  </si>
  <si>
    <t>21.19.01.08/00</t>
  </si>
  <si>
    <t>Supply, Installation and Wiring of Pyranometers (LV aux power and I&amp;C cables excluded) [L]</t>
  </si>
  <si>
    <t>21.19.01.09/00</t>
  </si>
  <si>
    <t>Supply, Installation and Wiring of Module Temperature Sensors (LV aux power and I&amp;C cables excluded) [L]</t>
  </si>
  <si>
    <t>21.19.01.10/00</t>
  </si>
  <si>
    <t>Supply, Installation and Wiring of Soiling Devices (LV aux power and I&amp;C cables excluded) [L]</t>
  </si>
  <si>
    <t>21.19.01.11/00</t>
  </si>
  <si>
    <t>Supply, Installation and Wiring of meteo station - centralized metereological monitoring system (LV aux power and I&amp;C cables excluded) [Q]</t>
  </si>
  <si>
    <t>- EPC_Global_XXXXX:
PPP.PVP.MVC MV CENTERS
PPP.PVP.MVC.01 LV/MV TRANSFORMATION CENTER (with all subsections)
PPP.PVP.WRK.03 CABINS ACTIVITY
PPP.PVP.OAT.01 FINISHING
- CONSTRUCTION TECHNICAL SPECIFICATIONS
- VENDOR INSTALLATION PROCEDURE SPECIFICATIONS</t>
  </si>
  <si>
    <t>PV Complete PCU/TC [Q] - Installation and Interconnection</t>
  </si>
  <si>
    <t>- EPC_Global_XXXXX:
PPP.PVP.MVC.01.001.02 MV/LV Oil Transformer
- TC VENDOR INSTALLATION PROCEDURE OR SPECIFIC DESIGN REQUIREMENTS SPECIFICATIONS</t>
  </si>
  <si>
    <t>21.19.01.13/00</t>
  </si>
  <si>
    <t>PV PCU/TC Oil retention tank - Supply</t>
  </si>
  <si>
    <t>- EPC_Global_XXXXX:
PPP.PVP.MVC.01.001.02 MV/LV Oil Transformer
PPP.PVP.OAT.01 FINISHING
- CONSTRUCTION TECHNICAL SPECIFICATIONS
- TC VENDOR INSTALLATION PROCEDURE OR SPECIFIC DESIGN REQUIREMENTS SPECIFICATIONS</t>
  </si>
  <si>
    <t>21.19.01.14/00</t>
  </si>
  <si>
    <t xml:space="preserve">PV PCU/TC Oil retention tank - Installation </t>
  </si>
  <si>
    <t>- EPC_Global_XXXXX:
PPP.PVP.WRK.02.002 PV Modules Cabling
PPP.PVP.OAT.01 FINISHING
- CONSTRUCTION TECHNICAL SPECIFICATIONS</t>
  </si>
  <si>
    <t>ESC4.4</t>
  </si>
  <si>
    <t>IN CASE OF TRACKER INSTALLATION</t>
  </si>
  <si>
    <t xml:space="preserve">- EPC_Global_XXXXX:
PPP.PVP.PVS PV SUPPORT STRUCTURES (with all subsections)
PPP.PVP.PVS.04.002 Communication
PPP.PVP.PVS.04.003 Tracker Power Supply
PPP.PVP.PVS.04.005 Monitoring
PPP.PVP.WRK.04 ELECTRICAL FIELD BOX ACTIVITIES
PPP.PVP.OAT.01 FINISHING
- CONSTRUCTION TECHNICAL SPECIFICATIONS
- TRACKER VENDOR INSTALLATION PROCEDURE OR SPECIFIC DESIGN REQUIREMENTS SPECIFICATIONS
</t>
  </si>
  <si>
    <t>21.19.01.20/00</t>
  </si>
  <si>
    <t>Complete Electrical Tracker Installation - Engines, Electronic Systems and batteries (LV aux power and I&amp;C cables excluded) [Q]</t>
  </si>
  <si>
    <t>N° Trackers</t>
  </si>
  <si>
    <t>xxxxx</t>
  </si>
  <si>
    <t>21.19.01.23/00</t>
  </si>
  <si>
    <t>Installation of Meteo station and environmental sensors associated to the trackers and to the Control Units/Headtrackers (LV aux power and I&amp;C cables excluded) [L]</t>
  </si>
  <si>
    <t>- EPC_Global_XXXXX:
PPP.PVP.ASC CONTROL AND DATA ACQUISITION SYSTEM (with all subsections)
- CONSTRUCTION TECHNICAL SPECIFICATIONS
- TRACKER VENDOR INSTALLATION PROCEDURE OR SPECIFIC DESIGN REQUIREMENTS SPECIFICATIONS
- TC VENDOR INSTALLATION PROCEDURE OR SPECIFIC DESIGN REQUIREMENTS SPECIFICATIONS</t>
  </si>
  <si>
    <t>21.19.01.24/00</t>
  </si>
  <si>
    <t>Installation of the Tracker SCADA system (the communication cables from the Conversion Unit to the Control Units / Headtrackers and from the CU to the substation is not included)</t>
  </si>
  <si>
    <t>- EPC_Global_XXXXX
- VENDORS INSTALLATION AND TESTING PROCEDURE SPECIFICATIONS
- COMMISIONING TECHNICAL SPECIFICATIONS</t>
  </si>
  <si>
    <t>21.22.00.01/00</t>
  </si>
  <si>
    <t>Cold Commissioning, Hot Commissioning and Start-Up, Temporary Operation</t>
  </si>
  <si>
    <t>ESC4.5</t>
  </si>
  <si>
    <t>Backup</t>
  </si>
  <si>
    <t>Back up materials according to the Technical Specification</t>
  </si>
  <si>
    <t>OPTIONAL ITEM</t>
  </si>
  <si>
    <t>Product Reference Examples
(EGP aligned)</t>
  </si>
  <si>
    <t>OESC1</t>
  </si>
  <si>
    <t>SOLAR CABLES, STRING INVERTER, AC PRE-PARALLEL and STRING BOXES (if Applicable)</t>
  </si>
  <si>
    <t>OESC1.1</t>
  </si>
  <si>
    <t xml:space="preserve">- EPC_Global_XXXXX:
PPP.PVP.FPP FIELD PARALLEL
PPP.PVP.FPP.01 DC PARALLEL
PPP.PVP.FPP.01.002 String Boxes
PPP.PVP.WRK.04 ELECTRICAL FIELD BOX ACTIVITIES
- TC VENDOR INSTALLATION PROCEDURE OR SPECIFIC DESIGN REQUIREMENTS SPECIFICATIONS
</t>
  </si>
  <si>
    <t>OESC1.2</t>
  </si>
  <si>
    <r>
      <rPr>
        <b/>
        <i/>
        <sz val="10"/>
        <color rgb="FF00B050"/>
        <rFont val="Arial Narrow"/>
        <family val="2"/>
      </rPr>
      <t>DC</t>
    </r>
    <r>
      <rPr>
        <b/>
        <i/>
        <sz val="10"/>
        <color theme="3"/>
        <rFont val="Arial Narrow"/>
        <family val="2"/>
      </rPr>
      <t xml:space="preserve"> PRE-PARALLEL BOXES (ON FIEL)</t>
    </r>
  </si>
  <si>
    <t>EPC_Global_XXXXX:
PPP.PVP.FPP.01 DC PARALLEL (with all subsections)
PPP.PVP.WRK.04 ELECTRICAL FIELD BOX ACTIVITIES</t>
  </si>
  <si>
    <r>
      <t xml:space="preserve">Supply of </t>
    </r>
    <r>
      <rPr>
        <sz val="10"/>
        <color rgb="FF00B050"/>
        <rFont val="Arial Narrow"/>
        <family val="2"/>
      </rPr>
      <t>DC</t>
    </r>
    <r>
      <rPr>
        <sz val="10"/>
        <color theme="3"/>
        <rFont val="Arial Narrow"/>
        <family val="2"/>
      </rPr>
      <t xml:space="preserve"> Pre-Paralel Box and all the accessories for the Installation (2 Input) (Two String Inverter Pre-Paralel)</t>
    </r>
  </si>
  <si>
    <t>EPC_Global_XXXXX:
PPP.PVP.WRK.04 ELECTRICAL FIELD BOX ACTIVITIES
PPP.PVP.OAT.01 FINISHING</t>
  </si>
  <si>
    <r>
      <t xml:space="preserve">Installation and Cabling of </t>
    </r>
    <r>
      <rPr>
        <sz val="10"/>
        <color rgb="FF00B050"/>
        <rFont val="Arial Narrow"/>
        <family val="2"/>
      </rPr>
      <t>DC</t>
    </r>
    <r>
      <rPr>
        <sz val="10"/>
        <color theme="3"/>
        <rFont val="Arial Narrow"/>
        <family val="2"/>
      </rPr>
      <t xml:space="preserve"> Pre-Paralel Box (2 Input), including accessories</t>
    </r>
  </si>
  <si>
    <t>OECC2</t>
  </si>
  <si>
    <t>OECC2.2</t>
  </si>
  <si>
    <t>MV SPD ON MV CABLE TERMINALS (INSIDE PCU)</t>
  </si>
  <si>
    <t>- EPC_Global_XXXXX:
PPP.PVP.MVC.01.001.01 MV Switchgear (MV SWGR)
- VENDOR INSTALLATION PROCEDURE OR SPECIFIC DESIGN REQUIREMENTS SPECIFICATIONS</t>
  </si>
  <si>
    <t>Surge arrester three poles for MV cable termination [Q] - Installation and Test</t>
  </si>
  <si>
    <t>OECC2.3</t>
  </si>
  <si>
    <t>MV CABLE MONITORING TEMPERATURE SYSTEM</t>
  </si>
  <si>
    <t>Wireless Temperature Cable Monitoring System (TCMS) [Q] - Installation and Test</t>
  </si>
  <si>
    <t>OECC2.4</t>
  </si>
  <si>
    <t>MV/LV TRANSFORMER ROOF</t>
  </si>
  <si>
    <t>PCU/TC VENDOR INSTALLATION PROCEDURE OR SPECIFIC DESIGN REQUIREMENTS SPECIFICATIONS</t>
  </si>
  <si>
    <t>21.19.01.27/00</t>
  </si>
  <si>
    <t>PV PCU/TC shelter over MV/LV transformer [Q] - Supply</t>
  </si>
  <si>
    <t>21.19.01.28/00</t>
  </si>
  <si>
    <t>PV PCU/TC shelter over MV/LV transformer [Q] - Installation and Test</t>
  </si>
  <si>
    <t>TC/PCU Lighting system</t>
  </si>
  <si>
    <t>- EPC_Global_XXXXX:
PPP.PVP.MVC.03.002 Normal and Emergency Lighting Systems 
- VENDOR INSTALLATION PROCEDURE OR SPECIFIC DESIGN REQUIREMENTS SPECIFICATIONS</t>
  </si>
  <si>
    <t>21.19.01.12/00</t>
  </si>
  <si>
    <t>PCU External Lighting System [Q] - Supply and Installation</t>
  </si>
  <si>
    <t>Total Works</t>
  </si>
  <si>
    <t>Total Supply</t>
  </si>
  <si>
    <t>Total</t>
  </si>
  <si>
    <t>Base Electro-Mechanical BOP (String Inverter Solution)</t>
  </si>
  <si>
    <t>Options Electro-Mechanical BOP (String Inverter Solution)</t>
  </si>
  <si>
    <t>LV/AC Power Cable (VOLTAGE, CABLE FORMATION, COND. MATERIAL, INS. MATERIAL)</t>
  </si>
  <si>
    <t>20.07.01.00.</t>
  </si>
  <si>
    <t>- EPC_Global_XXXXX:
PPP.PVP.FPP.01.002 String Boxes
PPP.PVP.WRK.04 ELECTRICAL FIELD BOX ACTIVITIES
PPP.PVP.OAT.01 FINISHING
- CONSTRUCTION TECHNICAL SPECIFICATIONS
- VENDOR INSTALLATION PROCEDURE SPECIFICATIONS</t>
  </si>
  <si>
    <t>String Inverters installation with all accessories requested - Installation</t>
  </si>
  <si>
    <t>Quantity of inverters</t>
  </si>
  <si>
    <t>- TRACKER VENDOR INSTALLATION PROCEDURE OR SPECIFIC DESIGN REQUIREMENTS SPECIFICATIONS</t>
  </si>
  <si>
    <t>- EPC_Global_XXXXX:
PPP.PVP.ASC CONTROL AND DATA ACQUISITION SYSTEM (with all subsections)
- CONSTRUCTION TECHNICAL SPECIFICATIONS
- TRACKER VENDOR INSTALLATION PROCEDURE OR SPECIFIC DESIGN REQUIREMENTS SPECIFICATIONS
- TRACKER VENDOR INSTALLATION PROCEDURE OR SPECIFIC DESIGN REQUIREMENTS SPECIFICATIONS</t>
  </si>
  <si>
    <t xml:space="preserve">- EPC_Global_XXXXX:
PPP.PVP.INV INVERTER
PPP.PVP.INV.01 STRING INVERTER
PPP.PVP.ASC CONTROL AND DATA ACQUISITION SYSTEM 
PPP.PVP.ASC.02 INVERTER CONTROL AND DATA ACQUISITION SYSTEM
PPP.PVP.WRK.04 ELECTRICAL FIELD BOX ACTIVITIES
- TC VENDOR INSTALLATION PROCEDURE OR SPECIFIC DESIGN REQUIREMENTS SPECIFICATIONS
</t>
  </si>
  <si>
    <t>DC PRE-PARALLEL BOXES (ON FIEL)</t>
  </si>
  <si>
    <r>
      <t xml:space="preserve">EXISTING IN THE PROJECT? </t>
    </r>
    <r>
      <rPr>
        <b/>
        <sz val="8"/>
        <rFont val="Wingdings"/>
        <charset val="2"/>
      </rPr>
      <t>þ</t>
    </r>
    <r>
      <rPr>
        <b/>
        <sz val="8"/>
        <rFont val="Arial"/>
        <family val="2"/>
      </rPr>
      <t xml:space="preserve"> / </t>
    </r>
    <r>
      <rPr>
        <b/>
        <sz val="8"/>
        <rFont val="Wingdings"/>
        <charset val="2"/>
      </rPr>
      <t>¨</t>
    </r>
    <r>
      <rPr>
        <b/>
        <sz val="8"/>
        <rFont val="Arial"/>
        <family val="2"/>
      </rPr>
      <t xml:space="preserve">    </t>
    </r>
    <r>
      <rPr>
        <b/>
        <sz val="10"/>
        <rFont val="Wingdings"/>
        <charset val="2"/>
      </rPr>
      <t xml:space="preserve">ð </t>
    </r>
  </si>
  <si>
    <t>CIVIL WORKS</t>
  </si>
  <si>
    <t>AREA 01</t>
  </si>
  <si>
    <t>REFERENCE DOCUMENT</t>
  </si>
  <si>
    <t>CODE</t>
  </si>
  <si>
    <t>ITEM DESCRIPTION</t>
  </si>
  <si>
    <t>UNIT
(SI)</t>
  </si>
  <si>
    <t>UNIT (IMP.)</t>
  </si>
  <si>
    <t>QUANTITY</t>
  </si>
  <si>
    <t>UNIT
PRICE</t>
  </si>
  <si>
    <t>TOTAL 
PRICE</t>
  </si>
  <si>
    <t>NOTES</t>
  </si>
  <si>
    <t>PARCO</t>
  </si>
  <si>
    <t>Subpark 01.2</t>
  </si>
  <si>
    <t>Subpark 01.3</t>
  </si>
  <si>
    <t>Subpark 01.4</t>
  </si>
  <si>
    <t>TC</t>
  </si>
  <si>
    <t>PALI LUCE</t>
  </si>
  <si>
    <t>IR 01.5</t>
  </si>
  <si>
    <t>IR 01.6</t>
  </si>
  <si>
    <t>OTHER 01.1</t>
  </si>
  <si>
    <t>OTHER 01.2</t>
  </si>
  <si>
    <t>OTHER 01.3</t>
  </si>
  <si>
    <t>OTHER 01.4</t>
  </si>
  <si>
    <t>EARTHWORKS &amp; ROADS</t>
  </si>
  <si>
    <t>SITE PREPARATION</t>
  </si>
  <si>
    <t>C.W.CW.INF</t>
  </si>
  <si>
    <t>02.01.01.00/04</t>
  </si>
  <si>
    <r>
      <t>VEGETAL SUPPRESSION, AREA CLEARING AND STRIPPING</t>
    </r>
    <r>
      <rPr>
        <sz val="10"/>
        <rFont val="Arial"/>
        <family val="2"/>
      </rPr>
      <t xml:space="preserve">
Removal of all obstructions such as vegetation (Manual and Machanized), trees of having any circumference, shrubs, boulders and/or other debris. Included  loading, transportation up to final destination,  unloading, spreading.</t>
    </r>
  </si>
  <si>
    <r>
      <t>m</t>
    </r>
    <r>
      <rPr>
        <vertAlign val="superscript"/>
        <sz val="10"/>
        <rFont val="Arial"/>
        <family val="2"/>
      </rPr>
      <t>2</t>
    </r>
  </si>
  <si>
    <t>SY</t>
  </si>
  <si>
    <t>Riferito solo allo sfalcio del tappeto erboso</t>
  </si>
  <si>
    <t>11.04.02.00/01</t>
  </si>
  <si>
    <r>
      <t xml:space="preserve">LOADING, TRANSPORTING AND SPREADING OF TOPSOIL LAYERS IN DEGRADED AREAS
</t>
    </r>
    <r>
      <rPr>
        <sz val="10"/>
        <rFont val="Arial"/>
        <family val="2"/>
      </rPr>
      <t>New transportation of topsoil material to a specific area by ENEL request to prepare the surface for seeding.</t>
    </r>
  </si>
  <si>
    <r>
      <t>m</t>
    </r>
    <r>
      <rPr>
        <vertAlign val="superscript"/>
        <sz val="10"/>
        <rFont val="Arial"/>
        <family val="2"/>
      </rPr>
      <t xml:space="preserve">3 </t>
    </r>
  </si>
  <si>
    <t>CY</t>
  </si>
  <si>
    <t>Parte di topsoil accantonato e utilizzato per ripristino</t>
  </si>
  <si>
    <t>EARTHMOVEMENT</t>
  </si>
  <si>
    <t>02.01.02.00/01</t>
  </si>
  <si>
    <r>
      <t xml:space="preserve">TOPSOIL EXCAVATION
</t>
    </r>
    <r>
      <rPr>
        <sz val="10"/>
        <rFont val="Arial"/>
        <family val="2"/>
      </rPr>
      <t xml:space="preserve">Removal of topsoil layer, any depth, including loading, transportation, unloading and spreading. Topsoil should be stockpiled for later reuse as needed. </t>
    </r>
    <r>
      <rPr>
        <b/>
        <sz val="10"/>
        <rFont val="Arial"/>
        <family val="2"/>
      </rPr>
      <t xml:space="preserve"> </t>
    </r>
  </si>
  <si>
    <t>Rimozione scotico per viabilità interna e aree TC</t>
  </si>
  <si>
    <t>02.01.05.00/04</t>
  </si>
  <si>
    <r>
      <rPr>
        <b/>
        <sz val="10"/>
        <color rgb="FFFF0000"/>
        <rFont val="Arial"/>
        <family val="2"/>
      </rPr>
      <t>EXCAVATION IN SOIL</t>
    </r>
    <r>
      <rPr>
        <b/>
        <sz val="10"/>
        <rFont val="Arial"/>
        <family val="2"/>
      </rPr>
      <t xml:space="preserve">    
</t>
    </r>
    <r>
      <rPr>
        <sz val="10"/>
        <rFont val="Arial"/>
        <family val="2"/>
      </rPr>
      <t>Excavation in soil, any depth, with mechanical means "dozer" and "scraper" including loading and transport to usage location or authorized dump to any distance, spreading, natural compaction and geometrical embankment conformation according to the design. Including testing as prescribed.</t>
    </r>
  </si>
  <si>
    <r>
      <t>m</t>
    </r>
    <r>
      <rPr>
        <vertAlign val="superscript"/>
        <sz val="10"/>
        <rFont val="Arial"/>
        <family val="2"/>
      </rPr>
      <t>3</t>
    </r>
  </si>
  <si>
    <t>Livellamento terreno ove necessario puntalmente per le aree tracker</t>
  </si>
  <si>
    <t>02.04.02.00/04</t>
  </si>
  <si>
    <r>
      <rPr>
        <b/>
        <sz val="10"/>
        <color rgb="FFFF0000"/>
        <rFont val="Arial"/>
        <family val="2"/>
      </rPr>
      <t xml:space="preserve">EXCAVATION IN ROCKY SOILS BY HAMMERING </t>
    </r>
    <r>
      <rPr>
        <b/>
        <sz val="10"/>
        <rFont val="Arial"/>
        <family val="2"/>
      </rPr>
      <t xml:space="preserve">
</t>
    </r>
    <r>
      <rPr>
        <sz val="10"/>
        <rFont val="Arial"/>
        <family val="2"/>
      </rPr>
      <t>Excavation in rocky soil, any depth, with hammer demolition equipment  including loading and transport to usage location or authorized dump to any distance, spreading, natural compaction and geometrical embankment conformation according to the design. Including testing as prescribed.</t>
    </r>
  </si>
  <si>
    <t>02.04.01.00/04</t>
  </si>
  <si>
    <r>
      <rPr>
        <b/>
        <sz val="10"/>
        <color rgb="FFFF0000"/>
        <rFont val="Arial"/>
        <family val="2"/>
      </rPr>
      <t>EXCAVATION IN ROCKY SOILS BY CONTROLLED BLASTING</t>
    </r>
    <r>
      <rPr>
        <b/>
        <sz val="10"/>
        <rFont val="Arial"/>
        <family val="2"/>
      </rPr>
      <t xml:space="preserve">
</t>
    </r>
    <r>
      <rPr>
        <sz val="10"/>
        <rFont val="Arial"/>
        <family val="2"/>
      </rPr>
      <t>Excavation in rocky soil, any depth, with massive blasting including loading and transport to usage location or authorized dump to any distance, spreading, natural compaction and geometrical embankment conformation according to the design. Including testing as prescribed.</t>
    </r>
  </si>
  <si>
    <t>03.01.00.00/03</t>
  </si>
  <si>
    <r>
      <t xml:space="preserve">PREPARATION OF THE SUBGRADE 
</t>
    </r>
    <r>
      <rPr>
        <sz val="10"/>
        <rFont val="Arial"/>
        <family val="2"/>
      </rPr>
      <t>Compaction and assessment of the subgrade layer: any slope. Including testing as prescribed.</t>
    </r>
  </si>
  <si>
    <t>03.03.00.00/01</t>
  </si>
  <si>
    <r>
      <t xml:space="preserve">EMBANKMENT: MATERIAL FROM ON-SITE EXCAVATION OR ON-SITE STORAGE 
</t>
    </r>
    <r>
      <rPr>
        <sz val="10"/>
        <rFont val="Arial"/>
        <family val="2"/>
      </rPr>
      <t>Excution with material from on-site excavation or on-site storage, according to drawings and technical specifications. Including compaction and testing as prescribed.</t>
    </r>
  </si>
  <si>
    <t>sottofondo per profilo sede stradale e area TC</t>
  </si>
  <si>
    <t>03.03.00.00/07</t>
  </si>
  <si>
    <r>
      <t xml:space="preserve">EMBANKMENT: MATERIAL IMPORTED FROM QUARRY OR CHUSHING PLANT AS PER DESIGN
</t>
    </r>
    <r>
      <rPr>
        <sz val="10"/>
        <rFont val="Arial"/>
        <family val="2"/>
      </rPr>
      <t>Execution with material from quarry or crushing plant, according to drawings and technical specifications. Including supply, loading, transportation, spreading, compaction and testing as prescribed.</t>
    </r>
  </si>
  <si>
    <t>02.06.00.00/03</t>
  </si>
  <si>
    <r>
      <rPr>
        <b/>
        <sz val="10"/>
        <color rgb="FFFF0000"/>
        <rFont val="Arial"/>
        <family val="2"/>
      </rPr>
      <t>LOADING, TRANSPORTATION, DISPOSAL AND STORAGE OF EXCAVATED MATERIAL:  INERT WASTE LANDFILL/RECYCLING PLANT</t>
    </r>
    <r>
      <rPr>
        <b/>
        <sz val="10"/>
        <rFont val="Arial"/>
        <family val="2"/>
      </rPr>
      <t xml:space="preserve">
</t>
    </r>
    <r>
      <rPr>
        <sz val="10"/>
        <rFont val="Arial"/>
        <family val="2"/>
      </rPr>
      <t xml:space="preserve">Loading and transport at any distance for not-dangerous soils and rocks, spreading, natural compaction and geometrical embankment conformation according to the design. All duties including additional tests required by the dump. Any disposal compensations/fees arising from the landfill/recycling plants and/or third party. </t>
    </r>
  </si>
  <si>
    <t>02.06.00.00/05</t>
  </si>
  <si>
    <r>
      <rPr>
        <b/>
        <sz val="10"/>
        <color rgb="FFFF0000"/>
        <rFont val="Arial"/>
        <family val="2"/>
      </rPr>
      <t xml:space="preserve">LOADING, TRANSPORTATION, DISPOSAL AND STORAGE OF EXCAVATED MATERIAL:  HAZARDOUS LANDFILL/RECYCLING PLANT
</t>
    </r>
    <r>
      <rPr>
        <sz val="10"/>
        <rFont val="Arial"/>
        <family val="2"/>
      </rPr>
      <t xml:space="preserve">Loading and transport at any distance for dangerous soils and rocks, spreading, natural compaction and geometrical embankment conformation according to the design. All duties including additional tests required by the dump. Any disposal compensations/fees arising from the landfill/recycling plants. </t>
    </r>
  </si>
  <si>
    <t>PAVEMENT &amp; FINISHES</t>
  </si>
  <si>
    <t>04.02.00.00/04</t>
  </si>
  <si>
    <r>
      <t xml:space="preserve">AGGREGATE SUB-BASE: MATERIAL TYPE AS PER THE DESIGN 
</t>
    </r>
    <r>
      <rPr>
        <sz val="10"/>
        <rFont val="Arial"/>
        <family val="2"/>
      </rPr>
      <t>Execution of road and crane pad aggregate sub-base with material as per design and technical specifications (from on-site excavation, crushing plant or imported from quarry). Including excavation/production, loading, transportation up the usage location, spreading, compaction and testing.</t>
    </r>
  </si>
  <si>
    <t>04.02.00.00/08</t>
  </si>
  <si>
    <r>
      <t xml:space="preserve">AGGREGATE BASE: MATERIAL TYPE AS PER THE DESIGN 
</t>
    </r>
    <r>
      <rPr>
        <sz val="10"/>
        <rFont val="Arial"/>
        <family val="2"/>
      </rPr>
      <t>Execution of road and crane pad aggregate base with material as per design and technical specifications (crushing plant or imported from quarry). Including excavation/production, loading, transportation up the usage location, spreading, compaction and testing.</t>
    </r>
  </si>
  <si>
    <t>03.07.00.00/04</t>
  </si>
  <si>
    <r>
      <t xml:space="preserve">CEMENT STABILIZATION: </t>
    </r>
    <r>
      <rPr>
        <b/>
        <sz val="10"/>
        <color rgb="FFFF0000"/>
        <rFont val="Arial"/>
        <family val="2"/>
      </rPr>
      <t>ANY TYPE OF CEMENT, PERCENTAGE BY WEIGHT ACCORDING THE DESIGN</t>
    </r>
    <r>
      <rPr>
        <b/>
        <sz val="10"/>
        <rFont val="Arial"/>
        <family val="2"/>
      </rPr>
      <t xml:space="preserve">
</t>
    </r>
    <r>
      <rPr>
        <sz val="10"/>
        <rFont val="Arial"/>
        <family val="2"/>
      </rPr>
      <t>Material supply, placement and compaction, and testing. Includes preliminary testing for determining cement dosage based on moisture content.</t>
    </r>
  </si>
  <si>
    <t>05.01.04.00/04</t>
  </si>
  <si>
    <r>
      <t xml:space="preserve">GEO-SYNTHETICS: GEOTEXTILES
</t>
    </r>
    <r>
      <rPr>
        <sz val="10"/>
        <rFont val="Arial"/>
        <family val="2"/>
      </rPr>
      <t>Supply and installation of geotextiles for reinforcement with weight per unit area according to the design in the whole width of the roads and pads, as shown on the drawings, including ancillary material for overlapping and proper installation.</t>
    </r>
  </si>
  <si>
    <t>04.03.01.00/01</t>
  </si>
  <si>
    <r>
      <t xml:space="preserve">SURFACE COURSE: CONCRETE PAVING
</t>
    </r>
    <r>
      <rPr>
        <sz val="10"/>
        <rFont val="Arial"/>
        <family val="2"/>
      </rPr>
      <t>Supply and installation of concrete finishing according to the design criteria and the local/federal codes.</t>
    </r>
  </si>
  <si>
    <t>04.03.02.00/02</t>
  </si>
  <si>
    <r>
      <t xml:space="preserve">SURFACE COURSE: ASPHALT
</t>
    </r>
    <r>
      <rPr>
        <sz val="10"/>
        <rFont val="Arial"/>
        <family val="2"/>
      </rPr>
      <t>Supply and installation of asphalt finishing according to the design criteria and the local/federal codes.</t>
    </r>
  </si>
  <si>
    <t>Interconnectoin MV line on public roads (scarification included)</t>
  </si>
  <si>
    <t>TOTAL EARTHWORKS &amp; ROADS</t>
  </si>
  <si>
    <t>DRAINAGE SYSTEM</t>
  </si>
  <si>
    <t>TRENCH DRAINS</t>
  </si>
  <si>
    <t>C.W.CW.DR</t>
  </si>
  <si>
    <t>07.02.01.00/01</t>
  </si>
  <si>
    <r>
      <t xml:space="preserve">NARROW EXCAVATION: </t>
    </r>
    <r>
      <rPr>
        <b/>
        <sz val="10"/>
        <color rgb="FFFF0000"/>
        <rFont val="Arial"/>
        <family val="2"/>
      </rPr>
      <t>DEPTH 0 TO 6.5 FT / 0 TO 2 M</t>
    </r>
    <r>
      <rPr>
        <b/>
        <sz val="10"/>
        <rFont val="Arial"/>
        <family val="2"/>
      </rPr>
      <t xml:space="preserve">
I</t>
    </r>
    <r>
      <rPr>
        <sz val="10"/>
        <rFont val="Arial"/>
        <family val="2"/>
      </rPr>
      <t>ncluding excavation, surface preparationl and transportation of the excavated material to storage/disposal areas</t>
    </r>
  </si>
  <si>
    <t>incluso su riga 38</t>
  </si>
  <si>
    <t>07.02.04.00/01</t>
  </si>
  <si>
    <r>
      <t>DRAINING MATERIAL FROM ON-SITE EXCAVATION OR ON-SITE STORAGE</t>
    </r>
    <r>
      <rPr>
        <sz val="10"/>
        <rFont val="Arial"/>
        <family val="2"/>
      </rPr>
      <t xml:space="preserve">
Including the filling of the trench with draining material from on-site excavation or on-site storage</t>
    </r>
  </si>
  <si>
    <t>07.02.04.00/03</t>
  </si>
  <si>
    <r>
      <t xml:space="preserve">DRAINING MATERIAL IMPORTED FROM QUARRY
</t>
    </r>
    <r>
      <rPr>
        <sz val="10"/>
        <rFont val="Arial"/>
        <family val="2"/>
      </rPr>
      <t>Including the filling of the trench with draining material from a commercial quarry</t>
    </r>
  </si>
  <si>
    <t>='Reference documents'!B27</t>
  </si>
  <si>
    <t>07.04.03.00/05</t>
  </si>
  <si>
    <r>
      <rPr>
        <b/>
        <sz val="10"/>
        <color rgb="FF000000"/>
        <rFont val="Arial"/>
        <family val="2"/>
      </rPr>
      <t>GROUND WATER DRAINAGE PIPES - PVC CORRUGATED FLEXIBLE DRAIN PIPES: DN 300 - NPS 12</t>
    </r>
    <r>
      <rPr>
        <sz val="10"/>
        <color rgb="FF000000"/>
        <rFont val="Arial"/>
        <family val="2"/>
      </rPr>
      <t xml:space="preserve"> 
Including excavation, surface preparation, soil disposal and transportation to dump, lining, backfill as well as supply and installation of all materials and accessory component necessary for the correct implementation and functioning. Closest dimension shall be applied.</t>
    </r>
  </si>
  <si>
    <t>Realizzazione di drenaggio in trincea attraverso la posa in opera nello scavo (larghezza 0,8 m, profondità 2,5 m rispetto al piano campagna) di due tubi dreni in PVC microfessurato, a parete corrugata, dal diametro minimo di mm 100; riempimento dello scavo, fino ad una altezza di 2 m sul fondo, con ciottoli di dimensioni 5 - 10 cm, previa posa di geotessile non tessuto ad
elevata capacità filtrante sul fondo e lungo le pareti dello scavo, a rivestimento del vespaio; raggiungimento della quota del piano campagna con apporto di terreno agrario (strato spessore cm 50 circa). Compreso lo scavo, la fornitura e la posa dei materiali ed ogni altro onere o accessorio per dare l'opera finita a regola d'arte. DA prezzario Piemonte voce 18A75A20 93.10 euro/m</t>
  </si>
  <si>
    <t>DITCHES AND PITS</t>
  </si>
  <si>
    <t>07.03.01.00/03</t>
  </si>
  <si>
    <r>
      <t>EXCAVATION OF DRAINAGE CANAL/DITCHES AND RETENTION/LAMINATION BASINS: ANY KIND OF SOIL AND ANY DEPTH</t>
    </r>
    <r>
      <rPr>
        <sz val="10"/>
        <color theme="3"/>
        <rFont val="Arial"/>
        <family val="2"/>
      </rPr>
      <t xml:space="preserve">
</t>
    </r>
    <r>
      <rPr>
        <sz val="10"/>
        <rFont val="Arial"/>
        <family val="2"/>
      </rPr>
      <t>Any form, including excavation, surface preparation, soil disposal and transportation to dump including all activities necessary before the linning</t>
    </r>
  </si>
  <si>
    <t>scavo di fossato lungo il lato sud del campo e lungo la strada di accesso Scavo a sezione obbligata per la realizzazione di trincee, anche in fasi successive, in terreni di qualunque natura e consistenza, asciutti, bagnati
melmosi, o in presenza di acqua, esclusa la sola roccia da mina, ma compresi i conglomerati naturali, i trovanti rocciosi o relitti di demolizioni, compreso la
sbadacchiatura degli scavi, l'agguagliamento delle pareti scavate, il reinterro, il carico, trasporto e scarico in rilevato od in rifiuto per la parte eccedente il reinterro ed ogni altro onere per scavi</t>
  </si>
  <si>
    <t>07.03.02.01/01</t>
  </si>
  <si>
    <r>
      <t xml:space="preserve">LINING OF DRAINAGE CANAL/DITCHES: </t>
    </r>
    <r>
      <rPr>
        <b/>
        <sz val="10"/>
        <color rgb="FFFF0000"/>
        <rFont val="Arial"/>
        <family val="2"/>
      </rPr>
      <t>GEOTEXTILE LINING</t>
    </r>
    <r>
      <rPr>
        <b/>
        <sz val="10"/>
        <rFont val="Arial"/>
        <family val="2"/>
      </rPr>
      <t xml:space="preserve">
</t>
    </r>
    <r>
      <rPr>
        <sz val="10"/>
        <rFont val="Arial"/>
        <family val="2"/>
      </rPr>
      <t>Supply and installation of geotextile lining (all activities included, except excavation)</t>
    </r>
  </si>
  <si>
    <t>geotessuto per trincee drenanti incluso su riga 38</t>
  </si>
  <si>
    <t>07.03.02.03/01</t>
  </si>
  <si>
    <r>
      <t xml:space="preserve">LINING OF DRAINAGE CANAL/DITCHES: </t>
    </r>
    <r>
      <rPr>
        <b/>
        <sz val="10"/>
        <color rgb="FFFF0000"/>
        <rFont val="Arial"/>
        <family val="2"/>
      </rPr>
      <t>CONCRETE LINING</t>
    </r>
    <r>
      <rPr>
        <b/>
        <sz val="10"/>
        <rFont val="Arial"/>
        <family val="2"/>
      </rPr>
      <t xml:space="preserve">
</t>
    </r>
    <r>
      <rPr>
        <sz val="10"/>
        <rFont val="Arial"/>
        <family val="2"/>
      </rPr>
      <t>Supply and installation of concrete lining (all activities included, except excavation)</t>
    </r>
  </si>
  <si>
    <t>07.06.01.00/02</t>
  </si>
  <si>
    <r>
      <t xml:space="preserve">CONCRETE CONNECTION PITS - NON-REINFORCED/REINFORCED: </t>
    </r>
    <r>
      <rPr>
        <b/>
        <sz val="10"/>
        <color rgb="FFFF0000"/>
        <rFont val="Arial"/>
        <family val="2"/>
      </rPr>
      <t>INNER DIMENSION 50 X 50 CM</t>
    </r>
    <r>
      <rPr>
        <b/>
        <sz val="10"/>
        <rFont val="Arial"/>
        <family val="2"/>
      </rPr>
      <t xml:space="preserve"> - PRECAST
</t>
    </r>
    <r>
      <rPr>
        <sz val="10"/>
        <rFont val="Arial"/>
        <family val="2"/>
      </rPr>
      <t>Supply and installation of concrete connection pits: inner dimension 50 x 50 cm - precast (all works included; also excavation and backfilling with on-site material)</t>
    </r>
  </si>
  <si>
    <t>each</t>
  </si>
  <si>
    <t>EA</t>
  </si>
  <si>
    <t>07.06.01.00/05</t>
  </si>
  <si>
    <r>
      <t xml:space="preserve">CONCRETE CONNECTION PITS - NON-REINFORCED/REINFORCED: </t>
    </r>
    <r>
      <rPr>
        <b/>
        <sz val="10"/>
        <color rgb="FFFF0000"/>
        <rFont val="Arial"/>
        <family val="2"/>
      </rPr>
      <t>INNER DIMENSION 100 X 100 CM</t>
    </r>
    <r>
      <rPr>
        <b/>
        <sz val="10"/>
        <rFont val="Arial"/>
        <family val="2"/>
      </rPr>
      <t xml:space="preserve"> - PRECAST
</t>
    </r>
    <r>
      <rPr>
        <sz val="10"/>
        <rFont val="Arial"/>
        <family val="2"/>
      </rPr>
      <t>Supply and installation of precast concrete connection pits (including excavation and backfilling with on-site material, also concrete upper slab with the hole for the manhole cover - circle D60 or square 60x60cm; manhole not included).</t>
    </r>
  </si>
  <si>
    <t>07.06.04.00/02</t>
  </si>
  <si>
    <r>
      <t xml:space="preserve">CAST IRON LIDS/MANHOLE COVERS FOR PITS: </t>
    </r>
    <r>
      <rPr>
        <b/>
        <sz val="10"/>
        <color rgb="FFFF0000"/>
        <rFont val="Arial"/>
        <family val="2"/>
      </rPr>
      <t>50 x 50 CM</t>
    </r>
    <r>
      <rPr>
        <b/>
        <sz val="10"/>
        <rFont val="Arial"/>
        <family val="2"/>
      </rPr>
      <t xml:space="preserve">
</t>
    </r>
    <r>
      <rPr>
        <sz val="10"/>
        <rFont val="Arial"/>
        <family val="2"/>
      </rPr>
      <t>Supply and installation of cast iron lids/manhole covers for pits: internal size 50x50 cm</t>
    </r>
  </si>
  <si>
    <t>07.06.04.00/03</t>
  </si>
  <si>
    <r>
      <t xml:space="preserve">CAST IRON LIDS/MANHOLE COVERS FOR PITS: </t>
    </r>
    <r>
      <rPr>
        <b/>
        <sz val="10"/>
        <color rgb="FFFF0000"/>
        <rFont val="Arial"/>
        <family val="2"/>
      </rPr>
      <t>60 x 60 CM (OR D60)</t>
    </r>
    <r>
      <rPr>
        <b/>
        <sz val="10"/>
        <rFont val="Arial"/>
        <family val="2"/>
      </rPr>
      <t xml:space="preserve">
</t>
    </r>
    <r>
      <rPr>
        <sz val="10"/>
        <rFont val="Arial"/>
        <family val="2"/>
      </rPr>
      <t>Supply and installation of cast iron lids/manhole covers for pits: internal size D60 or 60x60 cm</t>
    </r>
  </si>
  <si>
    <t>PIPES AND CULVERTS</t>
  </si>
  <si>
    <t>07.05.02.00/03</t>
  </si>
  <si>
    <r>
      <rPr>
        <b/>
        <sz val="10"/>
        <color rgb="FFFF0000"/>
        <rFont val="Arial"/>
        <family val="2"/>
      </rPr>
      <t>REINFORCED CONCRETE PIPES: DN 600 - NPS 24</t>
    </r>
    <r>
      <rPr>
        <b/>
        <sz val="10"/>
        <rFont val="Arial"/>
        <family val="2"/>
      </rPr>
      <t xml:space="preserve">
</t>
    </r>
    <r>
      <rPr>
        <sz val="10"/>
        <rFont val="Arial"/>
        <family val="2"/>
      </rPr>
      <t>Supply and installation of reinforced concrete pipes (all works included, also excavation; closest dimension shall be applied)</t>
    </r>
  </si>
  <si>
    <t>FT</t>
  </si>
  <si>
    <t>5 tombini, 1 interno al campo piu 4 di accesso ai fondi lungo la strada di accesso</t>
  </si>
  <si>
    <t>07.05.02.00/04</t>
  </si>
  <si>
    <r>
      <rPr>
        <b/>
        <sz val="10"/>
        <color rgb="FFFF0000"/>
        <rFont val="Arial"/>
        <family val="2"/>
      </rPr>
      <t>REINFORCED CONCRETE PIPES: DN 800 - NPS 32</t>
    </r>
    <r>
      <rPr>
        <b/>
        <sz val="10"/>
        <rFont val="Arial"/>
        <family val="2"/>
      </rPr>
      <t xml:space="preserve">
</t>
    </r>
    <r>
      <rPr>
        <sz val="10"/>
        <rFont val="Arial"/>
        <family val="2"/>
      </rPr>
      <t>Supply and installation of reinforced concrete pipes (all works included, also excavation; closest dimension shall be applied)</t>
    </r>
  </si>
  <si>
    <t>07.05.02.00/05</t>
  </si>
  <si>
    <r>
      <rPr>
        <b/>
        <sz val="10"/>
        <color rgb="FFFF0000"/>
        <rFont val="Arial"/>
        <family val="2"/>
      </rPr>
      <t>REINFORCED CONCRETE PIPES: DN 1000 - NPS 40</t>
    </r>
    <r>
      <rPr>
        <b/>
        <sz val="10"/>
        <rFont val="Arial"/>
        <family val="2"/>
      </rPr>
      <t xml:space="preserve">
</t>
    </r>
    <r>
      <rPr>
        <sz val="10"/>
        <rFont val="Arial"/>
        <family val="2"/>
      </rPr>
      <t>Supply and installation of reinforced concrete pipes (all works included, also excavation; closest dimension shall be applied)</t>
    </r>
  </si>
  <si>
    <t>07.05.02.00/12</t>
  </si>
  <si>
    <r>
      <t xml:space="preserve">REINFORCED BOX CULVERTS: </t>
    </r>
    <r>
      <rPr>
        <b/>
        <sz val="10"/>
        <color rgb="FFFF0000"/>
        <rFont val="Arial"/>
        <family val="2"/>
      </rPr>
      <t>NOMINAL WIDTH 1600 MM - 64 IN</t>
    </r>
    <r>
      <rPr>
        <b/>
        <sz val="10"/>
        <rFont val="Arial"/>
        <family val="2"/>
      </rPr>
      <t xml:space="preserve">
</t>
    </r>
    <r>
      <rPr>
        <sz val="10"/>
        <rFont val="Arial"/>
        <family val="2"/>
      </rPr>
      <t>Supply and installation of reinforced concrete box culverts  (all works included, also excavation; closest dimension shall be applied)</t>
    </r>
  </si>
  <si>
    <t>07.05.02.00/14</t>
  </si>
  <si>
    <r>
      <t xml:space="preserve">REINFORCED BOX CULVERTS: </t>
    </r>
    <r>
      <rPr>
        <b/>
        <sz val="10"/>
        <color rgb="FFFF0000"/>
        <rFont val="Arial"/>
        <family val="2"/>
      </rPr>
      <t>AS PER DESIGN</t>
    </r>
    <r>
      <rPr>
        <b/>
        <sz val="10"/>
        <rFont val="Arial"/>
        <family val="2"/>
      </rPr>
      <t xml:space="preserve">
</t>
    </r>
    <r>
      <rPr>
        <sz val="10"/>
        <rFont val="Arial"/>
        <family val="2"/>
      </rPr>
      <t>Supply and installation of reinforced concrete box cuverts  (all works included, also excavation; closest dimension shall be applied)</t>
    </r>
  </si>
  <si>
    <t>RETENTION BASINS</t>
  </si>
  <si>
    <r>
      <t xml:space="preserve">EMBANKMENT: MATERIAL FROM ON-SITE EXCAVATION OR ON-SITE STORAGE 
</t>
    </r>
    <r>
      <rPr>
        <sz val="10"/>
        <rFont val="Arial"/>
        <family val="2"/>
      </rPr>
      <t>Execution with material from on-site excavation or on-site storage, according to drawings and technical specifications. Including compaction and testing as prescribed.</t>
    </r>
  </si>
  <si>
    <t>07.07.01.00/02</t>
  </si>
  <si>
    <r>
      <t xml:space="preserve">INCLINED DRAINAGE DITCHES - AS PER DESIGN: </t>
    </r>
    <r>
      <rPr>
        <b/>
        <sz val="10"/>
        <color rgb="FFFF0000"/>
        <rFont val="Arial"/>
        <family val="2"/>
      </rPr>
      <t>SECTION AREA OF 0,3 M</t>
    </r>
    <r>
      <rPr>
        <b/>
        <vertAlign val="superscript"/>
        <sz val="10"/>
        <color rgb="FFFF0000"/>
        <rFont val="Arial"/>
        <family val="2"/>
      </rPr>
      <t>2</t>
    </r>
    <r>
      <rPr>
        <b/>
        <sz val="10"/>
        <color rgb="FFFF0000"/>
        <rFont val="Arial"/>
        <family val="2"/>
      </rPr>
      <t xml:space="preserve"> UP 1 M</t>
    </r>
    <r>
      <rPr>
        <b/>
        <vertAlign val="superscript"/>
        <sz val="10"/>
        <color rgb="FFFF0000"/>
        <rFont val="Arial"/>
        <family val="2"/>
      </rPr>
      <t xml:space="preserve">2 </t>
    </r>
    <r>
      <rPr>
        <b/>
        <sz val="10"/>
        <rFont val="Arial"/>
        <family val="2"/>
      </rPr>
      <t xml:space="preserve">
</t>
    </r>
    <r>
      <rPr>
        <sz val="10"/>
        <rFont val="Arial"/>
        <family val="2"/>
      </rPr>
      <t xml:space="preserve">Any form, any material (stones, concrete, etc.) including excavation, surface preparation, soil disposal and transportation to dump, backfilling compaction, lining as well as supply and installation of all materials and accessory components necessary for the correct implementation and functioning. In case of concrete lining consider a thickness of 15 cm for no reinforced section and 8 cm for reinforced section (with rebars included). </t>
    </r>
  </si>
  <si>
    <t>07.07.05.00/01</t>
  </si>
  <si>
    <r>
      <t xml:space="preserve">CONCRETE CURB/SIDEWALK
</t>
    </r>
    <r>
      <rPr>
        <sz val="10"/>
        <rFont val="Arial"/>
        <family val="2"/>
      </rPr>
      <t>Any form, including excavation, surface preparation, soil disposal and transport to backfill, backfill compaction, lean concrete base, as well as supply and installation of all materials and ancillary components necessary for correct implementation and functioning.</t>
    </r>
  </si>
  <si>
    <t>11.03.03.00/01</t>
  </si>
  <si>
    <r>
      <rPr>
        <b/>
        <sz val="10"/>
        <rFont val="Arial"/>
        <family val="2"/>
      </rPr>
      <t>FENCE CHAIN LINK NET ON POSTS: GALVANIZED FINISHING</t>
    </r>
    <r>
      <rPr>
        <sz val="10"/>
        <rFont val="Arial"/>
        <family val="2"/>
      </rPr>
      <t xml:space="preserve">
Supply and installation ofence chain link net on posts with galvanized finishing, according to the design</t>
    </r>
  </si>
  <si>
    <t>OTHER HYDRAULIC WORKS</t>
  </si>
  <si>
    <t>07.07.02.00/03</t>
  </si>
  <si>
    <r>
      <t>HYDRAULIC ENERGY DISSIPATOR</t>
    </r>
    <r>
      <rPr>
        <sz val="10"/>
        <rFont val="Arial"/>
        <family val="2"/>
      </rPr>
      <t>:</t>
    </r>
    <r>
      <rPr>
        <b/>
        <sz val="10"/>
        <rFont val="Arial"/>
        <family val="2"/>
      </rPr>
      <t xml:space="preserve"> </t>
    </r>
    <r>
      <rPr>
        <b/>
        <sz val="10"/>
        <color rgb="FFFF0000"/>
        <rFont val="Arial"/>
        <family val="2"/>
      </rPr>
      <t>AS PER DESIGN</t>
    </r>
    <r>
      <rPr>
        <b/>
        <sz val="10"/>
        <rFont val="Arial"/>
        <family val="2"/>
      </rPr>
      <t xml:space="preserve">
</t>
    </r>
    <r>
      <rPr>
        <sz val="10"/>
        <rFont val="Arial"/>
        <family val="2"/>
      </rPr>
      <t>Any material (stones, concrete, etc.)</t>
    </r>
    <r>
      <rPr>
        <b/>
        <sz val="10"/>
        <rFont val="Arial"/>
        <family val="2"/>
      </rPr>
      <t xml:space="preserve"> </t>
    </r>
    <r>
      <rPr>
        <sz val="10"/>
        <rFont val="Arial"/>
        <family val="2"/>
      </rPr>
      <t>Surface preparation, soil disposal and transportation to dump, backfilling compaction, lining as well as supply and installation of all materials and accessory components necessary for the correct implementation and functioning.</t>
    </r>
  </si>
  <si>
    <r>
      <t>m</t>
    </r>
    <r>
      <rPr>
        <vertAlign val="superscript"/>
        <sz val="10"/>
        <color theme="3"/>
        <rFont val="Arial"/>
        <family val="2"/>
      </rPr>
      <t>3</t>
    </r>
  </si>
  <si>
    <t>07.07.03.00/02</t>
  </si>
  <si>
    <r>
      <t xml:space="preserve">CLOSED GUTTER SEGMENT: </t>
    </r>
    <r>
      <rPr>
        <b/>
        <sz val="10"/>
        <color rgb="FFFF0000"/>
        <rFont val="Arial"/>
        <family val="2"/>
      </rPr>
      <t>SECTION AREA OF 0.3 M</t>
    </r>
    <r>
      <rPr>
        <b/>
        <vertAlign val="superscript"/>
        <sz val="10"/>
        <color rgb="FFFF0000"/>
        <rFont val="Arial"/>
        <family val="2"/>
      </rPr>
      <t>2</t>
    </r>
    <r>
      <rPr>
        <b/>
        <sz val="10"/>
        <color rgb="FFFF0000"/>
        <rFont val="Arial"/>
        <family val="2"/>
      </rPr>
      <t xml:space="preserve"> TO 1 M</t>
    </r>
    <r>
      <rPr>
        <b/>
        <vertAlign val="superscript"/>
        <sz val="10"/>
        <color rgb="FFFF0000"/>
        <rFont val="Arial"/>
        <family val="2"/>
      </rPr>
      <t>2</t>
    </r>
    <r>
      <rPr>
        <b/>
        <sz val="10"/>
        <rFont val="Arial"/>
        <family val="2"/>
      </rPr>
      <t xml:space="preserve">
</t>
    </r>
    <r>
      <rPr>
        <sz val="10"/>
        <rFont val="Arial"/>
        <family val="2"/>
      </rPr>
      <t>Supply of materials and execution according to the design. Includes cut/fill, grading, surface preparation, execution.</t>
    </r>
  </si>
  <si>
    <t>07.07.04.00/01</t>
  </si>
  <si>
    <r>
      <t xml:space="preserve">LOW WATER CROSSINGS
</t>
    </r>
    <r>
      <rPr>
        <sz val="10"/>
        <rFont val="Arial"/>
        <family val="2"/>
      </rPr>
      <t>Supply of materials and execution according to the design. Includes excavation and backfilling, grading, surface preparation, execution.</t>
    </r>
  </si>
  <si>
    <t>07.07.06.00/01</t>
  </si>
  <si>
    <r>
      <t xml:space="preserve">RIP-RAP PROTECTION
</t>
    </r>
    <r>
      <rPr>
        <sz val="10"/>
        <rFont val="Arial"/>
        <family val="2"/>
      </rPr>
      <t>Supply of materials and execution according to the design. Includes excavation and backfilling, grading, surface preparation, execution.</t>
    </r>
  </si>
  <si>
    <t>TOTAL DRAINAGE</t>
  </si>
  <si>
    <t xml:space="preserve">FOUNDATIONS </t>
  </si>
  <si>
    <t>C.W.CW.FO</t>
  </si>
  <si>
    <t>02.01.03.00/01</t>
  </si>
  <si>
    <r>
      <t xml:space="preserve">GENERAL EXCAVATION
</t>
    </r>
    <r>
      <rPr>
        <sz val="9"/>
        <rFont val="Arial"/>
        <family val="2"/>
      </rPr>
      <t>Excavation for any kind of soil/rock at any kind of depth including characterization according to local codes.</t>
    </r>
    <r>
      <rPr>
        <b/>
        <sz val="10"/>
        <rFont val="Arial"/>
        <family val="2"/>
      </rPr>
      <t xml:space="preserve"> </t>
    </r>
  </si>
  <si>
    <r>
      <t xml:space="preserve">PREPARATION OF SUBGRADE 
</t>
    </r>
    <r>
      <rPr>
        <sz val="10"/>
        <rFont val="Arial"/>
        <family val="2"/>
      </rPr>
      <t>Compaction and assessment of the subgrade layer. Including testing as prescribed.</t>
    </r>
  </si>
  <si>
    <t>03.05.03.01/04</t>
  </si>
  <si>
    <r>
      <t xml:space="preserve">BACKFILLING BY SOIL MATERIAL FROM ON-SITE EXCAVATION OR ON-SITE STORAGE - ANY DEPTH
</t>
    </r>
    <r>
      <rPr>
        <sz val="10"/>
        <rFont val="Arial"/>
        <family val="2"/>
      </rPr>
      <t>This activity involves placing and compacting soil in layers, with suitable excavated materials or quarry materials supplied by the Contractor and in compliance with the design/project documents or as defined by EGP. Included loading, transportation, spreading, compaction.</t>
    </r>
  </si>
  <si>
    <t>CONCRETE, GROUT &amp; STEEL</t>
  </si>
  <si>
    <t>08.02.00.00/02</t>
  </si>
  <si>
    <r>
      <t xml:space="preserve">CONCRETE MIXTURE: SUPPLY AND POURING - COMPRESSION STRENGTH 2200 PSI / C12/15
</t>
    </r>
    <r>
      <rPr>
        <sz val="10"/>
        <rFont val="Arial"/>
        <family val="2"/>
      </rPr>
      <t>Supply, transportation, placement and testing according to the design and the TS, including ancillary works (vibration, formworks of any type, curing activities, etc.).</t>
    </r>
  </si>
  <si>
    <t>08.02.00.00/09</t>
  </si>
  <si>
    <r>
      <t xml:space="preserve">CONCRETE MIXTURE: SUPPLY AND POURING - COMPRESSION STRENGTH  5800 PSI / C32/40
</t>
    </r>
    <r>
      <rPr>
        <sz val="10"/>
        <rFont val="Arial"/>
        <family val="2"/>
      </rPr>
      <t>Supply, transportation, installation and testing of concrete according to the design and the TS, including ancillary works (vibration, formworks of any type, curing activities, etc.).</t>
    </r>
  </si>
  <si>
    <t>08.04.00.00/01</t>
  </si>
  <si>
    <r>
      <t xml:space="preserve">STEEL REINFORCEMENTS: REBARS GRADE 60 (ASTM A615) / B450 C
</t>
    </r>
    <r>
      <rPr>
        <sz val="10"/>
        <rFont val="Arial"/>
        <family val="2"/>
      </rPr>
      <t xml:space="preserve">Supply, transportation, installation and testing according to the design and the TS, including ancillary works. </t>
    </r>
  </si>
  <si>
    <t>kg</t>
  </si>
  <si>
    <t>LB</t>
  </si>
  <si>
    <t>08.04.00.00/02</t>
  </si>
  <si>
    <r>
      <t xml:space="preserve">STEEL REINFORCEMENTS: WELDED MESH GRADE 60 (ASTM A615) / B450 C
</t>
    </r>
    <r>
      <rPr>
        <sz val="10"/>
        <rFont val="Arial"/>
        <family val="2"/>
      </rPr>
      <t xml:space="preserve">Supply, transportation, installation and testing according to the design and the TS, including any ancillary works. </t>
    </r>
  </si>
  <si>
    <t>08.06.01.00/01</t>
  </si>
  <si>
    <r>
      <t xml:space="preserve">GROUT FOR FILLING AND EMBEDMENT ANCHORING: CEMENT BASED
</t>
    </r>
    <r>
      <rPr>
        <sz val="10"/>
        <rFont val="Arial"/>
        <family val="2"/>
      </rPr>
      <t>Supply, transportation, installation and testing according to the design and the TS, including ancillary works (formworks of any type, curing activities, etc.). If no information are given, consider BASF Masterflow 9300.</t>
    </r>
  </si>
  <si>
    <t>STEEL STRUCTURES</t>
  </si>
  <si>
    <t>08.09.00.00/01</t>
  </si>
  <si>
    <r>
      <t xml:space="preserve">HOT DIP GALVANIZED MAIN STEEL STRUCTURES
</t>
    </r>
    <r>
      <rPr>
        <sz val="10"/>
        <rFont val="Arial"/>
        <family val="2"/>
      </rPr>
      <t>Supply prefabrication and erection of hot dip galvanized main steel structures</t>
    </r>
  </si>
  <si>
    <t>08.09.00.00/04</t>
  </si>
  <si>
    <r>
      <t xml:space="preserve">HOT DIP GALVANIZED MINOR STEEL STRUCTURES
</t>
    </r>
    <r>
      <rPr>
        <sz val="10"/>
        <rFont val="Arial"/>
        <family val="2"/>
      </rPr>
      <t>Supply prefabrication and erection of hot dip galvanized minor steel structures</t>
    </r>
  </si>
  <si>
    <t>08.09.01.00/01</t>
  </si>
  <si>
    <r>
      <t xml:space="preserve">HOT DIP GALVANIZED CORRUGATED STEEL SHEETS
</t>
    </r>
    <r>
      <rPr>
        <sz val="10"/>
        <rFont val="Arial"/>
        <family val="2"/>
      </rPr>
      <t>Supply prefabrication and erection of hot dip galvanized minor steel structures</t>
    </r>
  </si>
  <si>
    <t>08.09.02.00/01</t>
  </si>
  <si>
    <r>
      <t xml:space="preserve">HOT DIP GALVANIZED BUCKLE OR CHEQUERED STEEL SHEETS
</t>
    </r>
    <r>
      <rPr>
        <sz val="10"/>
        <rFont val="Arial"/>
        <family val="2"/>
      </rPr>
      <t>Supply prefabrication and erection of hot dip galvanized main steel structures</t>
    </r>
  </si>
  <si>
    <t>08.09.03.00/01</t>
  </si>
  <si>
    <r>
      <t xml:space="preserve">HOT DIP GALVANIZED STEEL GRATINGS
</t>
    </r>
    <r>
      <rPr>
        <sz val="10"/>
        <rFont val="Arial"/>
        <family val="2"/>
      </rPr>
      <t>Supply prefabrication and erection of hot dip galvanized main steel structures</t>
    </r>
  </si>
  <si>
    <t>08.03.01.00/01</t>
  </si>
  <si>
    <r>
      <rPr>
        <b/>
        <sz val="10"/>
        <color rgb="FF000000"/>
        <rFont val="Arial"/>
        <family val="2"/>
      </rPr>
      <t xml:space="preserve">FINISHING OF THE EXPOSED/UNDERGROUND SURFACES: </t>
    </r>
    <r>
      <rPr>
        <b/>
        <sz val="10"/>
        <color rgb="FFFF0000"/>
        <rFont val="Arial"/>
        <family val="2"/>
      </rPr>
      <t xml:space="preserve">BITUMINOUS WATERPROOFING COATING
</t>
    </r>
    <r>
      <rPr>
        <sz val="10"/>
        <color rgb="FF000000"/>
        <rFont val="Arial"/>
        <family val="2"/>
      </rPr>
      <t>Supply, transportation, installation and testing.</t>
    </r>
  </si>
  <si>
    <t>08.05.00.00/01</t>
  </si>
  <si>
    <r>
      <t xml:space="preserve">EMBEDMENTS: STEEL PLATES AND GENERAL ITEMS - </t>
    </r>
    <r>
      <rPr>
        <b/>
        <sz val="10"/>
        <color rgb="FFFF0000"/>
        <rFont val="Arial"/>
        <family val="2"/>
      </rPr>
      <t>GALVANIZED</t>
    </r>
    <r>
      <rPr>
        <b/>
        <sz val="10"/>
        <rFont val="Arial"/>
        <family val="2"/>
      </rPr>
      <t xml:space="preserve">
</t>
    </r>
    <r>
      <rPr>
        <sz val="10"/>
        <rFont val="Arial"/>
        <family val="2"/>
      </rPr>
      <t xml:space="preserve">Supply and installation of including ancillary materials needed for installation (spacers, temporary fixing system, etc.). </t>
    </r>
  </si>
  <si>
    <t>08.05.00.00/05</t>
  </si>
  <si>
    <r>
      <t xml:space="preserve">EMBEDMENTS: PLASTIC PIPES FOR CABLES - </t>
    </r>
    <r>
      <rPr>
        <b/>
        <sz val="10"/>
        <color rgb="FFFF0000"/>
        <rFont val="Arial"/>
        <family val="2"/>
      </rPr>
      <t>DIAMETER 4 INCHES / 100 MM</t>
    </r>
    <r>
      <rPr>
        <sz val="10"/>
        <rFont val="Arial"/>
        <family val="2"/>
      </rPr>
      <t xml:space="preserve">
Supply and installation of ducts for LV/MV, communication and grounding cables according to WTG documentation and TS, with embedment material if needed, including ancillary materials (spacers, fixing materials, etc.). </t>
    </r>
  </si>
  <si>
    <t>08.05.00.00/08</t>
  </si>
  <si>
    <r>
      <t xml:space="preserve">EMBEDMENTS: PLASTIC PIPES FOR CABLES - </t>
    </r>
    <r>
      <rPr>
        <b/>
        <sz val="10"/>
        <color rgb="FFFF0000"/>
        <rFont val="Arial"/>
        <family val="2"/>
      </rPr>
      <t>DIAMETER 8 INCHES / 200 MM</t>
    </r>
    <r>
      <rPr>
        <b/>
        <sz val="10"/>
        <rFont val="Arial"/>
        <family val="2"/>
      </rPr>
      <t xml:space="preserve">
</t>
    </r>
    <r>
      <rPr>
        <sz val="10"/>
        <rFont val="Arial"/>
        <family val="2"/>
      </rPr>
      <t xml:space="preserve">Supply and installation of ducts for LV/MV, communication and grounding cables according to WTG documentation and TS, with embedment material if needed, including ancillary materials (spacers, fixing materials, etc.). </t>
    </r>
  </si>
  <si>
    <t>08.05.01.01/01</t>
  </si>
  <si>
    <r>
      <t xml:space="preserve">EMBEDMENTS - ANCHOR BOLTS - GALVANIZED
</t>
    </r>
    <r>
      <rPr>
        <sz val="9"/>
        <color rgb="FF000000"/>
        <rFont val="Arial"/>
        <family val="2"/>
      </rPr>
      <t xml:space="preserve">Supply, transportation, installation and testing according to the design and the TS, including ancillary works. </t>
    </r>
  </si>
  <si>
    <t>08.05.01.04/01</t>
  </si>
  <si>
    <r>
      <t xml:space="preserve">EMBEDMENTS - POST-INSTALLED ANCHOR BOLTS: </t>
    </r>
    <r>
      <rPr>
        <b/>
        <sz val="10"/>
        <color rgb="FFFF0000"/>
        <rFont val="Arial"/>
        <family val="2"/>
      </rPr>
      <t>MECHANICAL SYSTEM - GALVANIZED</t>
    </r>
    <r>
      <rPr>
        <b/>
        <sz val="10"/>
        <rFont val="Arial"/>
        <family val="2"/>
      </rPr>
      <t xml:space="preserve">
</t>
    </r>
    <r>
      <rPr>
        <sz val="9"/>
        <rFont val="Arial"/>
        <family val="2"/>
      </rPr>
      <t xml:space="preserve">Supply, transportation, installation and testing according to the design and the TS, including ancillary works. </t>
    </r>
  </si>
  <si>
    <t>08.05.01.04/03</t>
  </si>
  <si>
    <r>
      <t xml:space="preserve">EMBEDMENTS - POST-INSTALLED ANCHOR BOLTS: </t>
    </r>
    <r>
      <rPr>
        <b/>
        <sz val="10"/>
        <color rgb="FFFF0000"/>
        <rFont val="Arial"/>
        <family val="2"/>
      </rPr>
      <t>CHEMICAL SYSTEM - GALVANIZED</t>
    </r>
    <r>
      <rPr>
        <b/>
        <sz val="10"/>
        <rFont val="Arial"/>
        <family val="2"/>
      </rPr>
      <t xml:space="preserve">
</t>
    </r>
    <r>
      <rPr>
        <sz val="9"/>
        <rFont val="Arial"/>
        <family val="2"/>
      </rPr>
      <t xml:space="preserve">Supply, transportation, installation and testing according to the design and the TS, including ancillary works. </t>
    </r>
  </si>
  <si>
    <t>08.05.02.00/01</t>
  </si>
  <si>
    <r>
      <t xml:space="preserve">EMBEDMENTS - FOR STEEL REINFORCEMENTS EARTHING CONNECTION
</t>
    </r>
    <r>
      <rPr>
        <sz val="10"/>
        <rFont val="Arial"/>
        <family val="2"/>
      </rPr>
      <t>Material supply and installation according to the design and ENEL TS. Including conections with weld exothermics and conduits/embendments and all necessary tests by a specialized laboratory.</t>
    </r>
  </si>
  <si>
    <t>08.07.02.00/01</t>
  </si>
  <si>
    <r>
      <t xml:space="preserve">WATER-TIGHTNESS JOINTS </t>
    </r>
    <r>
      <rPr>
        <b/>
        <sz val="10"/>
        <color rgb="FFFF0000"/>
        <rFont val="Arial"/>
        <family val="2"/>
      </rPr>
      <t>BY PLASTIC OR RUBBER PROFILES: NEOPRENE</t>
    </r>
    <r>
      <rPr>
        <sz val="10"/>
        <rFont val="Arial"/>
        <family val="2"/>
      </rPr>
      <t xml:space="preserve">
Any type and dimensions as per the design</t>
    </r>
  </si>
  <si>
    <t>08.07.03.00/01</t>
  </si>
  <si>
    <r>
      <t xml:space="preserve">EXPANSION JOINTS: </t>
    </r>
    <r>
      <rPr>
        <b/>
        <sz val="10"/>
        <color rgb="FFFF0000"/>
        <rFont val="Arial"/>
        <family val="2"/>
      </rPr>
      <t>RUBBER</t>
    </r>
    <r>
      <rPr>
        <sz val="10"/>
        <rFont val="Arial"/>
        <family val="2"/>
      </rPr>
      <t xml:space="preserve">
Any type and dimensions as per the design</t>
    </r>
  </si>
  <si>
    <t>08.08.01.00/02</t>
  </si>
  <si>
    <r>
      <t xml:space="preserve">DRILLING AND FIXING OF STEEL BARS REINFORCEMENT </t>
    </r>
    <r>
      <rPr>
        <b/>
        <sz val="10"/>
        <color rgb="FFFF0000"/>
        <rFont val="Arial"/>
        <family val="2"/>
      </rPr>
      <t xml:space="preserve">DIAM &gt; 14MM TO 20MM  WITH EXPANSIVE MORTAR </t>
    </r>
    <r>
      <rPr>
        <b/>
        <sz val="10"/>
        <rFont val="Arial"/>
        <family val="2"/>
      </rPr>
      <t xml:space="preserve">
</t>
    </r>
    <r>
      <rPr>
        <sz val="9"/>
        <rFont val="Arial"/>
        <family val="2"/>
      </rPr>
      <t xml:space="preserve">Supply of steel bars reinforcement included </t>
    </r>
  </si>
  <si>
    <t>TOTAL FOUNDATIONS</t>
  </si>
  <si>
    <t>4</t>
  </si>
  <si>
    <t>PV INFRASTRUCTURE</t>
  </si>
  <si>
    <t>PV MODULES</t>
  </si>
  <si>
    <t>C.W.CW.PV</t>
  </si>
  <si>
    <t>08.13.03.00/01</t>
  </si>
  <si>
    <r>
      <t xml:space="preserve">MECHANICAL INSTALLATION OF PV MODULES
</t>
    </r>
    <r>
      <rPr>
        <sz val="10"/>
        <rFont val="Arial"/>
        <family val="2"/>
      </rPr>
      <t>Including all materials and activities necessary to carry out the mechanical installation of the pannels, excluded the electrical connection.</t>
    </r>
  </si>
  <si>
    <t>TOTAL PV INFRASTRUCTURE</t>
  </si>
  <si>
    <t>MISCELLANEOUS WORKS</t>
  </si>
  <si>
    <t>DEMOLITIONS</t>
  </si>
  <si>
    <t>C.W.CW.MS</t>
  </si>
  <si>
    <t>09.01.01.00/02</t>
  </si>
  <si>
    <r>
      <t xml:space="preserve">DEMOLITION OF CONCRETE STRUCTURES, </t>
    </r>
    <r>
      <rPr>
        <b/>
        <sz val="10"/>
        <color rgb="FFFF0000"/>
        <rFont val="Arial"/>
        <family val="2"/>
      </rPr>
      <t xml:space="preserve">REINFORCED CONCRETE
</t>
    </r>
    <r>
      <rPr>
        <sz val="10"/>
        <rFont val="Arial"/>
        <family val="2"/>
      </rPr>
      <t>Demolition of all materials included inside the buildings/structures/civil works, as well as proper separation and disposal according to technical specifications</t>
    </r>
  </si>
  <si>
    <t>09.01.02.00/04</t>
  </si>
  <si>
    <r>
      <t xml:space="preserve">DISMANTLING AND RE-INSTALATION OF THE SAME FENCES
</t>
    </r>
    <r>
      <rPr>
        <sz val="10"/>
        <rFont val="Arial"/>
        <family val="2"/>
      </rPr>
      <t>Same typology according to existing fence. Including supply of all necessary materials, transportation and dismantling/re-installation works.</t>
    </r>
  </si>
  <si>
    <t>09.01.03.00/01</t>
  </si>
  <si>
    <r>
      <t xml:space="preserve">MASONRY DEMOLITION
</t>
    </r>
    <r>
      <rPr>
        <sz val="10"/>
        <rFont val="Arial"/>
        <family val="2"/>
      </rPr>
      <t>Demolition of all materials included inside the buildings/structures/civil works, as well as proper separation and disposal according to technical specifications</t>
    </r>
  </si>
  <si>
    <t>Demolizione cisterna esistente</t>
  </si>
  <si>
    <t>09.01.04.00/01</t>
  </si>
  <si>
    <r>
      <t xml:space="preserve">DEMOLITION OF STEEL STRUCTURES, MECHANICAL EQUIPMENTS, STEEL PIPING AND ELECTRICAL CABLES 
</t>
    </r>
    <r>
      <rPr>
        <sz val="10"/>
        <rFont val="Arial"/>
        <family val="2"/>
      </rPr>
      <t>Demolition of all materials included inside the buildings/structures/civil works, as well as proper separation and disposal according to technical specifications</t>
    </r>
  </si>
  <si>
    <t>09.01.05.00/01</t>
  </si>
  <si>
    <r>
      <t xml:space="preserve">ROADS, LOT AND OUTDOOR WORK DEMOLITION 
</t>
    </r>
    <r>
      <rPr>
        <sz val="10"/>
        <rFont val="Arial"/>
        <family val="2"/>
      </rPr>
      <t>Demolition of all materials composing the road section including ditches, culvert, pipes, asphalt, base, subbase, pits, signs, concrete, retaining wall, etc., as well as proper separation and disposal according to technical specifications</t>
    </r>
  </si>
  <si>
    <t>11.04.04.00/01</t>
  </si>
  <si>
    <r>
      <t xml:space="preserve">SEEDING GRASS AND PLANTS: </t>
    </r>
    <r>
      <rPr>
        <b/>
        <sz val="10"/>
        <color rgb="FFFF0000"/>
        <rFont val="Arial"/>
        <family val="2"/>
      </rPr>
      <t xml:space="preserve">HYDRO-SEEDING </t>
    </r>
    <r>
      <rPr>
        <b/>
        <sz val="10"/>
        <rFont val="Arial"/>
        <family val="2"/>
      </rPr>
      <t xml:space="preserve">
</t>
    </r>
    <r>
      <rPr>
        <sz val="10"/>
        <rFont val="Arial"/>
        <family val="2"/>
      </rPr>
      <t>Includes seeding and all necessary activities.</t>
    </r>
  </si>
  <si>
    <t>11.07.00.00/01</t>
  </si>
  <si>
    <r>
      <t xml:space="preserve">MANTENAINCE OF ROADS AND PLATFORMS AFTER CONSTRUCTION PERIOD </t>
    </r>
    <r>
      <rPr>
        <sz val="10"/>
        <rFont val="Arial"/>
        <family val="2"/>
      </rPr>
      <t xml:space="preserve">
Maintenance of the access roads and platforms, in any layer, after conclusion of civil works.</t>
    </r>
  </si>
  <si>
    <t>Month</t>
  </si>
  <si>
    <t>MONTH</t>
  </si>
  <si>
    <t>11.05.00.00/01</t>
  </si>
  <si>
    <r>
      <t xml:space="preserve">TEMPORARY AND PERMANENT SIGNS
</t>
    </r>
    <r>
      <rPr>
        <sz val="10"/>
        <rFont val="Arial"/>
        <family val="2"/>
      </rPr>
      <t>Supply and installation according to the design criteria and the local/federal codes.</t>
    </r>
  </si>
  <si>
    <t>LS</t>
  </si>
  <si>
    <t>11.08.00.00/01</t>
  </si>
  <si>
    <r>
      <t xml:space="preserve">ROADSIDE BARRIERS: </t>
    </r>
    <r>
      <rPr>
        <b/>
        <sz val="10"/>
        <color rgb="FFFF0000"/>
        <rFont val="Arial"/>
        <family val="2"/>
      </rPr>
      <t>METAL W-BEAM ROAD GUARDRAIL</t>
    </r>
    <r>
      <rPr>
        <b/>
        <sz val="10"/>
        <rFont val="Arial"/>
        <family val="2"/>
      </rPr>
      <t xml:space="preserve">
</t>
    </r>
    <r>
      <rPr>
        <sz val="10"/>
        <rFont val="Arial"/>
        <family val="2"/>
      </rPr>
      <t>Supply and installation of metal W-beam road guardrail according to the design criteria and the local/federal codes.</t>
    </r>
  </si>
  <si>
    <t xml:space="preserve">The red part to be reviewed by the BoQ creator of specific project. </t>
  </si>
  <si>
    <t>11.03.04.00/01</t>
  </si>
  <si>
    <r>
      <rPr>
        <b/>
        <sz val="10"/>
        <rFont val="Arial"/>
        <family val="2"/>
      </rPr>
      <t xml:space="preserve">GATES: </t>
    </r>
    <r>
      <rPr>
        <b/>
        <sz val="10"/>
        <color rgb="FFFF0000"/>
        <rFont val="Arial"/>
        <family val="2"/>
      </rPr>
      <t>STEEL FRAMEWORKS</t>
    </r>
    <r>
      <rPr>
        <sz val="10"/>
        <rFont val="Arial"/>
        <family val="2"/>
      </rPr>
      <t xml:space="preserve">
Supply and installation of steel frameworks - galvanized finishing - as per the design</t>
    </r>
  </si>
  <si>
    <t>quotazione comprensiva di fondazione</t>
  </si>
  <si>
    <r>
      <rPr>
        <b/>
        <sz val="10"/>
        <color rgb="FF000000"/>
        <rFont val="Arial"/>
        <family val="2"/>
      </rPr>
      <t xml:space="preserve">FENCE </t>
    </r>
    <r>
      <rPr>
        <b/>
        <sz val="10"/>
        <color rgb="FFFF0000"/>
        <rFont val="Arial"/>
        <family val="2"/>
      </rPr>
      <t xml:space="preserve">CHAIN LINK NET ON POSTS: GALVANIZED FINISHING
</t>
    </r>
    <r>
      <rPr>
        <sz val="10"/>
        <color rgb="FF000000"/>
        <rFont val="Arial"/>
        <family val="2"/>
      </rPr>
      <t>Supply and installation of fence chain link net on posts with galvanized finishing, according to the design</t>
    </r>
  </si>
  <si>
    <t>TOTAL MISCELLANEOUS ACTIVITIES</t>
  </si>
  <si>
    <t>ELECTRICAL WORKS</t>
  </si>
  <si>
    <t>C.W.CW.EL</t>
  </si>
  <si>
    <t>we refer to the trenches for grounding / earthing system</t>
  </si>
  <si>
    <t>COMPOSIT MATERIALS ELECTRICAL PITS (REINFORCED FIBER PLASTIC)</t>
  </si>
  <si>
    <t>20.07.02.00/01</t>
  </si>
  <si>
    <t>SUPPLY AND INSTALLATION OF REINFORCED FIBER PLASTIC PITS: INTERNAL DEPTH UP TO 1000 MM ; INTERNAL PLAN DIMENSIONS 1000x1000 MM</t>
  </si>
  <si>
    <t>20.07.02.00/02</t>
  </si>
  <si>
    <t>SUPPLY AND INSTALLATION OF REINFORCED FIBER PLASTIC PITS: INTERNAL DEPTH UP TO 1000 MM ; INTERNAL PLAN DIMENSIONS 1000x1500 MM</t>
  </si>
  <si>
    <t>20.07.02.00/03</t>
  </si>
  <si>
    <t>SUPPLY AND INSTALLATION OF REINFORCED FIBER PLASTIC PITS: INTERNAL DEPTH UP TO 1500 MM ; INTERNAL PLAN DIMENSIONS 1500x2000 MM</t>
  </si>
  <si>
    <t>20.07.02.00/04</t>
  </si>
  <si>
    <t>SUPPLY AND INSTALLATION OF REINFORCED FIBER PLASTIC PITS: INTERNAL DEPTH UP TO 1500 MM ; INTERNAL PLAN DIMENSIONS 2000x2000 MM</t>
  </si>
  <si>
    <t>20.07.02.00/05</t>
  </si>
  <si>
    <t>SUPPLY AND INSTALLATION OF REINFORCED FIBER PLASTIC PITS: ANY DEPTH AND INTERNAL PLAN DIMENTIONS - AS PER DESIGN</t>
  </si>
  <si>
    <t>HORIZONTAL DIRECTIONAL DRILLING (HDD)</t>
  </si>
  <si>
    <r>
      <rPr>
        <sz val="10"/>
        <color rgb="FF000000"/>
        <rFont val="Arial"/>
        <family val="2"/>
      </rPr>
      <t xml:space="preserve">HORIZONTAL DIRECTIONAL DRILLING (HDD): CABLES/PIPES/CONDUITS </t>
    </r>
    <r>
      <rPr>
        <b/>
        <sz val="10"/>
        <color rgb="FFFF0000"/>
        <rFont val="Arial"/>
        <family val="2"/>
      </rPr>
      <t>DIAMETER 4 INCHES / 100 MM</t>
    </r>
  </si>
  <si>
    <t>TOTAL ELECTRICAL WORKS</t>
  </si>
  <si>
    <t>ADDITIONAL WORKS</t>
  </si>
  <si>
    <t>C.W.CW.AW</t>
  </si>
  <si>
    <t>11.14.00.00/01</t>
  </si>
  <si>
    <t>CLEANING UP EXPLOSIVES AND REMNANTS OF WAR</t>
  </si>
  <si>
    <t>If applicable, as per project constraints.</t>
  </si>
  <si>
    <t>TOTAL ADDITIONAL WORKS</t>
  </si>
  <si>
    <t>TOTAL PROJECT + OPCIONAL</t>
  </si>
  <si>
    <t>EXTERNAL ACCESS ROADS</t>
  </si>
  <si>
    <t>TOTAL PRICE</t>
  </si>
  <si>
    <t>GRE.EEC.S.21.IT.P.18371.00.127.00 Technical Specification</t>
  </si>
  <si>
    <t>accesso a sud</t>
  </si>
  <si>
    <r>
      <t xml:space="preserve">LOADING, TRANSPORTING AND SPREADING OF TOPSOIL LAYERS FROM ON-SITE STORAGE FOR RESTORATION
</t>
    </r>
    <r>
      <rPr>
        <sz val="10"/>
        <rFont val="Arial"/>
        <family val="2"/>
      </rPr>
      <t>New transportation of topsoil material to a specific area by ENEL request, spreading, compaction</t>
    </r>
  </si>
  <si>
    <t>11.04.02.00/02</t>
  </si>
  <si>
    <r>
      <t xml:space="preserve">LOADING, TRANSPORTING AND SPREADING OF  IMPORTED BY QUARRY TOPSOIL LAYERS FOR RESTORATION
</t>
    </r>
    <r>
      <rPr>
        <sz val="10"/>
        <rFont val="Arial"/>
        <family val="2"/>
      </rPr>
      <t>Supply, transportation of topsoil material to a specific area by ENEL request, spreading, compaction</t>
    </r>
  </si>
  <si>
    <r>
      <rPr>
        <b/>
        <sz val="10"/>
        <color rgb="FFFF0000"/>
        <rFont val="Arial"/>
        <family val="2"/>
      </rPr>
      <t xml:space="preserve">EXCAVATION IN SOIL    </t>
    </r>
    <r>
      <rPr>
        <b/>
        <sz val="10"/>
        <rFont val="Arial"/>
        <family val="2"/>
      </rPr>
      <t xml:space="preserve">
</t>
    </r>
    <r>
      <rPr>
        <sz val="10"/>
        <rFont val="Arial"/>
        <family val="2"/>
      </rPr>
      <t>Excavation in soil, any depth, with mechanical means "dozer" and "scraper" including loading and transport to usage location or authorized dump to any distance, spreading, natural compaction and geometrical embankment conformation according to the design. Including testing as prescribed.</t>
    </r>
  </si>
  <si>
    <r>
      <t xml:space="preserve">GEO-SYNTHETICS: GEOTEXTILES
</t>
    </r>
    <r>
      <rPr>
        <sz val="10"/>
        <rFont val="Arial"/>
        <family val="2"/>
      </rPr>
      <t xml:space="preserve">Supply and installation of geotextiles for reinforcement with weight per unit area according to the design in the whole width of the roads and pads, as shown on the drawings, including ancillary material for overlapping and proper installation. </t>
    </r>
  </si>
  <si>
    <t>04.03.01.01/01</t>
  </si>
  <si>
    <t>04.03.02.00/01</t>
  </si>
  <si>
    <r>
      <t xml:space="preserve">SURFACE COURSE: ASPHALT FOR BINDER COURSE
</t>
    </r>
    <r>
      <rPr>
        <sz val="10"/>
        <rFont val="Arial"/>
        <family val="2"/>
      </rPr>
      <t>Supply and installation of asphalt finishing according to the design criteria and the local/federal codes.</t>
    </r>
  </si>
  <si>
    <r>
      <t xml:space="preserve">SURFACE COURSE: ASPHALT FOR WEARING COURSE
</t>
    </r>
    <r>
      <rPr>
        <sz val="10"/>
        <rFont val="Arial"/>
        <family val="2"/>
      </rPr>
      <t>Supply and installation of asphalt finishing according to the design criteria and the local/federal codes.</t>
    </r>
  </si>
  <si>
    <t>1. TOTAL EARTHWORKS &amp; ROADS</t>
  </si>
  <si>
    <t>07.03.04.00/01</t>
  </si>
  <si>
    <t>07.03.04.00/02</t>
  </si>
  <si>
    <r>
      <t xml:space="preserve">REINFORCED CONCRETE PIPES: </t>
    </r>
    <r>
      <rPr>
        <b/>
        <sz val="10"/>
        <color rgb="FFFF0000"/>
        <rFont val="Arial"/>
        <family val="2"/>
      </rPr>
      <t>DN 600 - NPS 24</t>
    </r>
    <r>
      <rPr>
        <b/>
        <sz val="10"/>
        <rFont val="Arial"/>
        <family val="2"/>
      </rPr>
      <t xml:space="preserve">
</t>
    </r>
    <r>
      <rPr>
        <sz val="10"/>
        <rFont val="Arial"/>
        <family val="2"/>
      </rPr>
      <t>Supply and installation of reinforced concrete pipes (all works included, also excavation; closest dimension shall be applied)</t>
    </r>
  </si>
  <si>
    <r>
      <t xml:space="preserve">REINFORCED CONCRETE PIPES: </t>
    </r>
    <r>
      <rPr>
        <b/>
        <sz val="10"/>
        <color rgb="FFFF0000"/>
        <rFont val="Arial"/>
        <family val="2"/>
      </rPr>
      <t>DN 800 - NPS 32</t>
    </r>
    <r>
      <rPr>
        <b/>
        <sz val="10"/>
        <rFont val="Arial"/>
        <family val="2"/>
      </rPr>
      <t xml:space="preserve">
</t>
    </r>
    <r>
      <rPr>
        <sz val="10"/>
        <rFont val="Arial"/>
        <family val="2"/>
      </rPr>
      <t>Supply and installation of reinforced concrete pipes (all works included, also excavation; closest dimension shall be applied)</t>
    </r>
  </si>
  <si>
    <r>
      <t xml:space="preserve">REINFORCED CONCRETE PIPES: </t>
    </r>
    <r>
      <rPr>
        <b/>
        <sz val="10"/>
        <color rgb="FFFF0000"/>
        <rFont val="Arial"/>
        <family val="2"/>
      </rPr>
      <t>DN 1000 - NPS 40</t>
    </r>
    <r>
      <rPr>
        <b/>
        <sz val="10"/>
        <rFont val="Arial"/>
        <family val="2"/>
      </rPr>
      <t xml:space="preserve">
</t>
    </r>
    <r>
      <rPr>
        <sz val="10"/>
        <rFont val="Arial"/>
        <family val="2"/>
      </rPr>
      <t>Supply and installation of reinforced concrete pipes (all works included, also excavation; closest dimension shall be applied)</t>
    </r>
  </si>
  <si>
    <r>
      <t>HYDRAULIC ENERGY DISSIPATOR</t>
    </r>
    <r>
      <rPr>
        <sz val="10"/>
        <rFont val="Arial"/>
        <family val="2"/>
      </rPr>
      <t>:</t>
    </r>
    <r>
      <rPr>
        <b/>
        <sz val="10"/>
        <rFont val="Arial"/>
        <family val="2"/>
      </rPr>
      <t xml:space="preserve"> AS PER DESIGN
</t>
    </r>
    <r>
      <rPr>
        <sz val="10"/>
        <rFont val="Arial"/>
        <family val="2"/>
      </rPr>
      <t>Any material (stones, concrete, etc.)</t>
    </r>
    <r>
      <rPr>
        <b/>
        <sz val="10"/>
        <rFont val="Arial"/>
        <family val="2"/>
      </rPr>
      <t xml:space="preserve"> </t>
    </r>
    <r>
      <rPr>
        <sz val="10"/>
        <rFont val="Arial"/>
        <family val="2"/>
      </rPr>
      <t>Surface preparation, soil disposal and transportation to dump, backfilling compaction, lining as well as supply and installation of all materials and accessory components necessary for the correct implementation and functioning.</t>
    </r>
  </si>
  <si>
    <t>2. DRAINAGE</t>
  </si>
  <si>
    <t>STRUCTURAL AND GEOTECHNICAL WORKS</t>
  </si>
  <si>
    <t>CONCRETE &amp; STEEL</t>
  </si>
  <si>
    <r>
      <t xml:space="preserve">CONCRETE MIXTURE: SUPPLY AND POURING - COMPRESSION STRENGTH 2200 PSI / C12/15
</t>
    </r>
    <r>
      <rPr>
        <sz val="10"/>
        <rFont val="Arial"/>
        <family val="2"/>
      </rPr>
      <t>Supply, transportation, placement and testing according to the design and the TS, including ancillary works (vibration, formworks of any type, curing activities, etc.)..</t>
    </r>
  </si>
  <si>
    <t>08.02.00.00/06</t>
  </si>
  <si>
    <r>
      <t xml:space="preserve">CONCRETE MIXTURE: SUPPLY AND POURING - COMPRESSION STRENGTH  3500 PSI / C20/25
</t>
    </r>
    <r>
      <rPr>
        <sz val="10"/>
        <rFont val="Arial"/>
        <family val="2"/>
      </rPr>
      <t>Supply, transportation, installation and testing of concrete according to the design and the TS, including ancillary works (vibration, formworks of any type, curing activities, etc.).</t>
    </r>
  </si>
  <si>
    <r>
      <t>STEEL REINFORCEMENTS: REBARS GRADE 60 (ASTM A615) / B450 C</t>
    </r>
    <r>
      <rPr>
        <sz val="10"/>
        <rFont val="Arial"/>
        <family val="2"/>
      </rPr>
      <t xml:space="preserve">
Supply, transportation, installation and testing according to the design and the TS, including ancillary works. </t>
    </r>
  </si>
  <si>
    <t>GEOTECHNICAL SPECIAL WORKS</t>
  </si>
  <si>
    <t>C.W.CW.GEO</t>
  </si>
  <si>
    <t>11.02.00.00/01</t>
  </si>
  <si>
    <r>
      <rPr>
        <b/>
        <sz val="10"/>
        <rFont val="Arial"/>
        <family val="2"/>
      </rPr>
      <t>GABIONS AND GABION MATRESSES FILLED WITH ON-SITE MATERIAL</t>
    </r>
    <r>
      <rPr>
        <sz val="10"/>
        <rFont val="Arial"/>
        <family val="2"/>
      </rPr>
      <t xml:space="preserve">
Supply of all necessary materials, transportation, preparation of installation area,installation of gabions, backfilling, disposal of exeeding materials</t>
    </r>
  </si>
  <si>
    <t>11.02.00.00/02</t>
  </si>
  <si>
    <r>
      <t xml:space="preserve">ADDITIONAL PRICE TO 11.02.00.00/01 FOR MATERIAL IMPORTED FROM QUARRY
</t>
    </r>
    <r>
      <rPr>
        <sz val="10"/>
        <rFont val="Arial"/>
        <family val="2"/>
      </rPr>
      <t>Additional price if stones come from quarry. It is included supply and transportation to the site.</t>
    </r>
  </si>
  <si>
    <t>11.13.00.00/01</t>
  </si>
  <si>
    <r>
      <t xml:space="preserve">REINFORCED EARTH WALL 
</t>
    </r>
    <r>
      <rPr>
        <sz val="10"/>
        <rFont val="Arial"/>
        <family val="2"/>
      </rPr>
      <t>Supply of all necessary materials, transportation, preparation of installation area,installation, backfilling, disposal of exeeding materials</t>
    </r>
  </si>
  <si>
    <r>
      <t xml:space="preserve">DEMOLITION OF CONCRETE STRUCTURES, </t>
    </r>
    <r>
      <rPr>
        <b/>
        <sz val="10"/>
        <color rgb="FFFF0000"/>
        <rFont val="Arial"/>
        <family val="2"/>
      </rPr>
      <t>REINFORCED CONCRETE</t>
    </r>
    <r>
      <rPr>
        <b/>
        <sz val="10"/>
        <rFont val="Arial"/>
        <family val="2"/>
      </rPr>
      <t xml:space="preserve">
</t>
    </r>
    <r>
      <rPr>
        <sz val="10"/>
        <rFont val="Arial"/>
        <family val="2"/>
      </rPr>
      <t>Demolition of all materials included inside the buildings/structures/civil works, as well as proper separation and disposal according to technical specifications</t>
    </r>
  </si>
  <si>
    <t>LF</t>
  </si>
  <si>
    <r>
      <rPr>
        <b/>
        <sz val="10"/>
        <color rgb="FFFF0000"/>
        <rFont val="Arial"/>
        <family val="2"/>
      </rPr>
      <t>LOADING, TRANSPORTATION, DISPOSAL AND STORAGE OF EXCAVATED MATERIAL:  HAZARDOUS LANDFILL/RECYCLING PLANT</t>
    </r>
    <r>
      <rPr>
        <b/>
        <sz val="10"/>
        <rFont val="Arial"/>
        <family val="2"/>
      </rPr>
      <t xml:space="preserve">
</t>
    </r>
    <r>
      <rPr>
        <sz val="10"/>
        <rFont val="Arial"/>
        <family val="2"/>
      </rPr>
      <t xml:space="preserve">Loading and transport at any distance for dangerous soils and rocks, spreading, natural compaction and geometrical embankment conformation according to the design. All duties including additional tests required by the dump. Any disposal compensations/fees arising from the landfill/recycling plants. </t>
    </r>
  </si>
  <si>
    <r>
      <t xml:space="preserve">ROADSIDE BARRIERS
</t>
    </r>
    <r>
      <rPr>
        <sz val="10"/>
        <rFont val="Arial"/>
        <family val="2"/>
      </rPr>
      <t>Supply and installation of metal W-beam road guardrail according to the design criteria and the local/federal codes.</t>
    </r>
  </si>
  <si>
    <r>
      <rPr>
        <b/>
        <sz val="10"/>
        <rFont val="Arial"/>
        <family val="2"/>
      </rPr>
      <t xml:space="preserve">GATES: </t>
    </r>
    <r>
      <rPr>
        <b/>
        <sz val="10"/>
        <color rgb="FFFF0000"/>
        <rFont val="Arial"/>
        <family val="2"/>
      </rPr>
      <t>STEEL FRAMEWORKS - GALVANIZED</t>
    </r>
    <r>
      <rPr>
        <sz val="10"/>
        <rFont val="Arial"/>
        <family val="2"/>
      </rPr>
      <t xml:space="preserve">
Supply and installation of gate wih steel frameworks - galvanized finishing - as per the design</t>
    </r>
  </si>
  <si>
    <t>11.03.04.00/03</t>
  </si>
  <si>
    <r>
      <rPr>
        <b/>
        <sz val="10"/>
        <rFont val="Arial"/>
        <family val="2"/>
      </rPr>
      <t xml:space="preserve">GATES: </t>
    </r>
    <r>
      <rPr>
        <b/>
        <sz val="10"/>
        <color rgb="FFFF0000"/>
        <rFont val="Arial"/>
        <family val="2"/>
      </rPr>
      <t>WOOD FRAMEWORKS</t>
    </r>
    <r>
      <rPr>
        <sz val="10"/>
        <rFont val="Arial"/>
        <family val="2"/>
      </rPr>
      <t xml:space="preserve">
Supply and installation of gate wih wood frameworks - as per the design</t>
    </r>
  </si>
  <si>
    <t>11.10.00.00/01</t>
  </si>
  <si>
    <r>
      <rPr>
        <b/>
        <sz val="10"/>
        <rFont val="Arial"/>
        <family val="2"/>
      </rPr>
      <t>PAVEMENT MARKINGS WITH ACRYLIC-BASED PAINT</t>
    </r>
    <r>
      <rPr>
        <sz val="10"/>
        <rFont val="Arial"/>
        <family val="2"/>
      </rPr>
      <t xml:space="preserve">
Supply, transportation, cleaning of the road surface, pre-marking and painting</t>
    </r>
  </si>
  <si>
    <t>11.08.01.00/02</t>
  </si>
  <si>
    <r>
      <t xml:space="preserve">DOUBLE FACE JERSEY SHAPE CONCRETE BARRIERS (PRECAST OR CAST IN SITU) - AS PER DESIGN
</t>
    </r>
    <r>
      <rPr>
        <sz val="10"/>
        <rFont val="Arial"/>
        <family val="2"/>
      </rPr>
      <t>Supply, transportation, installation</t>
    </r>
  </si>
  <si>
    <t>11.11.00.00/02</t>
  </si>
  <si>
    <r>
      <t xml:space="preserve">ROAD STUDS (SMALL SIZE)
</t>
    </r>
    <r>
      <rPr>
        <sz val="10"/>
        <rFont val="Arial"/>
        <family val="2"/>
      </rPr>
      <t>Supply, transportation, installation</t>
    </r>
  </si>
  <si>
    <t>11.12.00.00/01</t>
  </si>
  <si>
    <r>
      <t xml:space="preserve">SPEED BUMPS AND SPEED HUMPS - AS PER DESIGN
</t>
    </r>
    <r>
      <rPr>
        <sz val="10"/>
        <rFont val="Arial"/>
        <family val="2"/>
      </rPr>
      <t>Supply, transportation, installation</t>
    </r>
  </si>
  <si>
    <t>4. MISCELLANEOUS ACTIVITIES</t>
  </si>
  <si>
    <t>5. ADDITIONAL WORKS</t>
  </si>
  <si>
    <t>TOTAL PROJECT + OPTIONAL</t>
  </si>
  <si>
    <t xml:space="preserve">1. Mitigation </t>
  </si>
  <si>
    <t>1.1 Fauna Mitigation</t>
  </si>
  <si>
    <t>1.2 Vegetation and Flora Mitigation</t>
  </si>
  <si>
    <t>please add the DET code related to the "environmental Condistion List" project specific</t>
  </si>
  <si>
    <t>1.3 Landscape and other Mitigation measures</t>
  </si>
  <si>
    <t>All necessary measures to minimize the impacts of the project on landscape and other environmental components (e.g. natural and phisycal screens, noise barriers,…)</t>
  </si>
  <si>
    <t xml:space="preserve">2. Compensation </t>
  </si>
  <si>
    <t>2.1 Fauna Compensation</t>
  </si>
  <si>
    <t>2.2 Vegetation and Flora Compensation</t>
  </si>
  <si>
    <t>2.3  Landscape and other Compensation measures</t>
  </si>
  <si>
    <t>All possible measures to compensate the residual impacts of the project on landscape and other environmental componentes (e.g. construction of viewpoints, trail, information panels…)</t>
  </si>
  <si>
    <t>2.4 Archaeological, paleontological &amp; Cultural Heritage Compensation</t>
  </si>
  <si>
    <t>TOTAL ENVIRONMENTAL COMPENSATION / MITIGATION</t>
  </si>
  <si>
    <t>Cavi per tracker</t>
  </si>
  <si>
    <t>GRE…..
PPP.PVP.MVC.03.004 Anti-Rodent System
PPP.PVP.OAT.01.002 Equipment Sealing
PPP.PVP.DIN.02.002 Foundation
PPP.PVP.DIN.02.003 Concrete Structure Sealing
PPP.PVP.WRK.04 ELECTRICAL FIELD BOX ACTIVITIES
- CONSTRUCTION TECHNICAL SPECIFICATIONS
- VENDOR INSTALLATION PROCEDURE SPECIFICATIONS</t>
  </si>
  <si>
    <t>21.06.01.29/00</t>
  </si>
  <si>
    <t>21.06.01.30/00</t>
  </si>
  <si>
    <t>Active anti-rodent System [L] - Installation</t>
  </si>
  <si>
    <t>SCADA</t>
  </si>
  <si>
    <t>21.13.05.00</t>
  </si>
  <si>
    <t>Field Monitoring System and Meteorological towers - Supply and Installation</t>
  </si>
  <si>
    <t>21.13.05.01/00</t>
  </si>
  <si>
    <t>Pyranometers of Field Monitoring System - Supply</t>
  </si>
  <si>
    <t>Includere cavo comunicazione/alimentazione del sensore al datalogger (se non incluso nella fornitura del sensore).</t>
  </si>
  <si>
    <t>21.13.05.02/00</t>
  </si>
  <si>
    <t>Module Temperature Sensors of Field Monitoring System - Supply</t>
  </si>
  <si>
    <t>21.13.05.03/00</t>
  </si>
  <si>
    <t>Soiling Devices of Field Monitoring System - Supply</t>
  </si>
  <si>
    <t>21.13.05.04/00</t>
  </si>
  <si>
    <t>Dataloggers for Field Monitoring System (excluding LV aux power cables) - Supply</t>
  </si>
  <si>
    <t>Includere cavo comunicazione dal datalogger allo switch della TC più vicina (LV aux per alimentazionazione del datalogger dalla TC più vicina conteggiati nell'item 21.01.09.00)</t>
  </si>
  <si>
    <t>21.13.05.05/00</t>
  </si>
  <si>
    <t>Installation and Wiring of sensors and dataloggers of Field Monitoring System - Installation</t>
  </si>
  <si>
    <t>Set</t>
  </si>
  <si>
    <t>21.13.05.06/00</t>
  </si>
  <si>
    <t>Central Meteorological Towers (including all the equipment and excluding LV aux power cables) - Supply</t>
  </si>
  <si>
    <t>Per i sensori includere cavo comunicazione/alimentazione al datalogger (se non incluso nella fornitura del sensore).
Includere cavo comunicazione dal datalogger allo switch della TC più vicina (LV aux per alimentazionazione del datalogger dalla TC più vicina conteggiati nell'item 21.01.09.00)</t>
  </si>
  <si>
    <t>21.13.05.07/00</t>
  </si>
  <si>
    <t>Secondary Meteorological Towers (including all the equipment and excluding LV aux power cables) - Supply</t>
  </si>
  <si>
    <t>21.13.05.08/00</t>
  </si>
  <si>
    <t xml:space="preserve">Installation and Wiring of Meteorological Towers - Installation </t>
  </si>
  <si>
    <r>
      <rPr>
        <sz val="11"/>
        <color rgb="FF000000"/>
        <rFont val="Arial"/>
        <family val="2"/>
      </rPr>
      <t xml:space="preserve">SUPPLY of vibrated reinforced concrete </t>
    </r>
    <r>
      <rPr>
        <b/>
        <sz val="11"/>
        <color rgb="FF000000"/>
        <rFont val="Arial"/>
        <family val="2"/>
      </rPr>
      <t xml:space="preserve">DELIVERY CABIN </t>
    </r>
    <r>
      <rPr>
        <sz val="11"/>
        <color rgb="FF000000"/>
        <rFont val="Arial"/>
        <family val="2"/>
      </rPr>
      <t xml:space="preserve">(CABINA di CONSEGNA) in accordance with the local Regulation of TSO (in Italy is E-Distribuzione Technical Specification DG 2061) - Consisting of two rooms: MV Room, measurement room. Including all the following main and auxiliary components:
- Fiscal Energy Meetering System
- Lighting systems
- Earthing system
- MV, LV and communication cables -[Q] - Supply
- </t>
    </r>
    <r>
      <rPr>
        <sz val="11"/>
        <color rgb="FFFF0000"/>
        <rFont val="Arial"/>
        <family val="2"/>
      </rPr>
      <t>Elevation structure and foundation (including excavation, backfilling, disposal, and concretes), ground zero slab all fully completed at civil level as indicated in the specification.
Earthworks and drainages for platform and area finishing (e.g. sidewalk if needed) excluded.</t>
    </r>
  </si>
  <si>
    <r>
      <rPr>
        <sz val="10"/>
        <color rgb="FF000000"/>
        <rFont val="Arial"/>
        <family val="2"/>
      </rPr>
      <t xml:space="preserve">Supply and internal connections of vibrated reinforced concrete </t>
    </r>
    <r>
      <rPr>
        <b/>
        <sz val="11"/>
        <color rgb="FF000000"/>
        <rFont val="Arial"/>
        <family val="2"/>
      </rPr>
      <t>USER CABIN</t>
    </r>
    <r>
      <rPr>
        <sz val="11"/>
        <color rgb="FF000000"/>
        <rFont val="Arial"/>
        <family val="2"/>
      </rPr>
      <t xml:space="preserve"> (CABINA UTENTE) according to paragraphs PPP.PVP.MVC.02 MV DISTRIBUTION CENTER and PPP.PVP.MVC.03 MV CENTER ENCLOSURE and IEC 62271-202 with IAC A Certification - Consisting of three rooms: MV room, transformer aux room, LV+SCADA room.
Electrical part: All main and auxiliary components contained in the cabin:
- Protection System Equipment (SPG/DG + SPI/DI + DDR)
- Fiscal Energy Meetering System
-  Gas vent channel MV SWG 
- Fire detection system
- Air conditioning system
- Anti-rodent system
- Normal and emergency lighting system internal and external
- Transformation room ventilation system 
- Normal + Emergency FM sockets
- MV, LV, communication and control cables
- Earthing system
- Any other necessary components
-</t>
    </r>
    <r>
      <rPr>
        <sz val="11"/>
        <color rgb="FFFF0000"/>
        <rFont val="Arial"/>
        <family val="2"/>
      </rPr>
      <t xml:space="preserve"> Elevation structure and foundation (including excavation, backfilling, disposal, and concretes), ground zero slab all fully completed at civil level as indicated in the specification.
Earthworks and drainages for platform and area finishing (e.g. sidewalk if needed) excluded.</t>
    </r>
  </si>
  <si>
    <t>As per STMG (240 mm2)</t>
  </si>
  <si>
    <r>
      <rPr>
        <sz val="10"/>
        <color rgb="FF000000"/>
        <rFont val="Arial"/>
        <family val="2"/>
      </rPr>
      <t>20.01.08.00</t>
    </r>
    <r>
      <rPr>
        <sz val="10"/>
        <color rgb="FFFF0000"/>
        <rFont val="Arial"/>
        <family val="2"/>
      </rPr>
      <t>.xx</t>
    </r>
  </si>
  <si>
    <t>Tracker installation</t>
  </si>
  <si>
    <t>INSTALLATION (Include Unitary Price for all the Type of Foundation's Installation)</t>
  </si>
  <si>
    <r>
      <t xml:space="preserve">MECHANICAL ASSEMBLY OF TRACKERS  STRUCTURES (PV PANELS INSTALLATION EXCLUDED) -1x30 
</t>
    </r>
    <r>
      <rPr>
        <sz val="10"/>
        <color rgb="FF000000"/>
        <rFont val="Arial"/>
        <family val="2"/>
      </rPr>
      <t>Including all materials (e.g. coupling nuts and bolts, anchor bolts with specially provided inserts, expansion bolts, welding materials, shims, etc.) and activities necessary to carry out the mechanical installation (e.g. drillings; renovation of hot-dip galvanizing according to the structure manufacturer, if removed/damaged during installation; installation of motor, drive arm mechanism, dampers, spring and any other device necessary for the perfect functioning of the structure; implementation of defense procedures during construction phasis; etc.)</t>
    </r>
  </si>
  <si>
    <r>
      <t xml:space="preserve">MECHANICAL ASSEMBLY OF TRACKERS  STRUCTURES (PV PANELS INSTALLATION EXCLUDED) -1x60 
</t>
    </r>
    <r>
      <rPr>
        <sz val="10"/>
        <color rgb="FF000000"/>
        <rFont val="Arial"/>
        <family val="2"/>
      </rPr>
      <t>Including all materials (e.g. coupling nuts and bolts, anchor bolts with specially provided inserts, expansion bolts, welding materials, shims, etc.) and activities necessary to carry out the mechanical installation (e.g. drillings; renovation of hot-dip galvanizing according to the structure manufacturer, if removed/damaged during installation; installation of motor, drive arm mechanism, dampers, spring and any other device necessary for the perfect functioning of the structure; implementation of defense procedures during construction phasis; etc.)</t>
    </r>
  </si>
  <si>
    <r>
      <t xml:space="preserve">MECHANICAL ASSEMBLY OF TRACKERS  STRUCTURES (PV PANELS INSTALLATION EXCLUDED) -1x90 
</t>
    </r>
    <r>
      <rPr>
        <sz val="10"/>
        <color rgb="FF000000"/>
        <rFont val="Arial"/>
        <family val="2"/>
      </rPr>
      <t>Including all materials (e.g. coupling nuts and bolts, anchor bolts with specially provided inserts, expansion bolts, welding materials, shims, etc.) and activities necessary to carry out the mechanical installation (e.g. drillings; renovation of hot-dip galvanizing according to the structure manufacturer, if removed/damaged during installation; installation of motor, drive arm mechanism, dampers, spring and any other device necessary for the perfect functioning of the structure; implementation of defense procedures during construction phasis; etc.)</t>
    </r>
  </si>
  <si>
    <t>Installation of Communication cable between Control Units/Headtrackers and their associated trackers 
(in case of wireless communication this item should not be quoted)</t>
  </si>
  <si>
    <t>N° Headtrackers</t>
  </si>
  <si>
    <t>Installation of Meteo station and environmental sensors associated to the trackers and to the Control Units/Headtrackers</t>
  </si>
  <si>
    <t>Installation of the Trackers Control And Data Acquisition System (the communication cables from the Conversion Unit to the Control Units / Headtrackers and from the CU to the substation is not included)</t>
  </si>
  <si>
    <r>
      <t xml:space="preserve">RAMMING
</t>
    </r>
    <r>
      <rPr>
        <sz val="10"/>
        <rFont val="Arial"/>
        <family val="2"/>
      </rPr>
      <t>Including all machinery and ancillary activities necessary to carry out the work and testing, as prescribed</t>
    </r>
  </si>
  <si>
    <r>
      <t xml:space="preserve">PRE-DRILLED AND RAMMING
</t>
    </r>
    <r>
      <rPr>
        <sz val="10"/>
        <rFont val="Arial"/>
        <family val="2"/>
      </rPr>
      <t>Including all machinery and ancillary activities necessary to carry out the work and testing, as prescribed</t>
    </r>
  </si>
  <si>
    <r>
      <t xml:space="preserve">DRILLING AND CONCRETING: DRILLING DIAMETER </t>
    </r>
    <r>
      <rPr>
        <b/>
        <sz val="10"/>
        <color rgb="FFFF0000"/>
        <rFont val="Arial"/>
        <family val="2"/>
      </rPr>
      <t xml:space="preserve">(150 mm &lt; </t>
    </r>
    <r>
      <rPr>
        <b/>
        <sz val="10"/>
        <color rgb="FFFF0000"/>
        <rFont val="Symbol"/>
        <family val="1"/>
        <charset val="2"/>
      </rPr>
      <t>Æ</t>
    </r>
    <r>
      <rPr>
        <b/>
        <sz val="10"/>
        <color rgb="FFFF0000"/>
        <rFont val="Arial"/>
        <family val="2"/>
      </rPr>
      <t xml:space="preserve"> ≤ 200 mm)</t>
    </r>
    <r>
      <rPr>
        <b/>
        <sz val="10"/>
        <rFont val="Arial"/>
        <family val="2"/>
      </rPr>
      <t xml:space="preserve">
</t>
    </r>
    <r>
      <rPr>
        <sz val="10"/>
        <rFont val="Arial"/>
        <family val="2"/>
      </rPr>
      <t>Including all machinery, drilling/excavation in any material, soil disposal and trasportation to dump, croncreting and all ancillary activities necessary to carry out the work (e.g. tests, as prescribed)</t>
    </r>
  </si>
  <si>
    <r>
      <t xml:space="preserve">DRILLING, BACKFILING AND COMPACTING: DRILLING DIAMETER </t>
    </r>
    <r>
      <rPr>
        <b/>
        <sz val="10"/>
        <color rgb="FFFF0000"/>
        <rFont val="Arial"/>
        <family val="2"/>
      </rPr>
      <t xml:space="preserve">(150 mm &lt; </t>
    </r>
    <r>
      <rPr>
        <b/>
        <sz val="10"/>
        <color rgb="FFFF0000"/>
        <rFont val="Symbol"/>
        <family val="1"/>
        <charset val="2"/>
      </rPr>
      <t>Æ</t>
    </r>
    <r>
      <rPr>
        <b/>
        <sz val="10"/>
        <color rgb="FFFF0000"/>
        <rFont val="Arial"/>
        <family val="2"/>
      </rPr>
      <t xml:space="preserve"> ≤ 200 mm)</t>
    </r>
    <r>
      <rPr>
        <b/>
        <sz val="10"/>
        <rFont val="Arial"/>
        <family val="2"/>
      </rPr>
      <t xml:space="preserve">
</t>
    </r>
    <r>
      <rPr>
        <sz val="10"/>
        <rFont val="Arial"/>
        <family val="2"/>
      </rPr>
      <t>Including all machinery, drilling/excavation in any material, soil disposal and trasportation to dump, backfilling, compaction, lining and all ancillary activities necessary to carry out the work (e.g. tests, as prescribed)</t>
    </r>
  </si>
  <si>
    <t>Financial Cost</t>
  </si>
  <si>
    <t>INSURANCE COST FOR INSTALLATION ACTIVITIES</t>
  </si>
  <si>
    <t>TRACKER SUPPLY</t>
  </si>
  <si>
    <t>General info</t>
  </si>
  <si>
    <t>INCOTERM</t>
  </si>
  <si>
    <t>CONFIGURATION</t>
  </si>
  <si>
    <t>MODULE Wp</t>
  </si>
  <si>
    <t>MODULE TYPE</t>
  </si>
  <si>
    <t>MWp</t>
  </si>
  <si>
    <t>COMPANY NAME</t>
  </si>
  <si>
    <t>START DELIVERIES</t>
  </si>
  <si>
    <t>END DELIVERIES</t>
  </si>
  <si>
    <t>SOIL CORROSION CLASS</t>
  </si>
  <si>
    <t>ATMOSPHERIC CORROSION CLASS</t>
  </si>
  <si>
    <t>Lenght of the pile 1P</t>
  </si>
  <si>
    <t>Lenght of the pile 2P</t>
  </si>
  <si>
    <t>DPP</t>
  </si>
  <si>
    <t>Project info</t>
  </si>
  <si>
    <t>INTERNAL TRACKER</t>
  </si>
  <si>
    <t>N° EDGE BI EXPOSED TRACKER</t>
  </si>
  <si>
    <t>N° EDGE MONO EXPOSED TRACKER</t>
  </si>
  <si>
    <t>N° EXTERNAL TRACKER</t>
  </si>
  <si>
    <t xml:space="preserve">N° </t>
  </si>
  <si>
    <t>N° PILES</t>
  </si>
  <si>
    <t>KG</t>
  </si>
  <si>
    <t>1 STRING</t>
  </si>
  <si>
    <t>2 STRING</t>
  </si>
  <si>
    <t>3 STRING</t>
  </si>
  <si>
    <t>4 STRING</t>
  </si>
  <si>
    <t>GENERAL COST</t>
  </si>
  <si>
    <t>Warranty</t>
  </si>
  <si>
    <t>COST OF BANK GUARANTEE (advance, performance and warranty bond)</t>
  </si>
  <si>
    <t>SET</t>
  </si>
  <si>
    <t>GRE.OEM.A.GRE.OEM.A.85.XX.P.00000.00.012.01</t>
  </si>
  <si>
    <t>BASE WARRANTY COND TRACKERS Supply "Base Warranty conditions for trackers supply" (Whole cost for the entire warranty period)</t>
  </si>
  <si>
    <r>
      <t xml:space="preserve">TRANSPORTATION OF ALL COMPONENTS AND ALL EQUIPMENT 
</t>
    </r>
    <r>
      <rPr>
        <b/>
        <sz val="11"/>
        <rFont val="Arial"/>
        <family val="2"/>
      </rPr>
      <t>(SHIPPING / MARINE TRANSPORT)</t>
    </r>
  </si>
  <si>
    <t>NUM of Container</t>
  </si>
  <si>
    <r>
      <t xml:space="preserve">TRANSPORTATION OF ALL COMPONENTS AND ALL EQUIPMENT
</t>
    </r>
    <r>
      <rPr>
        <b/>
        <sz val="11"/>
        <rFont val="Arial"/>
        <family val="2"/>
      </rPr>
      <t>(VEHICLE TRANSPORT, FROM THE PORT OF DESTINATION TO THE SITE)</t>
    </r>
  </si>
  <si>
    <r>
      <rPr>
        <b/>
        <sz val="11"/>
        <rFont val="Arial"/>
        <family val="2"/>
      </rPr>
      <t>UNLOADING</t>
    </r>
    <r>
      <rPr>
        <sz val="11"/>
        <rFont val="Arial"/>
        <family val="2"/>
      </rPr>
      <t xml:space="preserve"> OF ALL COMPONENTS AND ALL EQUIPMENT ON SITE</t>
    </r>
  </si>
  <si>
    <t>OFXS1.2</t>
  </si>
  <si>
    <r>
      <rPr>
        <b/>
        <sz val="11"/>
        <rFont val="Arial"/>
        <family val="2"/>
      </rPr>
      <t>TRAINING</t>
    </r>
    <r>
      <rPr>
        <sz val="11"/>
        <rFont val="Arial"/>
        <family val="2"/>
      </rPr>
      <t xml:space="preserve"> FOR THE INSTALLATION COMPANY (BoP contractor)</t>
    </r>
  </si>
  <si>
    <t>WEEK/PAX</t>
  </si>
  <si>
    <t>OFXS1.1</t>
  </si>
  <si>
    <t>Super Visioning and Quality Control Check</t>
  </si>
  <si>
    <t>DESIGN</t>
  </si>
  <si>
    <t>Manufacturing QCP</t>
  </si>
  <si>
    <t>STRUCTURAL STUDIES  AND TESTS OF SUPPORTING STRUCTURE (ENGINEERING PHASE)</t>
  </si>
  <si>
    <t>PULL OUT TEST (MUST BE IN SCOPE OF TRACKER SUPPLIER)</t>
  </si>
  <si>
    <t>NUM</t>
  </si>
  <si>
    <t>TRACKER</t>
  </si>
  <si>
    <r>
      <rPr>
        <b/>
        <sz val="11"/>
        <rFont val="Arial"/>
        <family val="2"/>
      </rPr>
      <t>TRACKER with exposure category reduction (INTERNAL)</t>
    </r>
    <r>
      <rPr>
        <sz val="11"/>
        <rFont val="Arial"/>
        <family val="2"/>
      </rPr>
      <t xml:space="preserve">: SUPPLY OF FOUNDATIONS, SUPPORTING STRUCTURES </t>
    </r>
  </si>
  <si>
    <t>KG OF STEEL</t>
  </si>
  <si>
    <r>
      <rPr>
        <b/>
        <sz val="11"/>
        <rFont val="Arial"/>
        <family val="2"/>
      </rPr>
      <t>TRACKER ("EDGE bi exposed")</t>
    </r>
    <r>
      <rPr>
        <sz val="11"/>
        <rFont val="Arial"/>
        <family val="2"/>
      </rPr>
      <t xml:space="preserve">: SUPPLY OF FOUNDATIONS, SUPPORTING STRUCTURES as per STANDARD DISTANCE FROM THE GROUND  
</t>
    </r>
  </si>
  <si>
    <r>
      <rPr>
        <b/>
        <sz val="11"/>
        <rFont val="Arial"/>
        <family val="2"/>
      </rPr>
      <t>TRACKER ("EDGE mono exposed")</t>
    </r>
    <r>
      <rPr>
        <sz val="11"/>
        <rFont val="Arial"/>
        <family val="2"/>
      </rPr>
      <t xml:space="preserve">: SUPPLY OF FOUNDATIONS, SUPPORTING STRUCTURES as per STANDARD DISTANCE FROM THE GROUND  
</t>
    </r>
  </si>
  <si>
    <r>
      <rPr>
        <b/>
        <sz val="11"/>
        <rFont val="Arial"/>
        <family val="2"/>
      </rPr>
      <t>TRACKER (EXTERNAL)</t>
    </r>
    <r>
      <rPr>
        <sz val="11"/>
        <rFont val="Arial"/>
        <family val="2"/>
      </rPr>
      <t xml:space="preserve">: SUPPLY OF FOUNDATIONS, SUPPORTING STRUCTURES as per STANDARD DISTANCE FROM THE GROUND  </t>
    </r>
    <r>
      <rPr>
        <b/>
        <sz val="11"/>
        <rFont val="Arial"/>
        <family val="2"/>
      </rPr>
      <t xml:space="preserve">[MANDATORY] </t>
    </r>
    <r>
      <rPr>
        <sz val="11"/>
        <rFont val="Arial"/>
        <family val="2"/>
      </rPr>
      <t xml:space="preserve">
</t>
    </r>
  </si>
  <si>
    <r>
      <rPr>
        <sz val="11"/>
        <rFont val="Arial"/>
        <family val="2"/>
      </rPr>
      <t xml:space="preserve">NON-STRUCTURAL COMPONENTS (including ENGINES, ELECTRONIC SYSTEM,  CABLES, Joints, Guides, Dumpers if any, </t>
    </r>
    <r>
      <rPr>
        <sz val="11"/>
        <color rgb="FFFF0000"/>
        <rFont val="Arial"/>
        <family val="2"/>
      </rPr>
      <t>batteries…</t>
    </r>
    <r>
      <rPr>
        <sz val="11"/>
        <rFont val="Arial"/>
        <family val="2"/>
      </rPr>
      <t>) [to be quoted as price per each single tracker]</t>
    </r>
  </si>
  <si>
    <t>NUM of Trackers</t>
  </si>
  <si>
    <r>
      <rPr>
        <b/>
        <sz val="11"/>
        <rFont val="Arial"/>
        <family val="2"/>
      </rPr>
      <t>WIRELESS COMMUNICATION</t>
    </r>
    <r>
      <rPr>
        <sz val="11"/>
        <rFont val="Arial"/>
        <family val="2"/>
      </rPr>
      <t xml:space="preserve"> BETWEEN COMBINER BOX AND ITS ASSOCIATED TRACKERS </t>
    </r>
    <r>
      <rPr>
        <b/>
        <u/>
        <sz val="11"/>
        <rFont val="Arial"/>
        <family val="2"/>
      </rPr>
      <t>(</t>
    </r>
    <r>
      <rPr>
        <b/>
        <i/>
        <u/>
        <sz val="11"/>
        <rFont val="Arial"/>
        <family val="2"/>
      </rPr>
      <t>This item supersedes item 10b</t>
    </r>
    <r>
      <rPr>
        <b/>
        <u/>
        <sz val="11"/>
        <rFont val="Arial"/>
        <family val="2"/>
      </rPr>
      <t>)</t>
    </r>
  </si>
  <si>
    <r>
      <t xml:space="preserve">SUPPLY OF </t>
    </r>
    <r>
      <rPr>
        <b/>
        <sz val="11"/>
        <rFont val="Arial"/>
        <family val="2"/>
      </rPr>
      <t>COMMUNICATION CABLES</t>
    </r>
    <r>
      <rPr>
        <sz val="11"/>
        <rFont val="Arial"/>
        <family val="2"/>
      </rPr>
      <t xml:space="preserve"> BETWEEN CONTROL UNITS/HEAD TRACKERS AND ITS ASSOCIATED TRACKERS</t>
    </r>
  </si>
  <si>
    <t>km</t>
  </si>
  <si>
    <r>
      <rPr>
        <b/>
        <sz val="11"/>
        <rFont val="Arial"/>
        <family val="2"/>
      </rPr>
      <t>SELF POWERED</t>
    </r>
    <r>
      <rPr>
        <sz val="11"/>
        <rFont val="Arial"/>
        <family val="2"/>
      </rPr>
      <t xml:space="preserve"> AND BACKUP TRACKER CONTROL SYSTEM</t>
    </r>
  </si>
  <si>
    <r>
      <t xml:space="preserve">POWER SUPPLY CABLES </t>
    </r>
    <r>
      <rPr>
        <b/>
        <u/>
        <sz val="11"/>
        <rFont val="Arial"/>
        <family val="2"/>
      </rPr>
      <t>(This item supersedes item 11a)</t>
    </r>
  </si>
  <si>
    <r>
      <t xml:space="preserve">SUPPLY OF TRACKER </t>
    </r>
    <r>
      <rPr>
        <b/>
        <sz val="11"/>
        <rFont val="Arial"/>
        <family val="2"/>
      </rPr>
      <t>METEO STATION</t>
    </r>
  </si>
  <si>
    <r>
      <rPr>
        <b/>
        <sz val="11"/>
        <rFont val="Arial"/>
        <family val="2"/>
      </rPr>
      <t xml:space="preserve">Tracker Front End (TFE) System </t>
    </r>
    <r>
      <rPr>
        <sz val="11"/>
        <rFont val="Arial"/>
        <family val="2"/>
      </rPr>
      <t>(Rack and Server inside the Substation)</t>
    </r>
  </si>
  <si>
    <t>PV Modules FIXING SYSTEM (NUT&amp;BOLT) (This item supersedes item 16b-c-d)</t>
  </si>
  <si>
    <t>NUM of PV Modules</t>
  </si>
  <si>
    <t>PV MODULES FIXING SYSTEM (Rivets) (This item supersedes item 16a-c-d)</t>
  </si>
  <si>
    <t>PV MODULES FIXING SYSTEM (NEOBOLT) (This item supersedes item 16a-b-d)</t>
  </si>
  <si>
    <t>PV MODULES FIXING SYSTEM (CLAMPS for Frameless PV Modules)  (This item supersedes item 16a-b-c)</t>
  </si>
  <si>
    <t>EXTRA FOUNDATION LENGTH</t>
  </si>
  <si>
    <r>
      <rPr>
        <sz val="11"/>
        <color rgb="FF000000"/>
        <rFont val="Arial"/>
        <family val="2"/>
      </rPr>
      <t xml:space="preserve">Internal Pile: </t>
    </r>
    <r>
      <rPr>
        <b/>
        <sz val="11"/>
        <color rgb="FF000000"/>
        <rFont val="Arial"/>
        <family val="2"/>
      </rPr>
      <t>10 cm</t>
    </r>
    <r>
      <rPr>
        <sz val="11"/>
        <color rgb="FF000000"/>
        <rFont val="Arial"/>
        <family val="2"/>
      </rPr>
      <t xml:space="preserve"> of foundation length per 1 pile (please note that this amount could be considered as an extra or reduction in price, fill it as a positive value)</t>
    </r>
    <r>
      <rPr>
        <b/>
        <sz val="11"/>
        <color rgb="FF000000"/>
        <rFont val="Arial"/>
        <family val="2"/>
      </rPr>
      <t xml:space="preserve"> (MANDATORY)</t>
    </r>
  </si>
  <si>
    <r>
      <t xml:space="preserve">Internal Motor Pile: </t>
    </r>
    <r>
      <rPr>
        <b/>
        <sz val="11"/>
        <rFont val="Arial"/>
        <family val="2"/>
      </rPr>
      <t>10 cm</t>
    </r>
    <r>
      <rPr>
        <sz val="11"/>
        <rFont val="Arial"/>
        <family val="2"/>
      </rPr>
      <t xml:space="preserve"> of foundation length per 1 pile (please note that this amount could be considered as an extra or reduction in price, fill it as a positive value)  </t>
    </r>
    <r>
      <rPr>
        <b/>
        <sz val="11"/>
        <rFont val="Arial"/>
        <family val="2"/>
      </rPr>
      <t>(MANDATORY)</t>
    </r>
  </si>
  <si>
    <r>
      <t xml:space="preserve">Edge Pile: </t>
    </r>
    <r>
      <rPr>
        <b/>
        <sz val="11"/>
        <rFont val="Arial"/>
        <family val="2"/>
      </rPr>
      <t>10 cm</t>
    </r>
    <r>
      <rPr>
        <sz val="11"/>
        <rFont val="Arial"/>
        <family val="2"/>
      </rPr>
      <t xml:space="preserve"> of foundation length per 1 pile (please note that this amount could be considered as an extra or reduction in price, fill it as a positive value) </t>
    </r>
    <r>
      <rPr>
        <b/>
        <sz val="11"/>
        <rFont val="Arial"/>
        <family val="2"/>
      </rPr>
      <t>(MANDATORY)</t>
    </r>
  </si>
  <si>
    <r>
      <t xml:space="preserve">Edge Motor Pile: </t>
    </r>
    <r>
      <rPr>
        <b/>
        <sz val="11"/>
        <rFont val="Arial"/>
        <family val="2"/>
      </rPr>
      <t>10 cm</t>
    </r>
    <r>
      <rPr>
        <sz val="11"/>
        <rFont val="Arial"/>
        <family val="2"/>
      </rPr>
      <t xml:space="preserve"> of foundation length per 1 pile (please note that this amount could be considered as an extra or reduction in price, fill it as a positive value)  </t>
    </r>
    <r>
      <rPr>
        <b/>
        <sz val="11"/>
        <rFont val="Arial"/>
        <family val="2"/>
      </rPr>
      <t>(MANDATORY)</t>
    </r>
  </si>
  <si>
    <r>
      <t xml:space="preserve">External Pile: </t>
    </r>
    <r>
      <rPr>
        <b/>
        <sz val="11"/>
        <rFont val="Arial"/>
        <family val="2"/>
      </rPr>
      <t>10 cm</t>
    </r>
    <r>
      <rPr>
        <sz val="11"/>
        <rFont val="Arial"/>
        <family val="2"/>
      </rPr>
      <t xml:space="preserve"> of foundation length per 1 pile (please note that this amount could be considered as an extra or reduction in price, fill it as a positive value)  </t>
    </r>
    <r>
      <rPr>
        <b/>
        <sz val="11"/>
        <rFont val="Arial"/>
        <family val="2"/>
      </rPr>
      <t>(MANDATORY)</t>
    </r>
  </si>
  <si>
    <r>
      <t xml:space="preserve">External Motor Pile: </t>
    </r>
    <r>
      <rPr>
        <b/>
        <sz val="11"/>
        <rFont val="Arial"/>
        <family val="2"/>
      </rPr>
      <t>10 cm</t>
    </r>
    <r>
      <rPr>
        <sz val="11"/>
        <rFont val="Arial"/>
        <family val="2"/>
      </rPr>
      <t xml:space="preserve"> of foundation length per 1 pile (please note that this amount could be considered as an extra or reduction in price, fill it as a positive value) </t>
    </r>
    <r>
      <rPr>
        <b/>
        <sz val="11"/>
        <rFont val="Arial"/>
        <family val="2"/>
      </rPr>
      <t>(MANDATORY)</t>
    </r>
  </si>
  <si>
    <r>
      <rPr>
        <b/>
        <sz val="11"/>
        <rFont val="Arial"/>
        <family val="2"/>
      </rPr>
      <t>COMMISSIONING</t>
    </r>
    <r>
      <rPr>
        <sz val="11"/>
        <rFont val="Arial"/>
        <family val="2"/>
      </rPr>
      <t xml:space="preserve"> ACTIVITIES  (including trackers and Tracker Front End)</t>
    </r>
  </si>
  <si>
    <t xml:space="preserve">TEMPORARY OPERATION SERVICES (AND TRAINING) </t>
  </si>
  <si>
    <t xml:space="preserve">Supply of spare parts as per Technical Specification </t>
  </si>
  <si>
    <t>FXS1.1</t>
  </si>
  <si>
    <t>FXS1.2</t>
  </si>
  <si>
    <t xml:space="preserve">Warranties </t>
  </si>
  <si>
    <t>FXS3.0</t>
  </si>
  <si>
    <t>E&amp;L Rights
EGP.EEC.S.36.XX.A.00000.00.123</t>
  </si>
  <si>
    <t>FXS3.1</t>
  </si>
  <si>
    <t>FXS3.2</t>
  </si>
  <si>
    <t>TRAINING of EGP Personnel</t>
  </si>
  <si>
    <t>Training for the Installation Company (only in case of Installation done by Other Contractor)</t>
  </si>
  <si>
    <t>Advisory Services during the Installation (Supervision in case of Installation done by Other Contractor))</t>
  </si>
  <si>
    <t>FXS1.3</t>
  </si>
  <si>
    <t>Engineering: Detail Design (as per DPP) &amp; As-Built Design. Include Structural Studies and Tests of Supporting Structures</t>
  </si>
  <si>
    <t>FXS1.4</t>
  </si>
  <si>
    <t>Pull-Out Test</t>
  </si>
  <si>
    <t>FX</t>
  </si>
  <si>
    <t>FXS2</t>
  </si>
  <si>
    <t>Supply (Excluding Transportation)</t>
  </si>
  <si>
    <t>FXS2.1</t>
  </si>
  <si>
    <t>Foundation Supply (Pile)</t>
  </si>
  <si>
    <t>N° Foundation</t>
  </si>
  <si>
    <t>FXS2.2</t>
  </si>
  <si>
    <t>FXS2.3</t>
  </si>
  <si>
    <t>Supply of Supporting Structures as per Standard distance from the Ground (50cm)</t>
  </si>
  <si>
    <t>FXS2.4</t>
  </si>
  <si>
    <t>FXS2.5</t>
  </si>
  <si>
    <t>Spare Material as per technical specification</t>
  </si>
  <si>
    <t>FXS2.6</t>
  </si>
  <si>
    <t>PV Modules FIXING SYSTEM (NUT&amp;BOLT) (This item supersedes item 1</t>
  </si>
  <si>
    <t>FXS2.7</t>
  </si>
  <si>
    <t>FXS2.8</t>
  </si>
  <si>
    <t>FXS2.9</t>
  </si>
  <si>
    <r>
      <rPr>
        <b/>
        <sz val="11"/>
        <rFont val="Arial"/>
        <family val="2"/>
      </rPr>
      <t>COMMISSIONING</t>
    </r>
    <r>
      <rPr>
        <sz val="11"/>
        <rFont val="Arial"/>
        <family val="2"/>
      </rPr>
      <t xml:space="preserve"> ACTIVITIES  (Fixing system)</t>
    </r>
  </si>
  <si>
    <t>Tracker Supply</t>
  </si>
  <si>
    <t>TKI2</t>
  </si>
  <si>
    <t>Electrical Installation of Engines, Electronic System and Cables</t>
  </si>
  <si>
    <t>Installation of the SCADA system (the communication cables from the Conversion Unit to the Control Units / Headtrackers and from the CU to the substation is not included)</t>
  </si>
  <si>
    <t>TKI3</t>
  </si>
  <si>
    <t>PV Modules String Cabling</t>
  </si>
  <si>
    <t>Trackers Supply, Commissioning and Supervision</t>
  </si>
  <si>
    <t>Reference</t>
  </si>
  <si>
    <t>TKS</t>
  </si>
  <si>
    <r>
      <t xml:space="preserve">CONFIGURATION </t>
    </r>
    <r>
      <rPr>
        <b/>
        <i/>
        <sz val="10"/>
        <color rgb="FFFF0000"/>
        <rFont val="Arial Narrow"/>
        <family val="2"/>
      </rPr>
      <t>insert the configuration proposed (1x or 2x or 3x) and indicate if Portrait (P) or Landscape (L) (e.g. 1x30P, 2x15L, etc)</t>
    </r>
  </si>
  <si>
    <t>TKS1</t>
  </si>
  <si>
    <t>General</t>
  </si>
  <si>
    <t>Safety</t>
  </si>
  <si>
    <t>Standard Safety Costs for Commissioning Activities</t>
  </si>
  <si>
    <t>Site Management Cost for Commissioning Activities</t>
  </si>
  <si>
    <t>Insurance for Commissioning Activities</t>
  </si>
  <si>
    <t>Warranties for 10 Years</t>
  </si>
  <si>
    <t>Warranties for 25 Years (Mandatory in case of Wind Tunnel Dimensioning, with exception of the case in which the supplier provides a Report compliant with the Techinical Specification "GRE.EEC.S.25.XX.P.00000.00.047.xx" - paragraph 6 - This item is alternative to item above)</t>
  </si>
  <si>
    <t>TKS2</t>
  </si>
  <si>
    <t>Kg of Steel</t>
  </si>
  <si>
    <t>Supply of Supporting Structures including engines, electronic system and cables as per Standard distance from the Ground (50cm)</t>
  </si>
  <si>
    <t>Increment for Inclusion of Self Powered and backup Tracker Control system</t>
  </si>
  <si>
    <t>Supply of Meteo Station</t>
  </si>
  <si>
    <t>Supply and Installation of the SCADA System (the communication cables from the CU to the trackers and from the cu to the substation is not included)</t>
  </si>
  <si>
    <t>Back-Up Materials as per proposed List</t>
  </si>
  <si>
    <t>Clamps for Glass-Glass PV Modules</t>
  </si>
  <si>
    <t>TKS3</t>
  </si>
  <si>
    <t xml:space="preserve">TRANSPORT </t>
  </si>
  <si>
    <t>Transportation of all the Components and equipment on Site</t>
  </si>
  <si>
    <t>TKS4</t>
  </si>
  <si>
    <t>Other</t>
  </si>
  <si>
    <t>Training to EGP People</t>
  </si>
  <si>
    <t>Commissioning of all the System (SCADA Included)</t>
  </si>
  <si>
    <t>OTKS2</t>
  </si>
  <si>
    <t>Supply of Complete DC Harness Solution for Solar Cables that includes DC Switch Box, Branches, Trunkes, T-Junctions, Fuse Boxes, etc (sizing depending on electrical study)</t>
  </si>
  <si>
    <t>OTKS5</t>
  </si>
  <si>
    <t>Supervision in case of Installation done by Other Contractor</t>
  </si>
  <si>
    <t>Advisory Services during the Installation (Supervision)</t>
  </si>
  <si>
    <t>Training for the Installation Company</t>
  </si>
  <si>
    <t>STRING INVERTER SUPPLY</t>
  </si>
  <si>
    <t xml:space="preserve">GRE.OEM.A.GRE.OEM.A.85.XX.P.00000.00.012.01  </t>
  </si>
  <si>
    <t>BASE WARRANTY CONDITION INVERTER</t>
  </si>
  <si>
    <t>Transportation DDP and Unloading on site of the overall equipment</t>
  </si>
  <si>
    <r>
      <t xml:space="preserve">ENGINEERING </t>
    </r>
    <r>
      <rPr>
        <sz val="10"/>
        <color theme="1"/>
        <rFont val="Calibri"/>
        <family val="2"/>
        <scheme val="minor"/>
      </rPr>
      <t>(executive design)</t>
    </r>
  </si>
  <si>
    <t>STRING INVERTERS</t>
  </si>
  <si>
    <t>Controler box - Data loggers</t>
  </si>
  <si>
    <t>Comunic. System - PV Plant Controller</t>
  </si>
  <si>
    <t>Comunic. System - Control system commun Plant controller</t>
  </si>
  <si>
    <t>Structural Report for Wind, Snow and Eartquake  for the Genio Civile process.</t>
  </si>
  <si>
    <t>Commissioning and Start-UP</t>
  </si>
  <si>
    <t xml:space="preserve">Supply of spare parts SI as per Technical Specification </t>
  </si>
  <si>
    <t>PCU SUPPLY</t>
  </si>
  <si>
    <t xml:space="preserve">Transportation </t>
  </si>
  <si>
    <t>Unloading</t>
  </si>
  <si>
    <t>PCU</t>
  </si>
  <si>
    <t>INVERTER CABINET TYPE 1 (specify name and ac power)</t>
  </si>
  <si>
    <t xml:space="preserve">            LV AUXILIARY PANEL</t>
  </si>
  <si>
    <t xml:space="preserve">            MV PANEL (RMU)</t>
  </si>
  <si>
    <t xml:space="preserve">            INVERTERS</t>
  </si>
  <si>
    <t xml:space="preserve">            Inverter type 1 (specify name and ac power)</t>
  </si>
  <si>
    <t xml:space="preserve">            Inverter type 2 (specify name and ac power)</t>
  </si>
  <si>
    <t xml:space="preserve">            Inverter type 3 (specify name and ac power)</t>
  </si>
  <si>
    <t xml:space="preserve">            LV/MV Transformer </t>
  </si>
  <si>
    <t xml:space="preserve">            Metal Cabinet</t>
  </si>
  <si>
    <t>Oil Retention Tank</t>
  </si>
  <si>
    <t xml:space="preserve">            UPS</t>
  </si>
  <si>
    <t xml:space="preserve">            LV/LV Auxiliary Transformer (specify ac power)</t>
  </si>
  <si>
    <t xml:space="preserve">           Others (other components not reported above)</t>
  </si>
  <si>
    <t>Optional in case of supply not by BOP</t>
  </si>
  <si>
    <t>INVERTER CABINET TYPE 2 (specify name and ac power)</t>
  </si>
  <si>
    <t xml:space="preserve">            MV PANEL</t>
  </si>
  <si>
    <t>n. XX 20 ft from XXX + n. XX 40 ft from XXX</t>
  </si>
  <si>
    <t xml:space="preserve"> Q-Night function</t>
  </si>
  <si>
    <t xml:space="preserve">Q-Night For Inverter Type 1 </t>
  </si>
  <si>
    <t>Q-Night For Inverter Type 2</t>
  </si>
  <si>
    <t>Power Plant Controller</t>
  </si>
  <si>
    <t>Complete monitoring and control system</t>
  </si>
  <si>
    <t>LV/MV Transformer with Biodegradable Oil</t>
  </si>
  <si>
    <r>
      <t xml:space="preserve">ASSEMBLING </t>
    </r>
    <r>
      <rPr>
        <sz val="10"/>
        <rFont val="Calibri"/>
        <family val="2"/>
        <scheme val="minor"/>
      </rPr>
      <t xml:space="preserve">and test, inspections of the overall equipments, </t>
    </r>
  </si>
  <si>
    <t>Cold Commissioning, Hot Commissioning and Start-Up</t>
  </si>
  <si>
    <t>Price/Week</t>
  </si>
  <si>
    <t>12.1</t>
  </si>
  <si>
    <r>
      <t xml:space="preserve">Temporary operation on demand </t>
    </r>
    <r>
      <rPr>
        <sz val="10"/>
        <rFont val="Calibri"/>
        <family val="2"/>
        <scheme val="minor"/>
      </rPr>
      <t>(This item supersedes item 12.2)</t>
    </r>
  </si>
  <si>
    <t>12.2</t>
  </si>
  <si>
    <r>
      <t xml:space="preserve">Temporary operation on site for 3 months </t>
    </r>
    <r>
      <rPr>
        <sz val="10"/>
        <rFont val="Calibri"/>
        <family val="2"/>
        <scheme val="minor"/>
      </rPr>
      <t>(This item supersedes item 12.1)</t>
    </r>
  </si>
  <si>
    <t xml:space="preserve">Supply of spare parts PCU as per Technical Specification </t>
  </si>
  <si>
    <t>voci civili ed elettriche per FX da spostare dal foglio civile</t>
  </si>
  <si>
    <t>FX Installation</t>
  </si>
  <si>
    <t>UNLOADING AND STORAGE OF FIXED STRUTURES</t>
  </si>
  <si>
    <r>
      <t xml:space="preserve">MECHANICAL ASSEMBLY OF FIXED  STRUCTURES (PV PANELS INSTALLATION EXCLUDED)
</t>
    </r>
    <r>
      <rPr>
        <sz val="10"/>
        <rFont val="Arial"/>
        <family val="2"/>
      </rPr>
      <t>Including all materials (e.g. coupling nuts and bolts, anchor bolts with specially provided inserts, expansion bolts, welding materials, shims, etc.) and activities necessary to carry out the mechanical installation (e.g. drillings; renovation of hot-dip galvanizing according to the structure manufacturer, if removed/damaged during installation; any temporary structures or provisional works to ensure stability during assembly; etc.)</t>
    </r>
  </si>
  <si>
    <r>
      <t xml:space="preserve">PRE-DRILED AND RAMMING
</t>
    </r>
    <r>
      <rPr>
        <sz val="10"/>
        <rFont val="Arial"/>
        <family val="2"/>
      </rPr>
      <t>Including all machinery and ancillary activities necessary to carry out the work and testing, as prescribed</t>
    </r>
  </si>
  <si>
    <t>TRASFORMATION CABIN SUPPLY</t>
  </si>
  <si>
    <t>TRANSFORMER CENTER TYPE 1</t>
  </si>
  <si>
    <t>LV PARALLEL PANEL</t>
  </si>
  <si>
    <t>LV AUXILIARY PANEL</t>
  </si>
  <si>
    <t>MV SWITCHGEAR</t>
  </si>
  <si>
    <t>LV/MV Transformer</t>
  </si>
  <si>
    <t>Metal Cabinet</t>
  </si>
  <si>
    <t>UPS</t>
  </si>
  <si>
    <t>LV/LV Auxiliary Transformer (specify ac power)</t>
  </si>
  <si>
    <t>Others (other components not reported above)</t>
  </si>
  <si>
    <t>TRANSFORMER CENTER TYPE 2 - (IF NECESSARY)</t>
  </si>
  <si>
    <t xml:space="preserve">            UPS </t>
  </si>
  <si>
    <t>Supply of spare parts TC for SI as per Technical Specification</t>
  </si>
  <si>
    <t>Process</t>
  </si>
  <si>
    <t>30.01.00.00</t>
  </si>
  <si>
    <t>FIRE FIGHTING</t>
  </si>
  <si>
    <t>GRE.EEC.S.75.IT.E.00000.60.087</t>
  </si>
  <si>
    <t>30.01.02.00</t>
  </si>
  <si>
    <t>30.01.02.02</t>
  </si>
  <si>
    <t>Fire water tank</t>
  </si>
  <si>
    <t>30.01.02.02/10</t>
  </si>
  <si>
    <t>Bolted suction tank with internal liner - galvanized carbon steel - effective capacity 60 m3</t>
  </si>
  <si>
    <t>n.</t>
  </si>
  <si>
    <t>30.01.02.02/11</t>
  </si>
  <si>
    <t>Bolted suction tank with internal liner - galvanized carbon steel - effective capacity 60 m3 - FM Approved</t>
  </si>
  <si>
    <t>30.01.02.02/15</t>
  </si>
  <si>
    <t>Bolted suction tank with internal liner - galvanized carbon steel - effective capacity 150 m3</t>
  </si>
  <si>
    <t>30.01.02.02/16</t>
  </si>
  <si>
    <t>Bolted suction tank with internal liner - galvanized carbon steel - effective capacity 150 m3 - FM Approved</t>
  </si>
  <si>
    <t>30.01.02.02/20</t>
  </si>
  <si>
    <t>Bolted suction tank with internal liner - galvanized carbon steel - effective capacity 250 m3</t>
  </si>
  <si>
    <t>30.01.02.02/21</t>
  </si>
  <si>
    <t>Bolted suction tank with internal liner - galvanized carbon steel - effective capacity 250 m3 - FM Approved</t>
  </si>
  <si>
    <t>30.01.02.02/25</t>
  </si>
  <si>
    <t>Bolted suction tank with internal liner - galvanized carbon steel - effective capacity 350 m3</t>
  </si>
  <si>
    <t>v</t>
  </si>
  <si>
    <t>30.01.02.02/26</t>
  </si>
  <si>
    <t>Bolted suction tank with internal liner - galvanized carbon steel - effective capacity 350 m3 - FM Approved</t>
  </si>
  <si>
    <t>30.01.02.04</t>
  </si>
  <si>
    <t>Fire water pump skid</t>
  </si>
  <si>
    <t>30.01.02.04/05</t>
  </si>
  <si>
    <t>Pump skid with Diesel driven main pump 60 m3/h @ 90m and jockey pump, installed in a container enclosure - EN 12845</t>
  </si>
  <si>
    <t>30.01.02.04/06</t>
  </si>
  <si>
    <t>Pump skid with Diesel driven main pump 60 m3/h @ 90m and jockey pump, installed in a container enclosure - NFPA 20 not listed</t>
  </si>
  <si>
    <t>30.01.02.04/07</t>
  </si>
  <si>
    <t>Pump skid with Diesel driven main pump 60 m3/h @ 90m and jockey pump, installed in a container enclosure - NFPA 20,FM approved</t>
  </si>
  <si>
    <t>30.01.02.04/10</t>
  </si>
  <si>
    <t>Pump skid with 2 Diesel driven main pumps 60 m3/h @ 90m and 2 jockey pumps, installed in a container type enclosure - EN 12845</t>
  </si>
  <si>
    <t>30.01.02.04/11</t>
  </si>
  <si>
    <t>Pump skid with 2 Diesel driven main pumps 60 m3/h @ 90m and 2 jockey pumps, installed in a container type enclosure - NFPA 20 not listed</t>
  </si>
  <si>
    <t>30.01.02.04/12</t>
  </si>
  <si>
    <t>Pump skid with 2 Diesel driven main pumps 60 m3/h @ 90m and 2 jockey pumps, installed in a container type enclosure - NFPA 20, FM Approved</t>
  </si>
  <si>
    <t>30.01.02.04/30</t>
  </si>
  <si>
    <t>Pump skid with 2 Diesel driven main pumps 150 m3/h @ 90m and 2 jockey pumps, installed in a container type enclosure - EN12845</t>
  </si>
  <si>
    <t>30.01.02.04/31</t>
  </si>
  <si>
    <t>Pump skid with 2 Diesel driven main pumps 150 m3/h @ 90m and 2 jockey pumps, installed in a container type enclosure - NFPA 20 not listed</t>
  </si>
  <si>
    <t>30.01.02.04/32</t>
  </si>
  <si>
    <t>Pump skid with 2 Diesel driven main pumps 150 m3/h @ 90m and 2 jockey pumps, installed in a container type enclosure - NFPA 20, FM approved</t>
  </si>
  <si>
    <t>30.01.02.04/50</t>
  </si>
  <si>
    <t>Pump skid with 2 Diesel driven main pumps 250 m3/h @ 90m and 2 jockey pumps, installed in a container type enclosure - EN 12845</t>
  </si>
  <si>
    <t>30.01.02.04/51</t>
  </si>
  <si>
    <t>Pump skid with 2 Diesel driven main pumps 250 m3/h @ 90m and 2 jockey pumps, installed in a container type enclosure - NFPA 20 not listed</t>
  </si>
  <si>
    <t>30.01.02.04/52</t>
  </si>
  <si>
    <t>Pump skid with 2 Diesel driven main pumps 250 m3/h @ 90m and 2 jockey pumps, installed in a container type enclosure - NFPA 20, FM Approved</t>
  </si>
  <si>
    <t>30.01.02.04/70</t>
  </si>
  <si>
    <t>Pump skid with 2 Diesel driven main pumps 350 m3/h @ 90m and 2 jockey pumps, installed in a container type enclosure - EN 12845</t>
  </si>
  <si>
    <t>30.01.02.04/71</t>
  </si>
  <si>
    <t>Pump skid with 2 Diesel driven main pumps 350 m3/h @ 90m and 2 jockey pumps, installed in a container type enclosure - NFPA 20 not listed</t>
  </si>
  <si>
    <t>30.01.02.04/72</t>
  </si>
  <si>
    <t>Pump skid with 2 Diesel driven main pumps 350 m3/h @ 90m and 2 jockey pumps, installed in a container type enclosure - NFPA 20, FM Approved</t>
  </si>
  <si>
    <t>GRE.EEC.S.25.XX.A.00000.00.218.00_EN_Civil_Works</t>
  </si>
  <si>
    <t>30.01.04.00</t>
  </si>
  <si>
    <t>PIPING &amp; VALVES</t>
  </si>
  <si>
    <t>30.01.04.02</t>
  </si>
  <si>
    <t>HDPE pipes</t>
  </si>
  <si>
    <t>30.01.04.02/02</t>
  </si>
  <si>
    <t>HDPE PE100 pipe SDR 11 - outside diameter  110 mm / 4"</t>
  </si>
  <si>
    <t>30.01.04.02/04</t>
  </si>
  <si>
    <t>HDPE PE100 pipe SDR 11 - outside diameter  160 mm / 6"</t>
  </si>
  <si>
    <t>30.01.04.02/06</t>
  </si>
  <si>
    <t>HDPE PE100 pipe SDR 11 - outside diameter  200 mm / 8"</t>
  </si>
  <si>
    <t>30.01.04.02/08</t>
  </si>
  <si>
    <t>HDPE PE100 pipe SDR 11 - outside diameter  250 mm / 10"</t>
  </si>
  <si>
    <t>30.01.04.04</t>
  </si>
  <si>
    <t>Carbon steel pipes</t>
  </si>
  <si>
    <t>30.01.04.04/02</t>
  </si>
  <si>
    <t>Carbon steel pipe DN &lt;=2" - supply, prefabrication and erection</t>
  </si>
  <si>
    <t>30.01.04.04/04</t>
  </si>
  <si>
    <t>Carbon steel pipe DN &gt;2" to 4" - supply and prefabrication</t>
  </si>
  <si>
    <t>30.01.04.04/06</t>
  </si>
  <si>
    <t>Carbon steel pipe DN &gt;2" to 4" - erection</t>
  </si>
  <si>
    <t>30.01.04.04/08</t>
  </si>
  <si>
    <t>Carbon steel pipe DN &gt;4" to 10" - supply and prefabrication</t>
  </si>
  <si>
    <t>30.01.04.04/10</t>
  </si>
  <si>
    <t>Carbon steel pipe DN &gt;4" to 10" - erection</t>
  </si>
  <si>
    <t>30.01.04.06</t>
  </si>
  <si>
    <t>Galvanized carbon steel pipes</t>
  </si>
  <si>
    <t>30.01.04.06/02</t>
  </si>
  <si>
    <t>Galvanized carbon steel pipe DN &lt;=2" - supply, prefabrication and erection</t>
  </si>
  <si>
    <t>30.01.04.06/04</t>
  </si>
  <si>
    <t>Galvanized carbon steel pipe DN &gt;2" to 4" - supply and prefabrication</t>
  </si>
  <si>
    <t>30.01.04.06/06</t>
  </si>
  <si>
    <t>Galvanized carbon steel pipe DN &gt;2" to 4" - erection</t>
  </si>
  <si>
    <t>30.01.04.06/08</t>
  </si>
  <si>
    <t>Galvanized carbon steel pipe DN &gt;4" to 10" - supply and prefabrication</t>
  </si>
  <si>
    <t>30.01.04.06/10</t>
  </si>
  <si>
    <t>Galvanized carbon steel pipe DN &gt;4" to 10" - erection</t>
  </si>
  <si>
    <t>30.01.04.08</t>
  </si>
  <si>
    <t>Pipe supports</t>
  </si>
  <si>
    <t>30.01.04.08/02</t>
  </si>
  <si>
    <t>Galvanized carbos steel supports - prefabricated or "modular supports"</t>
  </si>
  <si>
    <t>30.01.04.10</t>
  </si>
  <si>
    <t>Piping painting</t>
  </si>
  <si>
    <t>30.01.04.10/02</t>
  </si>
  <si>
    <t>Priming and painting of carbon steel pipes</t>
  </si>
  <si>
    <t>30.01.04.10/04</t>
  </si>
  <si>
    <t>Priming and painting of galvanized carbon steel pipes</t>
  </si>
  <si>
    <t>30.01.04.12</t>
  </si>
  <si>
    <t>Piping thermal insulation</t>
  </si>
  <si>
    <t>30.01.04.12/02</t>
  </si>
  <si>
    <t>Thermal inslulation for piping - 50 mm rock wool / 0,8 mm aluminium sheet</t>
  </si>
  <si>
    <t>30.01.04.12/04</t>
  </si>
  <si>
    <t>Thermal inslulation for piping - 80 mm rock wool / 0,8 mm aluminium sheet</t>
  </si>
  <si>
    <t>30.01.04.12/06</t>
  </si>
  <si>
    <t>Thermal inslulation for piping - 100 mm rock wool / 0,8 mm aluminium sheet</t>
  </si>
  <si>
    <t>30.01.04.14</t>
  </si>
  <si>
    <t>Piping electric tracing</t>
  </si>
  <si>
    <t>30.01.04.14/02</t>
  </si>
  <si>
    <t>Electric tracing for metallic pipes - up to DN 25</t>
  </si>
  <si>
    <t>30.01.04.14/04</t>
  </si>
  <si>
    <t>Electric tracing for metallic pipes - DN &gt; 25 and &lt;= 50</t>
  </si>
  <si>
    <t>30.01.04.14/06</t>
  </si>
  <si>
    <t>Electric tracing for metallic pipes - DN &gt; 50 and &lt;= 100</t>
  </si>
  <si>
    <t>30.01.04.14/08</t>
  </si>
  <si>
    <t>Electric tracing for metallic pipes - over DN 100</t>
  </si>
  <si>
    <t>30.01.04.20</t>
  </si>
  <si>
    <t>Valves for fire yard main UNI 10779</t>
  </si>
  <si>
    <t>30.01.04.20/02</t>
  </si>
  <si>
    <t>Gate valve DN80 as per UNI 11443 - NRS</t>
  </si>
  <si>
    <t>30.01.04.20/04</t>
  </si>
  <si>
    <t>Gate valve DN100 as per UNI 11443 - NRS</t>
  </si>
  <si>
    <t>30.01.04.20/06</t>
  </si>
  <si>
    <t>Gate valve DN150 as per UNI 11443 - NRS</t>
  </si>
  <si>
    <t>30.01.04.20/08</t>
  </si>
  <si>
    <t>Gate valve DN200 as per UNI 11443 - NRS</t>
  </si>
  <si>
    <t>30.01.04.20/10</t>
  </si>
  <si>
    <t xml:space="preserve">Gate valve DN250 as per UNI 11443 - NRS </t>
  </si>
  <si>
    <t>30.01.04.22</t>
  </si>
  <si>
    <t>Valves - NFPA design based - OS6Y</t>
  </si>
  <si>
    <t>30.01.04.22/02</t>
  </si>
  <si>
    <t>Gate valve 3" UL/FM - OS&amp;Y</t>
  </si>
  <si>
    <t>30.01.04.22/04</t>
  </si>
  <si>
    <t>Gate valve 4" UL/FM - OS&amp;Y</t>
  </si>
  <si>
    <t>30.01.04.22/06</t>
  </si>
  <si>
    <t>Gate valve 6" UL/FM - OS&amp;Y</t>
  </si>
  <si>
    <t>30.01.04.22/08</t>
  </si>
  <si>
    <t>Gate valve 8" UL/FM - OS&amp;Y</t>
  </si>
  <si>
    <t>30.01.04.24</t>
  </si>
  <si>
    <t>Valves - NFPA design based - NRS with post indicator</t>
  </si>
  <si>
    <t>30.01.04.24/02</t>
  </si>
  <si>
    <t>Gate valve 4" UL/FM, NRS -  with post indicator</t>
  </si>
  <si>
    <t>30.01.04.24/04</t>
  </si>
  <si>
    <t>Gate valve 6" UL/FM, NRS -  with post indicator</t>
  </si>
  <si>
    <t>30.01.04.24/06</t>
  </si>
  <si>
    <t>Gate valve 8" UL/FM, NRS -  with post indicator</t>
  </si>
  <si>
    <t>30.01.06.00</t>
  </si>
  <si>
    <t>30.01.06.02</t>
  </si>
  <si>
    <t>Aboveground hydrants</t>
  </si>
  <si>
    <t>30.01.06.02/02</t>
  </si>
  <si>
    <t>Dry barrel type fire hydrant -  2 hose outlets - EN based design</t>
  </si>
  <si>
    <t>30.01.06.02/03</t>
  </si>
  <si>
    <t>Dry barrel type fire hydrant -  2 hose outlets - NFPA based design</t>
  </si>
  <si>
    <t>30.01.06.02/04</t>
  </si>
  <si>
    <t>Dry barrel type fire hydrant -  2 hose outlets and one pumper outlet - EN based design</t>
  </si>
  <si>
    <t>30.01.06.02/05</t>
  </si>
  <si>
    <t>Dry barrel type fire hydrant -  2 hose outlets and one pumper outlet - NFPA based design</t>
  </si>
  <si>
    <t>30.01.06.04</t>
  </si>
  <si>
    <t>Underground hydrants</t>
  </si>
  <si>
    <t>30.01.06.04/02</t>
  </si>
  <si>
    <t>Buried type fire hydrant - 1 house oulet w/ manhole and duct foot bend</t>
  </si>
  <si>
    <t>30.01.06.06</t>
  </si>
  <si>
    <t>Cabinets for hydrant equioment</t>
  </si>
  <si>
    <t>30.01.06.06/02</t>
  </si>
  <si>
    <t>Cabinet for barrel hydrant equipment</t>
  </si>
  <si>
    <t>30.01.06.06/04</t>
  </si>
  <si>
    <t>Cabinet for underground hydrant equipment</t>
  </si>
  <si>
    <t>30.01.06.08</t>
  </si>
  <si>
    <t>Fire department connections</t>
  </si>
  <si>
    <t>30.01.06.08/02</t>
  </si>
  <si>
    <t>Fire department connection - 1 DN 70 (2 1/2)</t>
  </si>
  <si>
    <t>30.01.06.08/04</t>
  </si>
  <si>
    <t>Fire department connection - 2 DN 70 (2 1/2)</t>
  </si>
  <si>
    <t>30.01.08.10</t>
  </si>
  <si>
    <t>Dry-pipe connections</t>
  </si>
  <si>
    <t>30.01.08.10/02</t>
  </si>
  <si>
    <t>DN 70 (2 1/2) coupling equipped with cap (hose connection dry pipe side)</t>
  </si>
  <si>
    <t>30.01.08.00</t>
  </si>
  <si>
    <t>COMPONENTS FOR WATER SPRAY SYSTEMS</t>
  </si>
  <si>
    <t>30.01.08.02</t>
  </si>
  <si>
    <t>Deluge valves</t>
  </si>
  <si>
    <t>30.01.08.02/02</t>
  </si>
  <si>
    <t>Deluge valve 3" equipped with electric trim and alarm gong</t>
  </si>
  <si>
    <t>Deluge valve 4" equipped with electric trim and alarm gong</t>
  </si>
  <si>
    <t>Deluge valve 6" equipped with electric trim and alarm gong</t>
  </si>
  <si>
    <t>30.01.08.04</t>
  </si>
  <si>
    <t>Control station cabinets</t>
  </si>
  <si>
    <t>30.01.08.04/02</t>
  </si>
  <si>
    <t>Metal insulated cabinet for one deluge valve, with anti freeze protecion</t>
  </si>
  <si>
    <t>30.01.08.04/04</t>
  </si>
  <si>
    <t>etal insulated cabinet for two deluge valves, with anti freeze protecion</t>
  </si>
  <si>
    <t>30.01.08.06</t>
  </si>
  <si>
    <t>Strainers</t>
  </si>
  <si>
    <t>30.01.08.06/02</t>
  </si>
  <si>
    <t>Y tipe strainer - body ductile iron, staniless steel mesh - PN16 - 3"</t>
  </si>
  <si>
    <t>30.01.08.06/04</t>
  </si>
  <si>
    <t>Y tipe strainer - body ductile iron, staniless steel mesh - PN16 - 4"</t>
  </si>
  <si>
    <t>30.01.08.06/06</t>
  </si>
  <si>
    <t>Y tipe straier - body ductile iron, staniless steel mesh - PN16 - 6"</t>
  </si>
  <si>
    <t>30.01.08.08</t>
  </si>
  <si>
    <t>Nozzles</t>
  </si>
  <si>
    <t>30.01.08.08/02</t>
  </si>
  <si>
    <t>Open nozzle with protection cap</t>
  </si>
  <si>
    <t>30.01.10.00</t>
  </si>
  <si>
    <t>COMPONENTS FOR FOAM SYSTEMS</t>
  </si>
  <si>
    <t>30.01.10.02</t>
  </si>
  <si>
    <t>Foam generating mobile units</t>
  </si>
  <si>
    <t>30.01.10.02/02</t>
  </si>
  <si>
    <t>Foam cart</t>
  </si>
  <si>
    <t>30.01.12.00</t>
  </si>
  <si>
    <t>FIRE EXTINGHUISHERS</t>
  </si>
  <si>
    <t>30.01.12.02</t>
  </si>
  <si>
    <t>Portable - powder</t>
  </si>
  <si>
    <t>30.01.12.02/04</t>
  </si>
  <si>
    <t>Portable fire extinghuisher 6 kg</t>
  </si>
  <si>
    <t>30.01.12.04</t>
  </si>
  <si>
    <t>Portable - CO2</t>
  </si>
  <si>
    <t>30.01.12.04/04</t>
  </si>
  <si>
    <t>Portable fire extinghuisher 5 kg</t>
  </si>
  <si>
    <t>30.01.12.06</t>
  </si>
  <si>
    <t>Wheeled - powder</t>
  </si>
  <si>
    <t>30.01.12.06/04</t>
  </si>
  <si>
    <t>Wheeld fire extinghuisher 30 kg</t>
  </si>
  <si>
    <t>30.01.12.08</t>
  </si>
  <si>
    <t>Wheeled - CO2</t>
  </si>
  <si>
    <t>30.01.12.08/04</t>
  </si>
  <si>
    <t>Wheeld fire extinghuisher 50 kg</t>
  </si>
  <si>
    <t>30.01.20.00</t>
  </si>
  <si>
    <t>COMPONENTS FOR FIRE DETECTION SYSTEMS</t>
  </si>
  <si>
    <t>30.01.20.02</t>
  </si>
  <si>
    <t>Fire alarm panels and their accessories</t>
  </si>
  <si>
    <t>30.01.20.02/02</t>
  </si>
  <si>
    <t>Addressable type Fire Alarm Control Panel, 2 detection loops</t>
  </si>
  <si>
    <t>30.01.20.02/04</t>
  </si>
  <si>
    <t>Addressable type Fire Alarm Control Panel, 4 detection loops</t>
  </si>
  <si>
    <t>30.01.20.02/06</t>
  </si>
  <si>
    <t>Addressable type Fire Alarm Control Panel, 6 detection loops</t>
  </si>
  <si>
    <t>30.01.20.02/08</t>
  </si>
  <si>
    <t>Addressable type Fire Alarm Control Panel, 8 detection loops</t>
  </si>
  <si>
    <t>30.01.20.02/20</t>
  </si>
  <si>
    <t>Alarm transmisson device on mobile / land phone network</t>
  </si>
  <si>
    <t>30.01.20.02/22</t>
  </si>
  <si>
    <t>Fiber optic converter device (optical fiber / copper)</t>
  </si>
  <si>
    <t>30.01.20.04</t>
  </si>
  <si>
    <t>Point type smoke detectors</t>
  </si>
  <si>
    <t>30.01.20.04/02</t>
  </si>
  <si>
    <t>Addressable point type smoke detectors with base</t>
  </si>
  <si>
    <t>30.01.20.06</t>
  </si>
  <si>
    <t>Point type heat detectors (electro mechanical type)</t>
  </si>
  <si>
    <t>30.01.20.06/02</t>
  </si>
  <si>
    <t>Analog point type heat detectors - electro mechanical type</t>
  </si>
  <si>
    <t>30.01.20.08</t>
  </si>
  <si>
    <t>Point type heat detectors</t>
  </si>
  <si>
    <t>30.01.20.08/02</t>
  </si>
  <si>
    <t>Adressable point type heat detector</t>
  </si>
  <si>
    <t>30.01.20.10</t>
  </si>
  <si>
    <t>Multi sensor fire detectors</t>
  </si>
  <si>
    <t>30.01.20.10/02</t>
  </si>
  <si>
    <t>Addressable point type combined heat and smoke detectors</t>
  </si>
  <si>
    <t>30.01.20.12</t>
  </si>
  <si>
    <t>Repeaters</t>
  </si>
  <si>
    <t>30.01.20.12/02</t>
  </si>
  <si>
    <t>Signal status repeater for detectors normally not accessible (false floor / cieling, etc)</t>
  </si>
  <si>
    <t>30.01.20.20</t>
  </si>
  <si>
    <t>Manual call points</t>
  </si>
  <si>
    <t>30.01.20.20/02</t>
  </si>
  <si>
    <t>Addressable manual call point - indoor installation</t>
  </si>
  <si>
    <t>30.01.20.20/04</t>
  </si>
  <si>
    <t>Addressable type manual call point, outdoor installation</t>
  </si>
  <si>
    <t>30.01.20.20/06</t>
  </si>
  <si>
    <t>Support pole for manual call point - outdoor installation</t>
  </si>
  <si>
    <t>30.01.20.22</t>
  </si>
  <si>
    <t>Fire alarm devices</t>
  </si>
  <si>
    <t>30.01.20.22/02</t>
  </si>
  <si>
    <t>High power acoustic horn and strobe light (combined or not device) for outdoor use, 120 dB sound pressure level @ 1m</t>
  </si>
  <si>
    <t>30.01.20.22/04</t>
  </si>
  <si>
    <t>Acoustic horn and strobe light - combined or not  -  for internal use</t>
  </si>
  <si>
    <t>30.01.20.24</t>
  </si>
  <si>
    <t>I(0 modules</t>
  </si>
  <si>
    <t>30.01.20.24/02</t>
  </si>
  <si>
    <t>I/O module to connect analog input devices to addressable systems - 2 I/O</t>
  </si>
  <si>
    <t>30.01.20.24/04</t>
  </si>
  <si>
    <t>I/O module to connect analog input devices to addressable systems - 4 I/O</t>
  </si>
  <si>
    <t>30.01.20.24/06</t>
  </si>
  <si>
    <t>I/O module to connect analog input devices to addressable systems - 4 to 6 I/O</t>
  </si>
  <si>
    <t>30.01.20.24/08</t>
  </si>
  <si>
    <t>I/O module to connect analog input devices to addressable systems - 6  to 10 I/O</t>
  </si>
  <si>
    <t>30.01.22.00</t>
  </si>
  <si>
    <t>CABLES FOR FIRE DETECTION SYSTEMS</t>
  </si>
  <si>
    <t>30.01.22.02</t>
  </si>
  <si>
    <t>Fiber optic cables</t>
  </si>
  <si>
    <t>30.01.22.02/02</t>
  </si>
  <si>
    <t>Fiber optic cable MM OM4 50/125 mm, 4 fibers - for interconnection among FACPs</t>
  </si>
  <si>
    <t>30.01.22.02/04</t>
  </si>
  <si>
    <t>Fiber optic cable SM OS2 9/125 mm, 4 fibers - for interconnection among FACPs</t>
  </si>
  <si>
    <t>30.01.22.04</t>
  </si>
  <si>
    <t>Cables for fire detection systems</t>
  </si>
  <si>
    <t>30.01.22.04/02</t>
  </si>
  <si>
    <t>2 x 1 mm2 twisted pair shielded - according to CEI 20-105 and UNI 9795</t>
  </si>
  <si>
    <t>30.01.22.04/04</t>
  </si>
  <si>
    <t>4 x 1 mm2 twisted pair shielded - according to CEI 20-105 and UNI 9795</t>
  </si>
  <si>
    <t>30.01.22.04/06</t>
  </si>
  <si>
    <t>2 x 1 mm2 twisted pair shielded - local standard</t>
  </si>
  <si>
    <t>30.01.22.04/08</t>
  </si>
  <si>
    <t>4 x 1 mm2 twisted pair shielded - local standard</t>
  </si>
  <si>
    <t>30.01.24.06</t>
  </si>
  <si>
    <t>Conduit</t>
  </si>
  <si>
    <t>30.01.24.06/02</t>
  </si>
  <si>
    <t>Metal conduit DN25</t>
  </si>
  <si>
    <t>30.02.00.00</t>
  </si>
  <si>
    <t>30.02.01.00</t>
  </si>
  <si>
    <t>RAIN WATER PACKAGE</t>
  </si>
  <si>
    <t>30.02.01.01</t>
  </si>
  <si>
    <t>Discontinous first rain water management package</t>
  </si>
  <si>
    <t>30.02.01.01/02</t>
  </si>
  <si>
    <r>
      <t xml:space="preserve">Discontinous first rain water management package for draining surface (s) </t>
    </r>
    <r>
      <rPr>
        <sz val="11"/>
        <color rgb="FF000000"/>
        <rFont val="Aptos Narrow"/>
        <family val="2"/>
      </rPr>
      <t>≤</t>
    </r>
    <r>
      <rPr>
        <sz val="11"/>
        <color rgb="FF000000"/>
        <rFont val="Arial"/>
        <family val="2"/>
      </rPr>
      <t>500 m</t>
    </r>
    <r>
      <rPr>
        <vertAlign val="superscript"/>
        <sz val="11"/>
        <color rgb="FF000000"/>
        <rFont val="Arial"/>
        <family val="2"/>
      </rPr>
      <t>2</t>
    </r>
  </si>
  <si>
    <t>30.02.01.01/04</t>
  </si>
  <si>
    <r>
      <t>Discontinous first rain water management package for draining surface 500&lt;(s)</t>
    </r>
    <r>
      <rPr>
        <sz val="11"/>
        <color rgb="FF000000"/>
        <rFont val="Aptos Narrow"/>
        <family val="2"/>
      </rPr>
      <t>≤</t>
    </r>
    <r>
      <rPr>
        <sz val="11"/>
        <color rgb="FF000000"/>
        <rFont val="Arial"/>
        <family val="2"/>
      </rPr>
      <t>1000 m</t>
    </r>
    <r>
      <rPr>
        <vertAlign val="superscript"/>
        <sz val="11"/>
        <color rgb="FF000000"/>
        <rFont val="Arial"/>
        <family val="2"/>
      </rPr>
      <t>2</t>
    </r>
  </si>
  <si>
    <t>30.02.01.01/06</t>
  </si>
  <si>
    <r>
      <t>Discontinous first rain water management package for draining surface 1000&lt;(s)</t>
    </r>
    <r>
      <rPr>
        <sz val="11"/>
        <color rgb="FF000000"/>
        <rFont val="Aptos Narrow"/>
        <family val="2"/>
      </rPr>
      <t>≤</t>
    </r>
    <r>
      <rPr>
        <sz val="11"/>
        <color rgb="FF000000"/>
        <rFont val="Arial"/>
        <family val="2"/>
      </rPr>
      <t>1500 m</t>
    </r>
    <r>
      <rPr>
        <vertAlign val="superscript"/>
        <sz val="11"/>
        <color rgb="FF000000"/>
        <rFont val="Arial"/>
        <family val="2"/>
      </rPr>
      <t>2</t>
    </r>
  </si>
  <si>
    <t>30.02.01.01/08</t>
  </si>
  <si>
    <r>
      <t>Discontinous first rain water management package for draining surface 1500&lt;(s)</t>
    </r>
    <r>
      <rPr>
        <sz val="11"/>
        <color rgb="FF000000"/>
        <rFont val="Aptos Narrow"/>
        <family val="2"/>
      </rPr>
      <t>≤</t>
    </r>
    <r>
      <rPr>
        <sz val="11"/>
        <color rgb="FF000000"/>
        <rFont val="Arial"/>
        <family val="2"/>
      </rPr>
      <t>2000 m</t>
    </r>
    <r>
      <rPr>
        <vertAlign val="superscript"/>
        <sz val="11"/>
        <color rgb="FF000000"/>
        <rFont val="Arial"/>
        <family val="2"/>
      </rPr>
      <t>2</t>
    </r>
  </si>
  <si>
    <t>30.02.01.01/10</t>
  </si>
  <si>
    <r>
      <t>Discontinous first rain water management package for draining surface 2000&lt;(s)</t>
    </r>
    <r>
      <rPr>
        <sz val="11"/>
        <color rgb="FF000000"/>
        <rFont val="Aptos Narrow"/>
        <family val="2"/>
      </rPr>
      <t>≤</t>
    </r>
    <r>
      <rPr>
        <sz val="11"/>
        <color rgb="FF000000"/>
        <rFont val="Arial"/>
        <family val="2"/>
      </rPr>
      <t>2500 m</t>
    </r>
    <r>
      <rPr>
        <vertAlign val="superscript"/>
        <sz val="11"/>
        <color rgb="FF000000"/>
        <rFont val="Arial"/>
        <family val="2"/>
      </rPr>
      <t>2</t>
    </r>
  </si>
  <si>
    <t>30.02.01.01/12</t>
  </si>
  <si>
    <r>
      <t>Discontinous first rain water management package for draining surface 2500&lt;(s)</t>
    </r>
    <r>
      <rPr>
        <sz val="11"/>
        <color rgb="FF000000"/>
        <rFont val="Aptos Narrow"/>
        <family val="2"/>
      </rPr>
      <t>≤</t>
    </r>
    <r>
      <rPr>
        <sz val="11"/>
        <color rgb="FF000000"/>
        <rFont val="Arial"/>
        <family val="2"/>
      </rPr>
      <t>3000 m</t>
    </r>
    <r>
      <rPr>
        <vertAlign val="superscript"/>
        <sz val="11"/>
        <color rgb="FF000000"/>
        <rFont val="Arial"/>
        <family val="2"/>
      </rPr>
      <t>2</t>
    </r>
  </si>
  <si>
    <t>30.02.01.01/14</t>
  </si>
  <si>
    <r>
      <t>Discontinous first rain water management package for draining surface 3000&lt;(s)</t>
    </r>
    <r>
      <rPr>
        <sz val="11"/>
        <color rgb="FF000000"/>
        <rFont val="Aptos Narrow"/>
        <family val="2"/>
      </rPr>
      <t>≤</t>
    </r>
    <r>
      <rPr>
        <sz val="11"/>
        <color rgb="FF000000"/>
        <rFont val="Arial"/>
        <family val="2"/>
      </rPr>
      <t>3500 m</t>
    </r>
    <r>
      <rPr>
        <vertAlign val="superscript"/>
        <sz val="11"/>
        <color rgb="FF000000"/>
        <rFont val="Arial"/>
        <family val="2"/>
      </rPr>
      <t>2</t>
    </r>
  </si>
  <si>
    <t>30.02.01.01/16</t>
  </si>
  <si>
    <r>
      <t>Discontinous first rain water management package for draining surface 3500&lt;(s)</t>
    </r>
    <r>
      <rPr>
        <sz val="11"/>
        <color rgb="FF000000"/>
        <rFont val="Aptos Narrow"/>
        <family val="2"/>
      </rPr>
      <t>≤</t>
    </r>
    <r>
      <rPr>
        <sz val="11"/>
        <color rgb="FF000000"/>
        <rFont val="Arial"/>
        <family val="2"/>
      </rPr>
      <t>4000 m</t>
    </r>
    <r>
      <rPr>
        <vertAlign val="superscript"/>
        <sz val="11"/>
        <color rgb="FF000000"/>
        <rFont val="Arial"/>
        <family val="2"/>
      </rPr>
      <t>2</t>
    </r>
  </si>
  <si>
    <t>30.02.01.01/18</t>
  </si>
  <si>
    <r>
      <t>Discontinous first rain water management package for draining surface 4000&lt;(s)</t>
    </r>
    <r>
      <rPr>
        <sz val="11"/>
        <color rgb="FF000000"/>
        <rFont val="Aptos Narrow"/>
        <family val="2"/>
      </rPr>
      <t>≤</t>
    </r>
    <r>
      <rPr>
        <sz val="11"/>
        <color rgb="FF000000"/>
        <rFont val="Arial"/>
        <family val="2"/>
      </rPr>
      <t>4500 m</t>
    </r>
    <r>
      <rPr>
        <vertAlign val="superscript"/>
        <sz val="11"/>
        <color rgb="FF000000"/>
        <rFont val="Arial"/>
        <family val="2"/>
      </rPr>
      <t>2</t>
    </r>
  </si>
  <si>
    <t>30.02.01.01/20</t>
  </si>
  <si>
    <r>
      <t>Discontinous first rain water management package for draining surface 4500&lt;(s)</t>
    </r>
    <r>
      <rPr>
        <sz val="11"/>
        <color rgb="FF000000"/>
        <rFont val="Aptos Narrow"/>
        <family val="2"/>
      </rPr>
      <t>≤</t>
    </r>
    <r>
      <rPr>
        <sz val="11"/>
        <color rgb="FF000000"/>
        <rFont val="Arial"/>
        <family val="2"/>
      </rPr>
      <t>5000 m</t>
    </r>
    <r>
      <rPr>
        <vertAlign val="superscript"/>
        <sz val="11"/>
        <color rgb="FF000000"/>
        <rFont val="Arial"/>
        <family val="2"/>
      </rPr>
      <t>2</t>
    </r>
  </si>
  <si>
    <t>30.02.01.01/22</t>
  </si>
  <si>
    <r>
      <t>Discontinous first rain water management package for draining surface 5000&lt;(s)</t>
    </r>
    <r>
      <rPr>
        <sz val="11"/>
        <color rgb="FF000000"/>
        <rFont val="Aptos Narrow"/>
        <family val="2"/>
      </rPr>
      <t>≤</t>
    </r>
    <r>
      <rPr>
        <sz val="11"/>
        <color rgb="FF000000"/>
        <rFont val="Arial"/>
        <family val="2"/>
      </rPr>
      <t>5500 m</t>
    </r>
    <r>
      <rPr>
        <vertAlign val="superscript"/>
        <sz val="11"/>
        <color rgb="FF000000"/>
        <rFont val="Arial"/>
        <family val="2"/>
      </rPr>
      <t>2</t>
    </r>
  </si>
  <si>
    <t>30.02.01.01/24</t>
  </si>
  <si>
    <r>
      <t>Discontinous first rain water management package for draining surface 5500&lt;(s)</t>
    </r>
    <r>
      <rPr>
        <sz val="11"/>
        <color rgb="FF000000"/>
        <rFont val="Aptos Narrow"/>
        <family val="2"/>
      </rPr>
      <t>≤</t>
    </r>
    <r>
      <rPr>
        <sz val="11"/>
        <color rgb="FF000000"/>
        <rFont val="Arial"/>
        <family val="2"/>
      </rPr>
      <t>6000 m</t>
    </r>
    <r>
      <rPr>
        <vertAlign val="superscript"/>
        <sz val="11"/>
        <color rgb="FF000000"/>
        <rFont val="Arial"/>
        <family val="2"/>
      </rPr>
      <t>2</t>
    </r>
  </si>
  <si>
    <t>30.02.01.01/26</t>
  </si>
  <si>
    <r>
      <t>Discontinous first rain water management package for draining surface 6000&lt;(s)</t>
    </r>
    <r>
      <rPr>
        <sz val="11"/>
        <color rgb="FF000000"/>
        <rFont val="Aptos Narrow"/>
        <family val="2"/>
      </rPr>
      <t>≤</t>
    </r>
    <r>
      <rPr>
        <sz val="11"/>
        <color rgb="FF000000"/>
        <rFont val="Arial"/>
        <family val="2"/>
      </rPr>
      <t>6500 m</t>
    </r>
    <r>
      <rPr>
        <vertAlign val="superscript"/>
        <sz val="11"/>
        <color rgb="FF000000"/>
        <rFont val="Arial"/>
        <family val="2"/>
      </rPr>
      <t>2</t>
    </r>
  </si>
  <si>
    <t>30.02.01.01/28</t>
  </si>
  <si>
    <r>
      <t>Discontinous first rain water management package for draining surface 6500&lt;(s)</t>
    </r>
    <r>
      <rPr>
        <sz val="11"/>
        <color rgb="FF000000"/>
        <rFont val="Aptos Narrow"/>
        <family val="2"/>
      </rPr>
      <t>≤</t>
    </r>
    <r>
      <rPr>
        <sz val="11"/>
        <color rgb="FF000000"/>
        <rFont val="Arial"/>
        <family val="2"/>
      </rPr>
      <t>7000 m</t>
    </r>
    <r>
      <rPr>
        <vertAlign val="superscript"/>
        <sz val="11"/>
        <color rgb="FF000000"/>
        <rFont val="Arial"/>
        <family val="2"/>
      </rPr>
      <t>2</t>
    </r>
  </si>
  <si>
    <t>30.02.01.01/30</t>
  </si>
  <si>
    <r>
      <t>Discontinous first rain water management package for draining surface 7000&lt;(s)</t>
    </r>
    <r>
      <rPr>
        <sz val="11"/>
        <color rgb="FF000000"/>
        <rFont val="Aptos Narrow"/>
        <family val="2"/>
      </rPr>
      <t>≤</t>
    </r>
    <r>
      <rPr>
        <sz val="11"/>
        <color rgb="FF000000"/>
        <rFont val="Arial"/>
        <family val="2"/>
      </rPr>
      <t>7500 m</t>
    </r>
    <r>
      <rPr>
        <vertAlign val="superscript"/>
        <sz val="11"/>
        <color rgb="FF000000"/>
        <rFont val="Arial"/>
        <family val="2"/>
      </rPr>
      <t>2</t>
    </r>
  </si>
  <si>
    <t>30.02.01.01/32</t>
  </si>
  <si>
    <r>
      <t>Discontinous first rain water management package for draining surface 7500&lt;(s)</t>
    </r>
    <r>
      <rPr>
        <sz val="11"/>
        <color rgb="FF000000"/>
        <rFont val="Aptos Narrow"/>
        <family val="2"/>
      </rPr>
      <t>≤</t>
    </r>
    <r>
      <rPr>
        <sz val="11"/>
        <color rgb="FF000000"/>
        <rFont val="Arial"/>
        <family val="2"/>
      </rPr>
      <t>8000 m</t>
    </r>
    <r>
      <rPr>
        <vertAlign val="superscript"/>
        <sz val="11"/>
        <color rgb="FF000000"/>
        <rFont val="Arial"/>
        <family val="2"/>
      </rPr>
      <t>2</t>
    </r>
  </si>
  <si>
    <t>30.02.01.01/34</t>
  </si>
  <si>
    <r>
      <t>Discontinous first rain water management package for draining surface 8000&lt;(s)</t>
    </r>
    <r>
      <rPr>
        <sz val="11"/>
        <color rgb="FF000000"/>
        <rFont val="Aptos Narrow"/>
        <family val="2"/>
      </rPr>
      <t>≤8</t>
    </r>
    <r>
      <rPr>
        <sz val="11"/>
        <color rgb="FF000000"/>
        <rFont val="Arial"/>
        <family val="2"/>
      </rPr>
      <t>500 m</t>
    </r>
    <r>
      <rPr>
        <vertAlign val="superscript"/>
        <sz val="11"/>
        <color rgb="FF000000"/>
        <rFont val="Arial"/>
        <family val="2"/>
      </rPr>
      <t>2</t>
    </r>
  </si>
  <si>
    <t>30.02.01.01/36</t>
  </si>
  <si>
    <r>
      <t>Discontinous first rain water management package for draining surface 8500&lt;(s)</t>
    </r>
    <r>
      <rPr>
        <sz val="11"/>
        <color rgb="FF000000"/>
        <rFont val="Aptos Narrow"/>
        <family val="2"/>
      </rPr>
      <t>≤</t>
    </r>
    <r>
      <rPr>
        <sz val="11"/>
        <color rgb="FF000000"/>
        <rFont val="Arial"/>
        <family val="2"/>
      </rPr>
      <t>9000 m</t>
    </r>
    <r>
      <rPr>
        <vertAlign val="superscript"/>
        <sz val="11"/>
        <color rgb="FF000000"/>
        <rFont val="Arial"/>
        <family val="2"/>
      </rPr>
      <t>2</t>
    </r>
  </si>
  <si>
    <t>30.02.01.01/38</t>
  </si>
  <si>
    <r>
      <t>Discontinous first rain water management package for draining surface 9000&lt;(s)</t>
    </r>
    <r>
      <rPr>
        <sz val="11"/>
        <color rgb="FF000000"/>
        <rFont val="Aptos Narrow"/>
        <family val="2"/>
      </rPr>
      <t>≤</t>
    </r>
    <r>
      <rPr>
        <sz val="11"/>
        <color rgb="FF000000"/>
        <rFont val="Arial"/>
        <family val="2"/>
      </rPr>
      <t>9500 m</t>
    </r>
    <r>
      <rPr>
        <vertAlign val="superscript"/>
        <sz val="11"/>
        <color rgb="FF000000"/>
        <rFont val="Arial"/>
        <family val="2"/>
      </rPr>
      <t>2</t>
    </r>
  </si>
  <si>
    <t>30.02.01.01/40</t>
  </si>
  <si>
    <r>
      <t>Discontinous first rain water management package for draining surface 9500&lt;(s)</t>
    </r>
    <r>
      <rPr>
        <sz val="11"/>
        <color rgb="FF000000"/>
        <rFont val="Aptos Narrow"/>
        <family val="2"/>
      </rPr>
      <t>≤</t>
    </r>
    <r>
      <rPr>
        <sz val="11"/>
        <color rgb="FF000000"/>
        <rFont val="Arial"/>
        <family val="2"/>
      </rPr>
      <t>10000 m</t>
    </r>
    <r>
      <rPr>
        <vertAlign val="superscript"/>
        <sz val="11"/>
        <color rgb="FF000000"/>
        <rFont val="Arial"/>
        <family val="2"/>
      </rPr>
      <t>2</t>
    </r>
  </si>
  <si>
    <t>30.02.01.01/42</t>
  </si>
  <si>
    <r>
      <t>Discontinous first rain water management package for draining surface (s)</t>
    </r>
    <r>
      <rPr>
        <sz val="11"/>
        <color rgb="FF000000"/>
        <rFont val="Aptos Narrow"/>
        <family val="2"/>
      </rPr>
      <t>≥100</t>
    </r>
    <r>
      <rPr>
        <sz val="11"/>
        <color rgb="FF000000"/>
        <rFont val="Arial"/>
        <family val="2"/>
      </rPr>
      <t>00 m</t>
    </r>
    <r>
      <rPr>
        <vertAlign val="superscript"/>
        <sz val="11"/>
        <color rgb="FF000000"/>
        <rFont val="Arial"/>
        <family val="2"/>
      </rPr>
      <t>2</t>
    </r>
  </si>
  <si>
    <t>30.02.01.02</t>
  </si>
  <si>
    <t>Continous rain water management package</t>
  </si>
  <si>
    <t>30.02.01.02/02</t>
  </si>
  <si>
    <r>
      <t xml:space="preserve">Continous rain water management package for draining surface (s) </t>
    </r>
    <r>
      <rPr>
        <sz val="11"/>
        <color rgb="FF000000"/>
        <rFont val="Aptos Narrow"/>
        <family val="2"/>
      </rPr>
      <t>≤</t>
    </r>
    <r>
      <rPr>
        <sz val="11"/>
        <color rgb="FF000000"/>
        <rFont val="Arial"/>
        <family val="2"/>
      </rPr>
      <t>500 m</t>
    </r>
    <r>
      <rPr>
        <vertAlign val="superscript"/>
        <sz val="11"/>
        <color rgb="FF000000"/>
        <rFont val="Arial"/>
        <family val="2"/>
      </rPr>
      <t>2</t>
    </r>
  </si>
  <si>
    <t>30.02.01.02/04</t>
  </si>
  <si>
    <r>
      <t>Continous rain water management package for draining surface 500&lt;(s)</t>
    </r>
    <r>
      <rPr>
        <sz val="11"/>
        <color rgb="FF000000"/>
        <rFont val="Aptos Narrow"/>
        <family val="2"/>
      </rPr>
      <t>≤</t>
    </r>
    <r>
      <rPr>
        <sz val="11"/>
        <color rgb="FF000000"/>
        <rFont val="Arial"/>
        <family val="2"/>
      </rPr>
      <t>1000 m</t>
    </r>
    <r>
      <rPr>
        <vertAlign val="superscript"/>
        <sz val="11"/>
        <color rgb="FF000000"/>
        <rFont val="Arial"/>
        <family val="2"/>
      </rPr>
      <t>2</t>
    </r>
  </si>
  <si>
    <t>30.02.01.02/06</t>
  </si>
  <si>
    <r>
      <t>Continous rain water management package for draining surface 1000&lt;(s)</t>
    </r>
    <r>
      <rPr>
        <sz val="11"/>
        <color rgb="FF000000"/>
        <rFont val="Aptos Narrow"/>
        <family val="2"/>
      </rPr>
      <t>≤</t>
    </r>
    <r>
      <rPr>
        <sz val="11"/>
        <color rgb="FF000000"/>
        <rFont val="Arial"/>
        <family val="2"/>
      </rPr>
      <t>1500 m</t>
    </r>
    <r>
      <rPr>
        <vertAlign val="superscript"/>
        <sz val="11"/>
        <color rgb="FF000000"/>
        <rFont val="Arial"/>
        <family val="2"/>
      </rPr>
      <t>2</t>
    </r>
  </si>
  <si>
    <t>30.02.01.02/08</t>
  </si>
  <si>
    <r>
      <t>Continous rain water management package for draining surface 1500&lt;(s)</t>
    </r>
    <r>
      <rPr>
        <sz val="11"/>
        <color rgb="FF000000"/>
        <rFont val="Aptos Narrow"/>
        <family val="2"/>
      </rPr>
      <t>≤</t>
    </r>
    <r>
      <rPr>
        <sz val="11"/>
        <color rgb="FF000000"/>
        <rFont val="Arial"/>
        <family val="2"/>
      </rPr>
      <t>2000 m</t>
    </r>
    <r>
      <rPr>
        <vertAlign val="superscript"/>
        <sz val="11"/>
        <color rgb="FF000000"/>
        <rFont val="Arial"/>
        <family val="2"/>
      </rPr>
      <t>2</t>
    </r>
  </si>
  <si>
    <t>30.02.01.02/10</t>
  </si>
  <si>
    <r>
      <t>Continous rain water management package for draining surface 2000&lt;(s)</t>
    </r>
    <r>
      <rPr>
        <sz val="11"/>
        <color rgb="FF000000"/>
        <rFont val="Aptos Narrow"/>
        <family val="2"/>
      </rPr>
      <t>≤</t>
    </r>
    <r>
      <rPr>
        <sz val="11"/>
        <color rgb="FF000000"/>
        <rFont val="Arial"/>
        <family val="2"/>
      </rPr>
      <t>2500 m</t>
    </r>
    <r>
      <rPr>
        <vertAlign val="superscript"/>
        <sz val="11"/>
        <color rgb="FF000000"/>
        <rFont val="Arial"/>
        <family val="2"/>
      </rPr>
      <t>2</t>
    </r>
  </si>
  <si>
    <t>30.02.01.02/12</t>
  </si>
  <si>
    <r>
      <t>Continous rain water management package for draining surface 2500&lt;(s)</t>
    </r>
    <r>
      <rPr>
        <sz val="11"/>
        <color rgb="FF000000"/>
        <rFont val="Aptos Narrow"/>
        <family val="2"/>
      </rPr>
      <t>≤</t>
    </r>
    <r>
      <rPr>
        <sz val="11"/>
        <color rgb="FF000000"/>
        <rFont val="Arial"/>
        <family val="2"/>
      </rPr>
      <t>3000 m</t>
    </r>
    <r>
      <rPr>
        <vertAlign val="superscript"/>
        <sz val="11"/>
        <color rgb="FF000000"/>
        <rFont val="Arial"/>
        <family val="2"/>
      </rPr>
      <t>2</t>
    </r>
  </si>
  <si>
    <t>30.02.01.02/14</t>
  </si>
  <si>
    <r>
      <t>Continous rain water management package for draining surface 3000&lt;(s)</t>
    </r>
    <r>
      <rPr>
        <sz val="11"/>
        <color rgb="FF000000"/>
        <rFont val="Aptos Narrow"/>
        <family val="2"/>
      </rPr>
      <t>≤</t>
    </r>
    <r>
      <rPr>
        <sz val="11"/>
        <color rgb="FF000000"/>
        <rFont val="Arial"/>
        <family val="2"/>
      </rPr>
      <t>3500 m</t>
    </r>
    <r>
      <rPr>
        <vertAlign val="superscript"/>
        <sz val="11"/>
        <color rgb="FF000000"/>
        <rFont val="Arial"/>
        <family val="2"/>
      </rPr>
      <t>2</t>
    </r>
  </si>
  <si>
    <t>30.02.01.02/16</t>
  </si>
  <si>
    <r>
      <t>Continous rain water management package for draining surface 3500&lt;(s)</t>
    </r>
    <r>
      <rPr>
        <sz val="11"/>
        <color rgb="FF000000"/>
        <rFont val="Aptos Narrow"/>
        <family val="2"/>
      </rPr>
      <t>≤</t>
    </r>
    <r>
      <rPr>
        <sz val="11"/>
        <color rgb="FF000000"/>
        <rFont val="Arial"/>
        <family val="2"/>
      </rPr>
      <t>4000 m</t>
    </r>
    <r>
      <rPr>
        <vertAlign val="superscript"/>
        <sz val="11"/>
        <color rgb="FF000000"/>
        <rFont val="Arial"/>
        <family val="2"/>
      </rPr>
      <t>2</t>
    </r>
  </si>
  <si>
    <t>30.02.01.02/18</t>
  </si>
  <si>
    <r>
      <t>Continous rain water management package for draining surface 4000&lt;(s)</t>
    </r>
    <r>
      <rPr>
        <sz val="11"/>
        <color rgb="FF000000"/>
        <rFont val="Aptos Narrow"/>
        <family val="2"/>
      </rPr>
      <t>≤</t>
    </r>
    <r>
      <rPr>
        <sz val="11"/>
        <color rgb="FF000000"/>
        <rFont val="Arial"/>
        <family val="2"/>
      </rPr>
      <t>4500 m</t>
    </r>
    <r>
      <rPr>
        <vertAlign val="superscript"/>
        <sz val="11"/>
        <color rgb="FF000000"/>
        <rFont val="Arial"/>
        <family val="2"/>
      </rPr>
      <t>2</t>
    </r>
  </si>
  <si>
    <t>30.02.01.02/20</t>
  </si>
  <si>
    <r>
      <t>Continous rain water management package for draining surface 4500&lt;(s)</t>
    </r>
    <r>
      <rPr>
        <sz val="11"/>
        <color rgb="FF000000"/>
        <rFont val="Aptos Narrow"/>
        <family val="2"/>
      </rPr>
      <t>≤</t>
    </r>
    <r>
      <rPr>
        <sz val="11"/>
        <color rgb="FF000000"/>
        <rFont val="Arial"/>
        <family val="2"/>
      </rPr>
      <t>5000 m</t>
    </r>
    <r>
      <rPr>
        <vertAlign val="superscript"/>
        <sz val="11"/>
        <color rgb="FF000000"/>
        <rFont val="Arial"/>
        <family val="2"/>
      </rPr>
      <t>2</t>
    </r>
  </si>
  <si>
    <t>30.02.01.02/22</t>
  </si>
  <si>
    <r>
      <t>Continous rain water management package for draining surface 5000&lt;(s)</t>
    </r>
    <r>
      <rPr>
        <sz val="11"/>
        <color rgb="FF000000"/>
        <rFont val="Aptos Narrow"/>
        <family val="2"/>
      </rPr>
      <t>≤</t>
    </r>
    <r>
      <rPr>
        <sz val="11"/>
        <color rgb="FF000000"/>
        <rFont val="Arial"/>
        <family val="2"/>
      </rPr>
      <t>5500 m</t>
    </r>
    <r>
      <rPr>
        <vertAlign val="superscript"/>
        <sz val="11"/>
        <color rgb="FF000000"/>
        <rFont val="Arial"/>
        <family val="2"/>
      </rPr>
      <t>2</t>
    </r>
  </si>
  <si>
    <t>30.02.01.02/24</t>
  </si>
  <si>
    <r>
      <t>Continous rain water management package for draining surface 5500&lt;(s)</t>
    </r>
    <r>
      <rPr>
        <sz val="11"/>
        <color rgb="FF000000"/>
        <rFont val="Aptos Narrow"/>
        <family val="2"/>
      </rPr>
      <t>≤</t>
    </r>
    <r>
      <rPr>
        <sz val="11"/>
        <color rgb="FF000000"/>
        <rFont val="Arial"/>
        <family val="2"/>
      </rPr>
      <t>6000 m</t>
    </r>
    <r>
      <rPr>
        <vertAlign val="superscript"/>
        <sz val="11"/>
        <color rgb="FF000000"/>
        <rFont val="Arial"/>
        <family val="2"/>
      </rPr>
      <t>2</t>
    </r>
  </si>
  <si>
    <t>30.02.01.02/26</t>
  </si>
  <si>
    <r>
      <t>Continous rain water management package for draining surface 6000&lt;(s)</t>
    </r>
    <r>
      <rPr>
        <sz val="11"/>
        <color rgb="FF000000"/>
        <rFont val="Aptos Narrow"/>
        <family val="2"/>
      </rPr>
      <t>≤</t>
    </r>
    <r>
      <rPr>
        <sz val="11"/>
        <color rgb="FF000000"/>
        <rFont val="Arial"/>
        <family val="2"/>
      </rPr>
      <t>6500 m</t>
    </r>
    <r>
      <rPr>
        <vertAlign val="superscript"/>
        <sz val="11"/>
        <color rgb="FF000000"/>
        <rFont val="Arial"/>
        <family val="2"/>
      </rPr>
      <t>2</t>
    </r>
  </si>
  <si>
    <t>30.02.01.02/28</t>
  </si>
  <si>
    <r>
      <t>Continous rain water management package for draining surface 6500&lt;(s)</t>
    </r>
    <r>
      <rPr>
        <sz val="11"/>
        <color rgb="FF000000"/>
        <rFont val="Aptos Narrow"/>
        <family val="2"/>
      </rPr>
      <t>≤</t>
    </r>
    <r>
      <rPr>
        <sz val="11"/>
        <color rgb="FF000000"/>
        <rFont val="Arial"/>
        <family val="2"/>
      </rPr>
      <t>7000 m</t>
    </r>
    <r>
      <rPr>
        <vertAlign val="superscript"/>
        <sz val="11"/>
        <color rgb="FF000000"/>
        <rFont val="Arial"/>
        <family val="2"/>
      </rPr>
      <t>2</t>
    </r>
  </si>
  <si>
    <t>30.02.01.02/30</t>
  </si>
  <si>
    <r>
      <t>Continous rain water management package for draining surface 7000&lt;(s)</t>
    </r>
    <r>
      <rPr>
        <sz val="11"/>
        <color rgb="FF000000"/>
        <rFont val="Aptos Narrow"/>
        <family val="2"/>
      </rPr>
      <t>≤</t>
    </r>
    <r>
      <rPr>
        <sz val="11"/>
        <color rgb="FF000000"/>
        <rFont val="Arial"/>
        <family val="2"/>
      </rPr>
      <t>7500 m</t>
    </r>
    <r>
      <rPr>
        <vertAlign val="superscript"/>
        <sz val="11"/>
        <color rgb="FF000000"/>
        <rFont val="Arial"/>
        <family val="2"/>
      </rPr>
      <t>2</t>
    </r>
  </si>
  <si>
    <t>30.02.01.02/32</t>
  </si>
  <si>
    <r>
      <t>Continous rain water management package for draining surface 7500&lt;(s)</t>
    </r>
    <r>
      <rPr>
        <sz val="11"/>
        <color rgb="FF000000"/>
        <rFont val="Aptos Narrow"/>
        <family val="2"/>
      </rPr>
      <t>≤</t>
    </r>
    <r>
      <rPr>
        <sz val="11"/>
        <color rgb="FF000000"/>
        <rFont val="Arial"/>
        <family val="2"/>
      </rPr>
      <t>8000 m</t>
    </r>
    <r>
      <rPr>
        <vertAlign val="superscript"/>
        <sz val="11"/>
        <color rgb="FF000000"/>
        <rFont val="Arial"/>
        <family val="2"/>
      </rPr>
      <t>2</t>
    </r>
  </si>
  <si>
    <t>30.02.01.02/34</t>
  </si>
  <si>
    <r>
      <t>Continous rain water management package for draining surface 8000&lt;(s)</t>
    </r>
    <r>
      <rPr>
        <sz val="11"/>
        <color rgb="FF000000"/>
        <rFont val="Aptos Narrow"/>
        <family val="2"/>
      </rPr>
      <t>≤8</t>
    </r>
    <r>
      <rPr>
        <sz val="11"/>
        <color rgb="FF000000"/>
        <rFont val="Arial"/>
        <family val="2"/>
      </rPr>
      <t>500 m</t>
    </r>
    <r>
      <rPr>
        <vertAlign val="superscript"/>
        <sz val="11"/>
        <color rgb="FF000000"/>
        <rFont val="Arial"/>
        <family val="2"/>
      </rPr>
      <t>2</t>
    </r>
  </si>
  <si>
    <t>30.02.01.02/36</t>
  </si>
  <si>
    <r>
      <t>Continous rain water management package for draining surface 8500&lt;(s)</t>
    </r>
    <r>
      <rPr>
        <sz val="11"/>
        <color rgb="FF000000"/>
        <rFont val="Aptos Narrow"/>
        <family val="2"/>
      </rPr>
      <t>≤</t>
    </r>
    <r>
      <rPr>
        <sz val="11"/>
        <color rgb="FF000000"/>
        <rFont val="Arial"/>
        <family val="2"/>
      </rPr>
      <t>9000 m</t>
    </r>
    <r>
      <rPr>
        <vertAlign val="superscript"/>
        <sz val="11"/>
        <color rgb="FF000000"/>
        <rFont val="Arial"/>
        <family val="2"/>
      </rPr>
      <t>2</t>
    </r>
  </si>
  <si>
    <t>30.02.01.02/38</t>
  </si>
  <si>
    <r>
      <t>Continous rain water management package for draining surface 9000&lt;(s)</t>
    </r>
    <r>
      <rPr>
        <sz val="11"/>
        <color rgb="FF000000"/>
        <rFont val="Aptos Narrow"/>
        <family val="2"/>
      </rPr>
      <t>≤</t>
    </r>
    <r>
      <rPr>
        <sz val="11"/>
        <color rgb="FF000000"/>
        <rFont val="Arial"/>
        <family val="2"/>
      </rPr>
      <t>9500 m</t>
    </r>
    <r>
      <rPr>
        <vertAlign val="superscript"/>
        <sz val="11"/>
        <color rgb="FF000000"/>
        <rFont val="Arial"/>
        <family val="2"/>
      </rPr>
      <t>2</t>
    </r>
  </si>
  <si>
    <t>30.02.01.02/40</t>
  </si>
  <si>
    <r>
      <t>Continous rain water management package for draining surface 9500&lt;(s)</t>
    </r>
    <r>
      <rPr>
        <sz val="11"/>
        <color rgb="FF000000"/>
        <rFont val="Aptos Narrow"/>
        <family val="2"/>
      </rPr>
      <t>≤</t>
    </r>
    <r>
      <rPr>
        <sz val="11"/>
        <color rgb="FF000000"/>
        <rFont val="Arial"/>
        <family val="2"/>
      </rPr>
      <t>10000 m</t>
    </r>
    <r>
      <rPr>
        <vertAlign val="superscript"/>
        <sz val="11"/>
        <color rgb="FF000000"/>
        <rFont val="Arial"/>
        <family val="2"/>
      </rPr>
      <t>2</t>
    </r>
  </si>
  <si>
    <t>30.02.01.02/42</t>
  </si>
  <si>
    <r>
      <t>Continous rain water management package for draining surface (s)</t>
    </r>
    <r>
      <rPr>
        <sz val="11"/>
        <color rgb="FF000000"/>
        <rFont val="Aptos Narrow"/>
        <family val="2"/>
      </rPr>
      <t>≥100</t>
    </r>
    <r>
      <rPr>
        <sz val="11"/>
        <color rgb="FF000000"/>
        <rFont val="Arial"/>
        <family val="2"/>
      </rPr>
      <t>00 m</t>
    </r>
    <r>
      <rPr>
        <vertAlign val="superscript"/>
        <sz val="11"/>
        <color rgb="FF000000"/>
        <rFont val="Arial"/>
        <family val="2"/>
      </rPr>
      <t>2</t>
    </r>
  </si>
  <si>
    <t>30.02.02.00</t>
  </si>
  <si>
    <t>Submersible electric pump</t>
  </si>
  <si>
    <t>30.02.02.00/02</t>
  </si>
  <si>
    <t>Submersible electric pump - power rate (p)≤1,5 kW</t>
  </si>
  <si>
    <t>30.02.02.00/04</t>
  </si>
  <si>
    <t>Submersible electric pump - power rate (p) (1,5 kW&lt;p≤3 kW)</t>
  </si>
  <si>
    <t>30.02.02.00/06</t>
  </si>
  <si>
    <t>Submersible electric pump - power rate (p) (3 kW&lt;p≤7,5 kW)</t>
  </si>
  <si>
    <t>30.02.02.00/08</t>
  </si>
  <si>
    <t>Submersible electric pump- power rate (p) (7,5 kW&lt;p≤11 kW)</t>
  </si>
  <si>
    <t>30.02.02.00/10</t>
  </si>
  <si>
    <t>Submersible electric pump- power rate (p) (11 kW&lt;p≤15 kW)</t>
  </si>
  <si>
    <t>30.02.02.00/12</t>
  </si>
  <si>
    <t>Submersible electric pump- power rate (p) (15 kW&lt;p≤18,5 kW)</t>
  </si>
  <si>
    <t>30.02.02.00/14</t>
  </si>
  <si>
    <t>Submersible electric pump- power rate (p) (18,5 kW&lt;p≤22 kW)</t>
  </si>
  <si>
    <t>30.02.02.00/16</t>
  </si>
  <si>
    <t>Submersible electric pump- power rate (p) (22 kW&lt;p≤30 kW)</t>
  </si>
  <si>
    <t>30.02.02.00/18</t>
  </si>
  <si>
    <t>Submersible electric pump- power rate (p) (30 kW&lt;p≤37 kW)</t>
  </si>
  <si>
    <t>30.02.02.00/20</t>
  </si>
  <si>
    <t>Submersible electric pump- power rate (p) (37kW&lt;p≤45 kW)</t>
  </si>
  <si>
    <t>30.02.02.00/22</t>
  </si>
  <si>
    <t>Submersible electric pump- power rate (p) (45 kW&lt;p≤55 kW)</t>
  </si>
  <si>
    <t>30.02.02.00/24</t>
  </si>
  <si>
    <t>Submersible electric pump- power rate (p) (55 kW&lt;p≤75 kW)</t>
  </si>
  <si>
    <t>30.02.03.00</t>
  </si>
  <si>
    <t>Oil separator class I-UNI EN 858-1</t>
  </si>
  <si>
    <t>30.02.03.00/02</t>
  </si>
  <si>
    <t>Oil separator NS1</t>
  </si>
  <si>
    <t>30.02.03.00/04</t>
  </si>
  <si>
    <t>Oil separator NS3</t>
  </si>
  <si>
    <t>30.02.03.00/06</t>
  </si>
  <si>
    <t>Oil separator NS5</t>
  </si>
  <si>
    <t>30.02.03.00/08</t>
  </si>
  <si>
    <t>Oil separator NS6</t>
  </si>
  <si>
    <t>30.02.03.00/10</t>
  </si>
  <si>
    <t>Oil separator NS10</t>
  </si>
  <si>
    <t>30.02.03.00/12</t>
  </si>
  <si>
    <t>Oil separator NS15</t>
  </si>
  <si>
    <t>30.02.03.00/14</t>
  </si>
  <si>
    <t>Oil separator NS20</t>
  </si>
  <si>
    <t>30.02.03.00/16</t>
  </si>
  <si>
    <t>Oil separator NS40</t>
  </si>
  <si>
    <t>30.02.03.00/18</t>
  </si>
  <si>
    <t>Oil separator NS50</t>
  </si>
  <si>
    <t>30.02.03.00/20</t>
  </si>
  <si>
    <t>Oil separator NS65</t>
  </si>
  <si>
    <t>30.02.03.00/22</t>
  </si>
  <si>
    <t>Oil separator NS80</t>
  </si>
  <si>
    <t>30.02.03.00/24</t>
  </si>
  <si>
    <t>Oil separator NS100</t>
  </si>
  <si>
    <t>30.02.03.00/26</t>
  </si>
  <si>
    <t>Oil separator NS125</t>
  </si>
  <si>
    <t>Metal insulated cabinet for two deluge valves, with anti freeze protecion</t>
  </si>
  <si>
    <t>FIRE DETECTION FOR TAC (6 TAC)</t>
  </si>
  <si>
    <t>FACP - 2L Addressable type Fire Alarm Control Panel, EN 54 compliant, 2 detection loops (not to be used as MFACP for BOP)</t>
  </si>
  <si>
    <t>MASTER FACP - 4L Addressable type Fire Alarm Control Panel, EN 54 compliant, 4 detection loops</t>
  </si>
  <si>
    <t>MASTER FACP - 6L Addressable type Fire Alarm Control Panel, EN 54 compliant, 6 detection loops</t>
  </si>
  <si>
    <t>MASTER FACP - 8L Addressable type Fire Alarm Control Panel, EN 54 compliant, 8 detection loops</t>
  </si>
  <si>
    <t>SENSOR OPTICAL REPEATER for sensors installed in false floor or counter ceiling - compliant to EN 54</t>
  </si>
  <si>
    <t>SMOKE AND RATE OF RISE DETECTOR - DUAL FUNCTION Indoor Installation complete with short circuit isolation and base. Compliant with EN 54 - 5, 7, 17</t>
  </si>
  <si>
    <t>O/A SIGNALLER   Acoustic horn and strobe light (also in a signle device) for outdoor use, EN 54-3, EN 54-23 compliant; 120 dB sound pressure level @ 1m</t>
  </si>
  <si>
    <t>MANUAL CALL POINT Addressable type manual call point, EN 54 - 11 suitable for outdoor installation, IP66</t>
  </si>
  <si>
    <t>I/O MODULE I/O module to connect analog devices (detctors, signallers) to addressable systems - EN 54-18 compòiant</t>
  </si>
  <si>
    <t>FIBER OPTIC CABLE - LOOP UP TO 1000m long Fiber optic cable MM OM4 62,5/125 mm, 4 fibers - for interconnection among FACPs</t>
  </si>
  <si>
    <t>FIBER OPTIC CABLE - LOOP OVER TO 1000m long Fiber optic cable SM OS2 9/125 mm, 4 fibers - for interconnection among FACPs</t>
  </si>
  <si>
    <t>FIBER OPTIC CONVERTER Fiber optic converter device (fiber / copper)</t>
  </si>
  <si>
    <t>CABLE FOR FIRE DETECTION SYSTEM 2 x 1 mm2 twisted pair shielded - according to CEI 20-105 and UNI 9795</t>
  </si>
  <si>
    <t>CONDUIT  Metal condit DN25</t>
  </si>
  <si>
    <t>FIRE DETECTION FOR PCU (39 PCU)</t>
  </si>
  <si>
    <t>Thermal DETECTOR Outdoor Installation complete with short circuit isolation and base. Compliant with EN 54 - 5, 7, 17"</t>
  </si>
  <si>
    <t>Therminal Strips &amp; JB</t>
  </si>
  <si>
    <t>CABLE FOR FIRE DETECTION SYSTEM 2 x 1,5 mm2 twisted pair shielded - according to CEI 20-105 and UNI 9795</t>
  </si>
  <si>
    <t>CONDUIT  Metal conduit DN25</t>
  </si>
  <si>
    <t xml:space="preserve">Document Wiring diagram </t>
  </si>
  <si>
    <r>
      <t xml:space="preserve">Discontinous first rain water management package for draining surface (s) </t>
    </r>
    <r>
      <rPr>
        <sz val="11"/>
        <color rgb="FF000000"/>
        <rFont val="Arial"/>
        <family val="2"/>
      </rPr>
      <t>≤500 m</t>
    </r>
    <r>
      <rPr>
        <vertAlign val="superscript"/>
        <sz val="11"/>
        <color rgb="FF000000"/>
        <rFont val="Arial"/>
        <family val="2"/>
      </rPr>
      <t>2</t>
    </r>
  </si>
  <si>
    <r>
      <t>Discontinous first rain water management package for draining surface 500&lt;(s)</t>
    </r>
    <r>
      <rPr>
        <sz val="11"/>
        <color rgb="FF000000"/>
        <rFont val="Arial"/>
        <family val="2"/>
      </rPr>
      <t>≤1000 m</t>
    </r>
    <r>
      <rPr>
        <vertAlign val="superscript"/>
        <sz val="11"/>
        <color rgb="FF000000"/>
        <rFont val="Arial"/>
        <family val="2"/>
      </rPr>
      <t>2</t>
    </r>
  </si>
  <si>
    <r>
      <t>Discontinous first rain water management package for draining surface 1000&lt;(s)</t>
    </r>
    <r>
      <rPr>
        <sz val="11"/>
        <color rgb="FF000000"/>
        <rFont val="Arial"/>
        <family val="2"/>
      </rPr>
      <t>≤1500 m</t>
    </r>
    <r>
      <rPr>
        <vertAlign val="superscript"/>
        <sz val="11"/>
        <color rgb="FF000000"/>
        <rFont val="Arial"/>
        <family val="2"/>
      </rPr>
      <t>2</t>
    </r>
  </si>
  <si>
    <r>
      <t>Discontinous first rain water management package for draining surface 1500&lt;(s)</t>
    </r>
    <r>
      <rPr>
        <sz val="11"/>
        <color rgb="FF000000"/>
        <rFont val="Arial"/>
        <family val="2"/>
      </rPr>
      <t>≤2000 m</t>
    </r>
    <r>
      <rPr>
        <vertAlign val="superscript"/>
        <sz val="11"/>
        <color rgb="FF000000"/>
        <rFont val="Arial"/>
        <family val="2"/>
      </rPr>
      <t>2</t>
    </r>
  </si>
  <si>
    <r>
      <t>Discontinous first rain water management package for draining surface 2000&lt;(s)</t>
    </r>
    <r>
      <rPr>
        <sz val="11"/>
        <color rgb="FF000000"/>
        <rFont val="Arial"/>
        <family val="2"/>
      </rPr>
      <t>≤2500 m</t>
    </r>
    <r>
      <rPr>
        <vertAlign val="superscript"/>
        <sz val="11"/>
        <color rgb="FF000000"/>
        <rFont val="Arial"/>
        <family val="2"/>
      </rPr>
      <t>2</t>
    </r>
  </si>
  <si>
    <r>
      <t>Discontinous first rain water management package for draining surface 2500&lt;(s)</t>
    </r>
    <r>
      <rPr>
        <sz val="11"/>
        <color rgb="FF000000"/>
        <rFont val="Arial"/>
        <family val="2"/>
      </rPr>
      <t>≤3000 m</t>
    </r>
    <r>
      <rPr>
        <vertAlign val="superscript"/>
        <sz val="11"/>
        <color rgb="FF000000"/>
        <rFont val="Arial"/>
        <family val="2"/>
      </rPr>
      <t>2</t>
    </r>
  </si>
  <si>
    <r>
      <t>Discontinous first rain water management package for draining surface 3000&lt;(s)</t>
    </r>
    <r>
      <rPr>
        <sz val="11"/>
        <color rgb="FF000000"/>
        <rFont val="Arial"/>
        <family val="2"/>
      </rPr>
      <t>≤3500 m</t>
    </r>
    <r>
      <rPr>
        <vertAlign val="superscript"/>
        <sz val="11"/>
        <color rgb="FF000000"/>
        <rFont val="Arial"/>
        <family val="2"/>
      </rPr>
      <t>2</t>
    </r>
  </si>
  <si>
    <r>
      <t>Discontinous first rain water management package for draining surface 3500&lt;(s)</t>
    </r>
    <r>
      <rPr>
        <sz val="11"/>
        <color rgb="FF000000"/>
        <rFont val="Arial"/>
        <family val="2"/>
      </rPr>
      <t>≤4000 m</t>
    </r>
    <r>
      <rPr>
        <vertAlign val="superscript"/>
        <sz val="11"/>
        <color rgb="FF000000"/>
        <rFont val="Arial"/>
        <family val="2"/>
      </rPr>
      <t>2</t>
    </r>
  </si>
  <si>
    <r>
      <t>Discontinous first rain water management package for draining surface 4000&lt;(s)</t>
    </r>
    <r>
      <rPr>
        <sz val="11"/>
        <color rgb="FF000000"/>
        <rFont val="Arial"/>
        <family val="2"/>
      </rPr>
      <t>≤4500 m</t>
    </r>
    <r>
      <rPr>
        <vertAlign val="superscript"/>
        <sz val="11"/>
        <color rgb="FF000000"/>
        <rFont val="Arial"/>
        <family val="2"/>
      </rPr>
      <t>2</t>
    </r>
  </si>
  <si>
    <r>
      <t>Discontinous first rain water management package for draining surface 4500&lt;(s)</t>
    </r>
    <r>
      <rPr>
        <sz val="11"/>
        <color rgb="FF000000"/>
        <rFont val="Arial"/>
        <family val="2"/>
      </rPr>
      <t>≤5000 m</t>
    </r>
    <r>
      <rPr>
        <vertAlign val="superscript"/>
        <sz val="11"/>
        <color rgb="FF000000"/>
        <rFont val="Arial"/>
        <family val="2"/>
      </rPr>
      <t>2</t>
    </r>
  </si>
  <si>
    <r>
      <t>Discontinous first rain water management package for draining surface 5000&lt;(s)</t>
    </r>
    <r>
      <rPr>
        <sz val="11"/>
        <color rgb="FF000000"/>
        <rFont val="Arial"/>
        <family val="2"/>
      </rPr>
      <t>≤5500 m</t>
    </r>
    <r>
      <rPr>
        <vertAlign val="superscript"/>
        <sz val="11"/>
        <color rgb="FF000000"/>
        <rFont val="Arial"/>
        <family val="2"/>
      </rPr>
      <t>2</t>
    </r>
  </si>
  <si>
    <r>
      <t>Discontinous first rain water management package for draining surface 5500&lt;(s)</t>
    </r>
    <r>
      <rPr>
        <sz val="11"/>
        <color rgb="FF000000"/>
        <rFont val="Arial"/>
        <family val="2"/>
      </rPr>
      <t>≤6000 m</t>
    </r>
    <r>
      <rPr>
        <vertAlign val="superscript"/>
        <sz val="11"/>
        <color rgb="FF000000"/>
        <rFont val="Arial"/>
        <family val="2"/>
      </rPr>
      <t>2</t>
    </r>
  </si>
  <si>
    <r>
      <t>Discontinous first rain water management package for draining surface 6000&lt;(s)</t>
    </r>
    <r>
      <rPr>
        <sz val="11"/>
        <color rgb="FF000000"/>
        <rFont val="Arial"/>
        <family val="2"/>
      </rPr>
      <t>≤6500 m</t>
    </r>
    <r>
      <rPr>
        <vertAlign val="superscript"/>
        <sz val="11"/>
        <color rgb="FF000000"/>
        <rFont val="Arial"/>
        <family val="2"/>
      </rPr>
      <t>2</t>
    </r>
  </si>
  <si>
    <r>
      <t>Discontinous first rain water management package for draining surface 6500&lt;(s)</t>
    </r>
    <r>
      <rPr>
        <sz val="11"/>
        <color rgb="FF000000"/>
        <rFont val="Arial"/>
        <family val="2"/>
      </rPr>
      <t>≤7000 m</t>
    </r>
    <r>
      <rPr>
        <vertAlign val="superscript"/>
        <sz val="11"/>
        <color rgb="FF000000"/>
        <rFont val="Arial"/>
        <family val="2"/>
      </rPr>
      <t>2</t>
    </r>
  </si>
  <si>
    <r>
      <t>Discontinous first rain water management package for draining surface 7000&lt;(s)</t>
    </r>
    <r>
      <rPr>
        <sz val="11"/>
        <color rgb="FF000000"/>
        <rFont val="Arial"/>
        <family val="2"/>
      </rPr>
      <t>≤7500 m</t>
    </r>
    <r>
      <rPr>
        <vertAlign val="superscript"/>
        <sz val="11"/>
        <color rgb="FF000000"/>
        <rFont val="Arial"/>
        <family val="2"/>
      </rPr>
      <t>2</t>
    </r>
  </si>
  <si>
    <r>
      <t>Discontinous first rain water management package for draining surface 7500&lt;(s)</t>
    </r>
    <r>
      <rPr>
        <sz val="11"/>
        <color rgb="FF000000"/>
        <rFont val="Arial"/>
        <family val="2"/>
      </rPr>
      <t>≤8000 m</t>
    </r>
    <r>
      <rPr>
        <vertAlign val="superscript"/>
        <sz val="11"/>
        <color rgb="FF000000"/>
        <rFont val="Arial"/>
        <family val="2"/>
      </rPr>
      <t>2</t>
    </r>
  </si>
  <si>
    <r>
      <t>Discontinous first rain water management package for draining surface 8000&lt;(s)</t>
    </r>
    <r>
      <rPr>
        <sz val="11"/>
        <color rgb="FF000000"/>
        <rFont val="Arial"/>
        <family val="2"/>
      </rPr>
      <t>≤8500 m</t>
    </r>
    <r>
      <rPr>
        <vertAlign val="superscript"/>
        <sz val="11"/>
        <color rgb="FF000000"/>
        <rFont val="Arial"/>
        <family val="2"/>
      </rPr>
      <t>2</t>
    </r>
  </si>
  <si>
    <r>
      <t>Discontinous first rain water management package for draining surface 8500&lt;(s)</t>
    </r>
    <r>
      <rPr>
        <sz val="11"/>
        <color rgb="FF000000"/>
        <rFont val="Arial"/>
        <family val="2"/>
      </rPr>
      <t>≤9000 m</t>
    </r>
    <r>
      <rPr>
        <vertAlign val="superscript"/>
        <sz val="11"/>
        <color rgb="FF000000"/>
        <rFont val="Arial"/>
        <family val="2"/>
      </rPr>
      <t>2</t>
    </r>
  </si>
  <si>
    <r>
      <t>Discontinous first rain water management package for draining surface 9000&lt;(s)</t>
    </r>
    <r>
      <rPr>
        <sz val="11"/>
        <color rgb="FF000000"/>
        <rFont val="Arial"/>
        <family val="2"/>
      </rPr>
      <t>≤9500 m</t>
    </r>
    <r>
      <rPr>
        <vertAlign val="superscript"/>
        <sz val="11"/>
        <color rgb="FF000000"/>
        <rFont val="Arial"/>
        <family val="2"/>
      </rPr>
      <t>2</t>
    </r>
  </si>
  <si>
    <r>
      <t>Discontinous first rain water management package for draining surface 9500&lt;(s)</t>
    </r>
    <r>
      <rPr>
        <sz val="11"/>
        <color rgb="FF000000"/>
        <rFont val="Arial"/>
        <family val="2"/>
      </rPr>
      <t>≤10000 m</t>
    </r>
    <r>
      <rPr>
        <vertAlign val="superscript"/>
        <sz val="11"/>
        <color rgb="FF000000"/>
        <rFont val="Arial"/>
        <family val="2"/>
      </rPr>
      <t>2</t>
    </r>
  </si>
  <si>
    <r>
      <t>Discontinous first rain water management package for draining surface (s)</t>
    </r>
    <r>
      <rPr>
        <sz val="11"/>
        <color rgb="FF000000"/>
        <rFont val="Arial"/>
        <family val="2"/>
      </rPr>
      <t>≥10000 m</t>
    </r>
    <r>
      <rPr>
        <vertAlign val="superscript"/>
        <sz val="11"/>
        <color rgb="FF000000"/>
        <rFont val="Arial"/>
        <family val="2"/>
      </rPr>
      <t>2</t>
    </r>
  </si>
  <si>
    <r>
      <t xml:space="preserve">Continous rain water management package for draining surface (s) </t>
    </r>
    <r>
      <rPr>
        <sz val="11"/>
        <color rgb="FF000000"/>
        <rFont val="Arial"/>
        <family val="2"/>
      </rPr>
      <t>≤500 m</t>
    </r>
    <r>
      <rPr>
        <vertAlign val="superscript"/>
        <sz val="11"/>
        <color rgb="FF000000"/>
        <rFont val="Arial"/>
        <family val="2"/>
      </rPr>
      <t>2</t>
    </r>
  </si>
  <si>
    <r>
      <t>Continous rain water management package for draining surface 500&lt;(s)</t>
    </r>
    <r>
      <rPr>
        <sz val="11"/>
        <color rgb="FF000000"/>
        <rFont val="Arial"/>
        <family val="2"/>
      </rPr>
      <t>≤1000 m</t>
    </r>
    <r>
      <rPr>
        <vertAlign val="superscript"/>
        <sz val="11"/>
        <color rgb="FF000000"/>
        <rFont val="Arial"/>
        <family val="2"/>
      </rPr>
      <t>2</t>
    </r>
  </si>
  <si>
    <r>
      <t>Continous rain water management package for draining surface 1000&lt;(s)</t>
    </r>
    <r>
      <rPr>
        <sz val="11"/>
        <color rgb="FF000000"/>
        <rFont val="Arial"/>
        <family val="2"/>
      </rPr>
      <t>≤1500 m</t>
    </r>
    <r>
      <rPr>
        <vertAlign val="superscript"/>
        <sz val="11"/>
        <color rgb="FF000000"/>
        <rFont val="Arial"/>
        <family val="2"/>
      </rPr>
      <t>2</t>
    </r>
  </si>
  <si>
    <r>
      <t>Continous rain water management package for draining surface 1500&lt;(s)</t>
    </r>
    <r>
      <rPr>
        <sz val="11"/>
        <color rgb="FF000000"/>
        <rFont val="Arial"/>
        <family val="2"/>
      </rPr>
      <t>≤2000 m</t>
    </r>
    <r>
      <rPr>
        <vertAlign val="superscript"/>
        <sz val="11"/>
        <color rgb="FF000000"/>
        <rFont val="Arial"/>
        <family val="2"/>
      </rPr>
      <t>2</t>
    </r>
  </si>
  <si>
    <r>
      <t>Continous rain water management package for draining surface 2000&lt;(s)</t>
    </r>
    <r>
      <rPr>
        <sz val="11"/>
        <color rgb="FF000000"/>
        <rFont val="Arial"/>
        <family val="2"/>
      </rPr>
      <t>≤2500 m</t>
    </r>
    <r>
      <rPr>
        <vertAlign val="superscript"/>
        <sz val="11"/>
        <color rgb="FF000000"/>
        <rFont val="Arial"/>
        <family val="2"/>
      </rPr>
      <t>2</t>
    </r>
  </si>
  <si>
    <r>
      <t>Continous rain water management package for draining surface 2500&lt;(s)</t>
    </r>
    <r>
      <rPr>
        <sz val="11"/>
        <color rgb="FF000000"/>
        <rFont val="Arial"/>
        <family val="2"/>
      </rPr>
      <t>≤3000 m</t>
    </r>
    <r>
      <rPr>
        <vertAlign val="superscript"/>
        <sz val="11"/>
        <color rgb="FF000000"/>
        <rFont val="Arial"/>
        <family val="2"/>
      </rPr>
      <t>2</t>
    </r>
  </si>
  <si>
    <r>
      <t>Continous rain water management package for draining surface 3000&lt;(s)</t>
    </r>
    <r>
      <rPr>
        <sz val="11"/>
        <color rgb="FF000000"/>
        <rFont val="Arial"/>
        <family val="2"/>
      </rPr>
      <t>≤3500 m</t>
    </r>
    <r>
      <rPr>
        <vertAlign val="superscript"/>
        <sz val="11"/>
        <color rgb="FF000000"/>
        <rFont val="Arial"/>
        <family val="2"/>
      </rPr>
      <t>2</t>
    </r>
  </si>
  <si>
    <r>
      <t>Continous rain water management package for draining surface 3500&lt;(s)</t>
    </r>
    <r>
      <rPr>
        <sz val="11"/>
        <color rgb="FF000000"/>
        <rFont val="Arial"/>
        <family val="2"/>
      </rPr>
      <t>≤4000 m</t>
    </r>
    <r>
      <rPr>
        <vertAlign val="superscript"/>
        <sz val="11"/>
        <color rgb="FF000000"/>
        <rFont val="Arial"/>
        <family val="2"/>
      </rPr>
      <t>2</t>
    </r>
  </si>
  <si>
    <r>
      <t>Continous rain water management package for draining surface 4000&lt;(s)</t>
    </r>
    <r>
      <rPr>
        <sz val="11"/>
        <color rgb="FF000000"/>
        <rFont val="Arial"/>
        <family val="2"/>
      </rPr>
      <t>≤4500 m</t>
    </r>
    <r>
      <rPr>
        <vertAlign val="superscript"/>
        <sz val="11"/>
        <color rgb="FF000000"/>
        <rFont val="Arial"/>
        <family val="2"/>
      </rPr>
      <t>2</t>
    </r>
  </si>
  <si>
    <r>
      <t>Continous rain water management package for draining surface 4500&lt;(s)</t>
    </r>
    <r>
      <rPr>
        <sz val="11"/>
        <color rgb="FF000000"/>
        <rFont val="Arial"/>
        <family val="2"/>
      </rPr>
      <t>≤5000 m</t>
    </r>
    <r>
      <rPr>
        <vertAlign val="superscript"/>
        <sz val="11"/>
        <color rgb="FF000000"/>
        <rFont val="Arial"/>
        <family val="2"/>
      </rPr>
      <t>2</t>
    </r>
  </si>
  <si>
    <r>
      <t>Continous rain water management package for draining surface 5000&lt;(s)</t>
    </r>
    <r>
      <rPr>
        <sz val="11"/>
        <color rgb="FF000000"/>
        <rFont val="Arial"/>
        <family val="2"/>
      </rPr>
      <t>≤5500 m</t>
    </r>
    <r>
      <rPr>
        <vertAlign val="superscript"/>
        <sz val="11"/>
        <color rgb="FF000000"/>
        <rFont val="Arial"/>
        <family val="2"/>
      </rPr>
      <t>2</t>
    </r>
  </si>
  <si>
    <r>
      <t>Continous rain water management package for draining surface 5500&lt;(s)</t>
    </r>
    <r>
      <rPr>
        <sz val="11"/>
        <color rgb="FF000000"/>
        <rFont val="Arial"/>
        <family val="2"/>
      </rPr>
      <t>≤6000 m</t>
    </r>
    <r>
      <rPr>
        <vertAlign val="superscript"/>
        <sz val="11"/>
        <color rgb="FF000000"/>
        <rFont val="Arial"/>
        <family val="2"/>
      </rPr>
      <t>2</t>
    </r>
  </si>
  <si>
    <r>
      <t>Continous rain water management package for draining surface 6000&lt;(s)</t>
    </r>
    <r>
      <rPr>
        <sz val="11"/>
        <color rgb="FF000000"/>
        <rFont val="Arial"/>
        <family val="2"/>
      </rPr>
      <t>≤6500 m</t>
    </r>
    <r>
      <rPr>
        <vertAlign val="superscript"/>
        <sz val="11"/>
        <color rgb="FF000000"/>
        <rFont val="Arial"/>
        <family val="2"/>
      </rPr>
      <t>2</t>
    </r>
  </si>
  <si>
    <r>
      <t>Continous rain water management package for draining surface 6500&lt;(s)</t>
    </r>
    <r>
      <rPr>
        <sz val="11"/>
        <color rgb="FF000000"/>
        <rFont val="Arial"/>
        <family val="2"/>
      </rPr>
      <t>≤7000 m</t>
    </r>
    <r>
      <rPr>
        <vertAlign val="superscript"/>
        <sz val="11"/>
        <color rgb="FF000000"/>
        <rFont val="Arial"/>
        <family val="2"/>
      </rPr>
      <t>2</t>
    </r>
  </si>
  <si>
    <r>
      <t>Continous rain water management package for draining surface 7000&lt;(s)</t>
    </r>
    <r>
      <rPr>
        <sz val="11"/>
        <color rgb="FF000000"/>
        <rFont val="Arial"/>
        <family val="2"/>
      </rPr>
      <t>≤7500 m</t>
    </r>
    <r>
      <rPr>
        <vertAlign val="superscript"/>
        <sz val="11"/>
        <color rgb="FF000000"/>
        <rFont val="Arial"/>
        <family val="2"/>
      </rPr>
      <t>2</t>
    </r>
  </si>
  <si>
    <r>
      <t>Continous rain water management package for draining surface 7500&lt;(s)</t>
    </r>
    <r>
      <rPr>
        <sz val="11"/>
        <color rgb="FF000000"/>
        <rFont val="Arial"/>
        <family val="2"/>
      </rPr>
      <t>≤8000 m</t>
    </r>
    <r>
      <rPr>
        <vertAlign val="superscript"/>
        <sz val="11"/>
        <color rgb="FF000000"/>
        <rFont val="Arial"/>
        <family val="2"/>
      </rPr>
      <t>2</t>
    </r>
  </si>
  <si>
    <r>
      <t>Continous rain water management package for draining surface 8000&lt;(s)</t>
    </r>
    <r>
      <rPr>
        <sz val="11"/>
        <color rgb="FF000000"/>
        <rFont val="Arial"/>
        <family val="2"/>
      </rPr>
      <t>≤8500 m</t>
    </r>
    <r>
      <rPr>
        <vertAlign val="superscript"/>
        <sz val="11"/>
        <color rgb="FF000000"/>
        <rFont val="Arial"/>
        <family val="2"/>
      </rPr>
      <t>2</t>
    </r>
  </si>
  <si>
    <r>
      <t>Continous rain water management package for draining surface 8500&lt;(s)</t>
    </r>
    <r>
      <rPr>
        <sz val="11"/>
        <color rgb="FF000000"/>
        <rFont val="Arial"/>
        <family val="2"/>
      </rPr>
      <t>≤9000 m</t>
    </r>
    <r>
      <rPr>
        <vertAlign val="superscript"/>
        <sz val="11"/>
        <color rgb="FF000000"/>
        <rFont val="Arial"/>
        <family val="2"/>
      </rPr>
      <t>2</t>
    </r>
  </si>
  <si>
    <r>
      <t>Continous rain water management package for draining surface 9000&lt;(s)</t>
    </r>
    <r>
      <rPr>
        <sz val="11"/>
        <color rgb="FF000000"/>
        <rFont val="Arial"/>
        <family val="2"/>
      </rPr>
      <t>≤9500 m</t>
    </r>
    <r>
      <rPr>
        <vertAlign val="superscript"/>
        <sz val="11"/>
        <color rgb="FF000000"/>
        <rFont val="Arial"/>
        <family val="2"/>
      </rPr>
      <t>2</t>
    </r>
  </si>
  <si>
    <r>
      <t>Continous rain water management package for draining surface 9500&lt;(s)</t>
    </r>
    <r>
      <rPr>
        <sz val="11"/>
        <color rgb="FF000000"/>
        <rFont val="Arial"/>
        <family val="2"/>
      </rPr>
      <t>≤10000 m</t>
    </r>
    <r>
      <rPr>
        <vertAlign val="superscript"/>
        <sz val="11"/>
        <color rgb="FF000000"/>
        <rFont val="Arial"/>
        <family val="2"/>
      </rPr>
      <t>2</t>
    </r>
  </si>
  <si>
    <r>
      <t>Continous rain water management package for draining surface (s)</t>
    </r>
    <r>
      <rPr>
        <sz val="11"/>
        <color rgb="FF000000"/>
        <rFont val="Arial"/>
        <family val="2"/>
      </rPr>
      <t>≥10000 m</t>
    </r>
    <r>
      <rPr>
        <vertAlign val="superscript"/>
        <sz val="11"/>
        <color rgb="FF000000"/>
        <rFont val="Arial"/>
        <family val="2"/>
      </rPr>
      <t>2</t>
    </r>
  </si>
  <si>
    <t>Supply of spare parts for EMBOP as per Technical Specification</t>
  </si>
  <si>
    <t>Supply of spare parts for Cable as per Technical Specification</t>
  </si>
  <si>
    <t>Supply of spare parts for Delivery Cabin as per Technical Specification</t>
  </si>
  <si>
    <t>Supply of spare parts for Parallel_Cabin as per Technical Specification</t>
  </si>
  <si>
    <t>Items listed in the document PSC/ESS for health, safety and environmental measures tailored for the Project</t>
  </si>
  <si>
    <t>Items already included in the PSC (Piano Sicurezza e Coordinamento) / ESS (Estudio de Seguridad y Salud)
Safety costs NOT subject to discount</t>
  </si>
  <si>
    <r>
      <rPr>
        <b/>
        <u/>
        <sz val="9"/>
        <rFont val="Arial"/>
        <family val="2"/>
      </rPr>
      <t>HSE Requirements (rev.03):</t>
    </r>
    <r>
      <rPr>
        <sz val="9"/>
        <rFont val="Arial"/>
        <family val="2"/>
      </rPr>
      <t xml:space="preserve">
par. 13.4. AIR EMISSION &amp; DUST</t>
    </r>
  </si>
  <si>
    <t>AIR EMISSION &amp; DUST: 
Mobile water tankers equipped with sprays system for dust suppression</t>
  </si>
  <si>
    <t>These item can be Mandatory after analysis and needs of the specific project</t>
  </si>
  <si>
    <r>
      <rPr>
        <b/>
        <u/>
        <sz val="9"/>
        <rFont val="Arial"/>
        <family val="2"/>
      </rPr>
      <t>HSE Requirements (rev.03):</t>
    </r>
    <r>
      <rPr>
        <sz val="9"/>
        <rFont val="Arial"/>
        <family val="2"/>
      </rPr>
      <t xml:space="preserve">
par 13.7. BIODIVERSITY</t>
    </r>
  </si>
  <si>
    <t xml:space="preserve">BIODIVERSITY: 
Transplant in out of conservation important vegetal species; Expenses for veterinary intervention </t>
  </si>
  <si>
    <t>Only for Spain</t>
  </si>
  <si>
    <t> Sustainability</t>
  </si>
  <si>
    <t>Sus Plan</t>
  </si>
  <si>
    <t>As per Linea guida security rev03 + Elenco elementi security BoQ</t>
  </si>
  <si>
    <t>Ref. ID</t>
  </si>
  <si>
    <t>Code (by Project)</t>
  </si>
  <si>
    <t>Description</t>
  </si>
  <si>
    <t>[1]</t>
  </si>
  <si>
    <t>HV SLD</t>
  </si>
  <si>
    <t>[2]</t>
  </si>
  <si>
    <t>Substation Layout</t>
  </si>
  <si>
    <t>[3]</t>
  </si>
  <si>
    <t>Earthing Grid Layout</t>
  </si>
  <si>
    <t>[4]</t>
  </si>
  <si>
    <t>Cable List</t>
  </si>
  <si>
    <t>[5]</t>
  </si>
  <si>
    <t>Architecture Diagram</t>
  </si>
  <si>
    <t>[6]</t>
  </si>
  <si>
    <t>LV SLD</t>
  </si>
  <si>
    <t>[7]</t>
  </si>
  <si>
    <t>Lighting System Layout</t>
  </si>
  <si>
    <t>[8]</t>
  </si>
  <si>
    <t>Control Building Layout</t>
  </si>
  <si>
    <t>[9]</t>
  </si>
  <si>
    <t>Lightning System Layout</t>
  </si>
  <si>
    <t>[10]</t>
  </si>
  <si>
    <t>CCVT Layout</t>
  </si>
  <si>
    <t>[11]</t>
  </si>
  <si>
    <t>Typical schematic drawings</t>
  </si>
  <si>
    <t>[12]</t>
  </si>
  <si>
    <t>Environmental Condistion List</t>
  </si>
  <si>
    <t>[13]</t>
  </si>
  <si>
    <t>Road survey</t>
  </si>
  <si>
    <t>[14]</t>
  </si>
  <si>
    <t>EPC_Global_XXXXX - Technical Specification Photovoltaic Power Plant</t>
  </si>
  <si>
    <t>[15]</t>
  </si>
  <si>
    <t>SoW-PV_Tracker_System_Supply_Rev.xx</t>
  </si>
  <si>
    <t>[16]</t>
  </si>
  <si>
    <t>SoW-PV_Fixed_Structure_Rev.xx</t>
  </si>
  <si>
    <t>[17]</t>
  </si>
  <si>
    <t>DPP List_Project XXXXX_rev.xx</t>
  </si>
  <si>
    <t>[18]</t>
  </si>
  <si>
    <t>PSC/EES (if applicable)</t>
  </si>
  <si>
    <t>[19]</t>
  </si>
  <si>
    <t>GRE.EEC.S.21.IT.P.18371.00.126.01 - SOW BOP Pontestura</t>
  </si>
  <si>
    <t>SOW_Electromechanical_BOP_Rev.xx</t>
  </si>
  <si>
    <t>[20]</t>
  </si>
  <si>
    <t>SOW_Cable_Rev.xx</t>
  </si>
  <si>
    <t>[21]</t>
  </si>
  <si>
    <t>SOW_Delivery_Cabin_Rev.xx</t>
  </si>
  <si>
    <t>[22]</t>
  </si>
  <si>
    <t>SOW_Parallel_Cabin_Rev.xx</t>
  </si>
  <si>
    <t>[23]</t>
  </si>
  <si>
    <t>SOW_LV-MV_Cabin_Rev.xx</t>
  </si>
  <si>
    <t>[24]</t>
  </si>
  <si>
    <t>SOW_PV_Convertion_Unit_Rev.xx</t>
  </si>
  <si>
    <t>[25]</t>
  </si>
  <si>
    <t>SOW_String_Inverter_Rev.xx</t>
  </si>
  <si>
    <t>[26]</t>
  </si>
  <si>
    <t>GRE.EEC.S.25.XX.S.00000.15.001.00</t>
  </si>
  <si>
    <t>TS Civil Works</t>
  </si>
  <si>
    <t>Labour rates-Machine rental rates</t>
  </si>
  <si>
    <t>Labour rates</t>
  </si>
  <si>
    <t>CIVIL ENGINEER</t>
  </si>
  <si>
    <t>H</t>
  </si>
  <si>
    <t>GEOLOGIST</t>
  </si>
  <si>
    <t>TOPOGRAPHER</t>
  </si>
  <si>
    <t>ASSISTANT TOPOGRAPHER</t>
  </si>
  <si>
    <t>QS ENGINEER</t>
  </si>
  <si>
    <t>DRAFTSMAN</t>
  </si>
  <si>
    <t>SPECIALIZED WORKER</t>
  </si>
  <si>
    <t>SKILLED WORKER</t>
  </si>
  <si>
    <t>UNSKILLED WORKER</t>
  </si>
  <si>
    <t>FROGMAN</t>
  </si>
  <si>
    <t>D</t>
  </si>
  <si>
    <t>Machine rental rates</t>
  </si>
  <si>
    <t>SECTIONAL MOBILE TOWERS OF BASE 2X2M AND HEIGHT UP TO 5M</t>
  </si>
  <si>
    <t>SECTIONAL MOBILE TOWERS OF BASE 2X2M AND HEIGHT &gt; 5 TO 10M</t>
  </si>
  <si>
    <t>AERIAL PLATFORM OF HEIGHT UP TO 20M AND CAPACITY LOAD UP TO 1T</t>
  </si>
  <si>
    <t>AERIAL PLATFORM OF HEIGHT &gt; 20 TO 50M AND CAPACITY LOAD UP TO 1T</t>
  </si>
  <si>
    <t>AERIAL PLATFORM OF HEIGHT &gt; 50 TO 90M AND CAPACITY LOAD UP TO 1T</t>
  </si>
  <si>
    <t xml:space="preserve">ERECTION, RENT FOR TWO MONTHS AND DISMANTLEMENT OF SCAFFOLDING </t>
  </si>
  <si>
    <t>M3</t>
  </si>
  <si>
    <t>MONTHLY RENT OF SCAFFOLDING, EXCEEDING TWO MONTHS</t>
  </si>
  <si>
    <t>DUMP TRICAR</t>
  </si>
  <si>
    <t>DUMP TRUCK UP TO 8T</t>
  </si>
  <si>
    <t>DUMP TRUCK EXCEEDING 8T</t>
  </si>
  <si>
    <t>TRUCK WITH CRANE UP TO 6T</t>
  </si>
  <si>
    <t>STATIC TANDEM ROAD ROLLER COMPACTOR &gt; 4 TO 8T</t>
  </si>
  <si>
    <t>STATIC TANDEM ROAD ROLLER COMPACTOR &gt; 8 TO 14T</t>
  </si>
  <si>
    <t>STATIC TANDEM ROAD ROLLER COMPACTOR &gt; 14 TO 18T</t>
  </si>
  <si>
    <t>VIBRATING ROAD ROLLER COMPACTOR UP TO 8T</t>
  </si>
  <si>
    <t>VIBRATING ROAD ROLLER COMPACTOR &gt; 8 TO 14T</t>
  </si>
  <si>
    <t>VIBRATING ROAD ROLLER COMPACTOR &gt; 14 TO 18T</t>
  </si>
  <si>
    <t>COMPACTOR WITH FOOT ROLLER</t>
  </si>
  <si>
    <t>COMPACTOR WITH PLAINE ROLLER</t>
  </si>
  <si>
    <t>MOTORGRADER UP TO 185HP</t>
  </si>
  <si>
    <t>MINI-EXCAVATOR OF 1,5T</t>
  </si>
  <si>
    <t>LOADER WITH BUCKET UP TO 1000L</t>
  </si>
  <si>
    <t>LOADER WITH BUCKET &gt; 1000 TO 2000L</t>
  </si>
  <si>
    <t>EXCAVATOR WITH BUCKET UP TO 500L</t>
  </si>
  <si>
    <t>EXCAVATOR WITH BUCKET &gt; 500 TO 750L</t>
  </si>
  <si>
    <t>EXCAVATOR WITH BUCKET &gt; 750 TO 1000L</t>
  </si>
  <si>
    <t>EXCAVATOR WITH DESTROYER HAMMER</t>
  </si>
  <si>
    <t>BACKHOE LOADER UP TO 90HP</t>
  </si>
  <si>
    <t>TRUCK MIXER &gt; 6 TO 11M3 NET</t>
  </si>
  <si>
    <t>MOBILE CONCRETE PUMP</t>
  </si>
  <si>
    <t>JET COMBINED MOTOR VEHICLE FOR SEWERS CLEAN OUT, INCLUDING TEAM EMPLOYED ON A OPERATION</t>
  </si>
  <si>
    <t>BOAT FOR DIVER, CREW INCLUDED</t>
  </si>
  <si>
    <t>TUGBOAT UP TO 300HP WITH DRIVER</t>
  </si>
  <si>
    <t>TUGBOAT &gt; 300 TO 500HP WITH DRIVER</t>
  </si>
  <si>
    <t>PONTOON UP TO 100T</t>
  </si>
  <si>
    <t>PONTOON &gt; 100 TO 300T</t>
  </si>
  <si>
    <t>MOBILE CRANE UP TO 6T</t>
  </si>
  <si>
    <t>MOBILE CRANE &gt; 6 TO 25T</t>
  </si>
  <si>
    <t>MOBILE CRANE &gt; 25 TO 60T</t>
  </si>
  <si>
    <t>MOBILE CRANE &gt; 60 TO 100T</t>
  </si>
  <si>
    <t>MOBILE CRANE &gt; 100 TO 150T</t>
  </si>
  <si>
    <t>TANK TRUCK &gt; 6000 TO 9000L</t>
  </si>
  <si>
    <t>ELECTRIC WELDING MACHINE</t>
  </si>
  <si>
    <t>MOTOR WELDING MACHINE</t>
  </si>
  <si>
    <t>OXYACETYLENE EQUIPMENT</t>
  </si>
  <si>
    <t>ELECTRIC VIBRATOR FOR CONCRETES</t>
  </si>
  <si>
    <t>MOTOR PUMP UP TO &gt; 5KW</t>
  </si>
  <si>
    <t>MOTOR PUMP &gt; 5 TO 20KW</t>
  </si>
  <si>
    <t>MOTOR PUMP &gt; 20 TO 50KW</t>
  </si>
  <si>
    <t>MOTOR PUMP EXCEEDING 50KW</t>
  </si>
  <si>
    <t>ELECTRIC PUMP UP TO &gt; 5KW</t>
  </si>
  <si>
    <t>ELECTRIC PUMP &gt; 5 TO 20KW</t>
  </si>
  <si>
    <t>ELECTRIC PUMP &gt; 20 TO 50KW</t>
  </si>
  <si>
    <t>ELECTRIC PUMP EXCEEDING 50KW</t>
  </si>
  <si>
    <t>ELECTRIC AIR COMPRESSOR WITH ONE PNEUMATIC DRILL</t>
  </si>
  <si>
    <t>MOTOR AIR COMPRESSOR WITH ONE PNEUMATIC DRILL</t>
  </si>
  <si>
    <t>ELECTRIC DEMOLITION HAMMER</t>
  </si>
  <si>
    <t>quantità riferita alla sistemazione strade esistenti a nord impianto - strada Maura - OPZIONALE</t>
  </si>
  <si>
    <t>02'</t>
  </si>
  <si>
    <t>BOP Advanced Basic Design Approach</t>
  </si>
  <si>
    <t>Includes:
Detail Design + BIM (Civil Design, Electrical Design, Cable Design etc as per DPP list) &amp; As-Built Design. Detail Design included documents for: Genio Civile, SCIA Antincendio, DILA (VNS report)
Documentation and Studies accordinly Grid Operator Needs (e.i. Dynamic Model of the whole system LV/MV/HV, etc)</t>
  </si>
  <si>
    <t>3. STRUCTURAL AND GEOTECHNICAL WORKS</t>
  </si>
  <si>
    <t>PV Modules String Cabling [Q] - installation</t>
  </si>
  <si>
    <r>
      <t xml:space="preserve">HORIZONTAL DIRECTIONAL DRILLING (HDD): CABLES/PIPES/CONDUITS </t>
    </r>
    <r>
      <rPr>
        <b/>
        <sz val="10"/>
        <color rgb="FFFF0000"/>
        <rFont val="Arial"/>
        <family val="2"/>
      </rPr>
      <t>DIAMETER  &gt; 12 INCHES / 250 MM</t>
    </r>
    <r>
      <rPr>
        <sz val="10"/>
        <rFont val="Arial"/>
        <family val="2"/>
      </rPr>
      <t xml:space="preserve"> - Installation</t>
    </r>
  </si>
  <si>
    <r>
      <t xml:space="preserve">EXCAVATION AND BACKFILLING (INCLUDING SAND BED, IF NECESSARY ACCORDING TO THE DESIGN, REPLACING OF ROAD LAYERS - IF ANY- ALWAYS INCLUDED) FOR </t>
    </r>
    <r>
      <rPr>
        <b/>
        <sz val="10"/>
        <color rgb="FFFF0000"/>
        <rFont val="Arial"/>
        <family val="2"/>
      </rPr>
      <t>TYPICAL MV TRENCH 1C - 110 x48 CM (MIN) - N.1 THREE-PHASE MV LINE</t>
    </r>
    <r>
      <rPr>
        <sz val="10"/>
        <color rgb="FFFF0000"/>
        <rFont val="Arial"/>
        <family val="2"/>
      </rPr>
      <t xml:space="preserve"> - Installation</t>
    </r>
  </si>
  <si>
    <t>Active anti-rodent System [L] - Supply</t>
  </si>
  <si>
    <r>
      <t xml:space="preserve">Installation and interconnection of </t>
    </r>
    <r>
      <rPr>
        <b/>
        <sz val="11"/>
        <color theme="1"/>
        <rFont val="Arial"/>
        <family val="2"/>
      </rPr>
      <t>USER CABIN</t>
    </r>
    <r>
      <rPr>
        <sz val="11"/>
        <color theme="1"/>
        <rFont val="Arial"/>
        <family val="2"/>
      </rPr>
      <t xml:space="preserve"> (CABINA UTENTE) -  Including Plant SCADA cabinet (Out of scope of sup) and all types of connections from outside the cabin: MV cables, LV cables, communication and control, primary earth grid, I&amp;C Communication panel.</t>
    </r>
    <r>
      <rPr>
        <sz val="10"/>
        <rFont val="Arial"/>
        <family val="2"/>
      </rPr>
      <t xml:space="preserve"> - Installation</t>
    </r>
  </si>
  <si>
    <t>La differenza di prezzo con l'accordo quadro risiede nel fatto che la barriera dell'impianto richiesta è diversa da quella offerta nell'accordo quadro.</t>
  </si>
  <si>
    <t>Voce non comparabile con l'accordo quadro, poiché la ripartizione è diversa.</t>
  </si>
  <si>
    <r>
      <rPr>
        <b/>
        <sz val="8"/>
        <color theme="4" tint="-0.249977111117893"/>
        <rFont val="Arial"/>
        <family val="2"/>
      </rPr>
      <t>L'accordo quadro non includeva la fornitura della stazione meteorologica.</t>
    </r>
    <r>
      <rPr>
        <sz val="8"/>
        <rFont val="Arial"/>
        <family val="2"/>
      </rPr>
      <t xml:space="preserve">
Per i sensori includere cavo comunicazione/alimentazione al datalogger (se non incluso nella fornitura del sensore).
Includere cavo comunicazione dal datalogger allo switch della TC più vicina (LV aux per alimentazionazione del datalogger dalla TC più vicina conteggiati nell'item 21.01.09.00)</t>
    </r>
  </si>
  <si>
    <t>È stata inclusa la fondazione.</t>
  </si>
  <si>
    <t>Il 70% dello scavo deve essere asfaltato, da qui l'aumento del prezzo.</t>
  </si>
  <si>
    <t>Le telecamere richieste negli ultimi progetti con ENEL devono disporre di analisi video. Quelle offerte nell'accordo quadro non lo includevano.</t>
  </si>
  <si>
    <t>Total Optional €/W</t>
  </si>
  <si>
    <t>Total BOP</t>
  </si>
  <si>
    <t>MV 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</si>
</sst>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43" formatCode="_-* #,##0.00_-;\-* #,##0.00_-;_-* &quot;-&quot;??_-;_-@_-"/>
    <numFmt numFmtId="164" formatCode="_(&quot;$&quot;* #,##0.00_);_(&quot;$&quot;* \(#,##0.00\);_(&quot;$&quot;* &quot;-&quot;??_);_(@_)"/>
    <numFmt numFmtId="165" formatCode="_(* #,##0.00_);_(* \(#,##0.00\);_(* &quot;-&quot;??_);_(@_)"/>
    <numFmt numFmtId="166" formatCode="#,##0.00\ &quot;€&quot;"/>
    <numFmt numFmtId="167" formatCode="_-[$€-2]\ * #,##0.00_-;\-[$€-2]\ * #,##0.00_-;_-[$€-2]\ * &quot;-&quot;??_-;_-@_-"/>
    <numFmt numFmtId="168" formatCode="_-[$$-409]* #,##0.00_ ;_-[$$-409]* \-#,##0.00\ ;_-[$$-409]* &quot;-&quot;??_ ;_-@_ "/>
    <numFmt numFmtId="169" formatCode="_-* #,##0.0_-;\-* #,##0.0_-;_-* &quot;-&quot;?_-;_-@_-"/>
    <numFmt numFmtId="170" formatCode="_-* #,##0.00_-;\-* #,##0.00_-;_-* &quot;-&quot;?_-;_-@_-"/>
    <numFmt numFmtId="171" formatCode="_-* #,##0.0_-;\-* #,##0.0_-;_-* &quot;-&quot;??_-;_-@_-"/>
    <numFmt numFmtId="172" formatCode="_-&quot;€&quot;\ * #,##0.00_-;\-&quot;€&quot;\ * #,##0.00_-;_-&quot;€&quot;\ * &quot;-&quot;??_-;_-@_-"/>
    <numFmt numFmtId="173" formatCode="_-[$MXN]\ * #,##0.00_-;\-[$MXN]\ * #,##0.00_-;_-[$MXN]\ * &quot;-&quot;??_-;_-@_-"/>
    <numFmt numFmtId="174" formatCode="0.0000"/>
    <numFmt numFmtId="175" formatCode="_(* #,##0.000_);_(* \(#,##0.000\);_(* &quot;-&quot;??_);_(@_)"/>
    <numFmt numFmtId="176" formatCode="_-* #,##0.00\ [$EUR]_-;\-* #,##0.00\ [$EUR]_-;_-* &quot;-&quot;??\ [$EUR]_-;_-@_-"/>
    <numFmt numFmtId="177" formatCode="[$USD]\ #,##0.00"/>
    <numFmt numFmtId="178" formatCode="_-* #,##0.000\ _€_-;\-* #,##0.000\ _€_-;_-* &quot;-&quot;???\ _€_-;_-@_-"/>
    <numFmt numFmtId="179" formatCode="_-* #,##0.00\ [$€-410]_-;\-* #,##0.00\ [$€-410]_-;_-* &quot;-&quot;??\ [$€-410]_-;_-@_-"/>
    <numFmt numFmtId="180" formatCode="_-* #,##0.000\ [$€-410]_-;\-* #,##0.000\ [$€-410]_-;_-* &quot;-&quot;??\ [$€-410]_-;_-@_-"/>
  </numFmts>
  <fonts count="156" x14ac:knownFonts="1">
    <font>
      <sz val="11"/>
      <color theme="1"/>
      <name val="Calibri"/>
      <family val="2"/>
      <scheme val="minor"/>
    </font>
    <font>
      <sz val="11"/>
      <color theme="1"/>
      <name val="Calibri"/>
      <family val="2"/>
      <scheme val="minor"/>
    </font>
    <font>
      <sz val="10"/>
      <color theme="1"/>
      <name val="Arial"/>
      <family val="2"/>
    </font>
    <font>
      <b/>
      <sz val="12"/>
      <color theme="1"/>
      <name val="Calibri"/>
      <family val="2"/>
      <scheme val="minor"/>
    </font>
    <font>
      <b/>
      <sz val="12"/>
      <color theme="0"/>
      <name val="Arial"/>
      <family val="2"/>
    </font>
    <font>
      <b/>
      <sz val="11"/>
      <color theme="1"/>
      <name val="Arial"/>
      <family val="2"/>
    </font>
    <font>
      <b/>
      <sz val="11"/>
      <name val="Arial"/>
      <family val="2"/>
    </font>
    <font>
      <sz val="11"/>
      <name val="Arial"/>
      <family val="2"/>
    </font>
    <font>
      <sz val="10"/>
      <name val="Arial"/>
      <family val="2"/>
    </font>
    <font>
      <b/>
      <sz val="11"/>
      <color rgb="FFFF0000"/>
      <name val="Arial"/>
      <family val="2"/>
    </font>
    <font>
      <b/>
      <sz val="12"/>
      <name val="Arial"/>
      <family val="2"/>
    </font>
    <font>
      <b/>
      <sz val="10"/>
      <name val="Arial"/>
      <family val="2"/>
    </font>
    <font>
      <sz val="12"/>
      <color theme="1"/>
      <name val="Calibri"/>
      <family val="2"/>
      <scheme val="minor"/>
    </font>
    <font>
      <i/>
      <sz val="10"/>
      <color theme="1"/>
      <name val="Arial"/>
      <family val="2"/>
    </font>
    <font>
      <sz val="10"/>
      <color rgb="FFC00000"/>
      <name val="Arial"/>
      <family val="2"/>
    </font>
    <font>
      <sz val="12"/>
      <color theme="0"/>
      <name val="Arial"/>
      <family val="2"/>
    </font>
    <font>
      <i/>
      <sz val="12"/>
      <color theme="0"/>
      <name val="Arial"/>
      <family val="2"/>
    </font>
    <font>
      <sz val="11"/>
      <color theme="1"/>
      <name val="Arial"/>
      <family val="2"/>
    </font>
    <font>
      <i/>
      <sz val="11"/>
      <color theme="1"/>
      <name val="Arial"/>
      <family val="2"/>
    </font>
    <font>
      <sz val="11"/>
      <color rgb="FFC00000"/>
      <name val="Arial"/>
      <family val="2"/>
    </font>
    <font>
      <b/>
      <sz val="10"/>
      <color rgb="FFFF0000"/>
      <name val="Arial"/>
      <family val="2"/>
    </font>
    <font>
      <b/>
      <sz val="10"/>
      <color theme="0"/>
      <name val="Arial"/>
      <family val="2"/>
    </font>
    <font>
      <vertAlign val="superscript"/>
      <sz val="10"/>
      <name val="Arial"/>
      <family val="2"/>
    </font>
    <font>
      <sz val="10"/>
      <color theme="0"/>
      <name val="Arial"/>
      <family val="2"/>
    </font>
    <font>
      <b/>
      <vertAlign val="superscript"/>
      <sz val="10"/>
      <color rgb="FFFF0000"/>
      <name val="Arial"/>
      <family val="2"/>
    </font>
    <font>
      <sz val="10"/>
      <color theme="3"/>
      <name val="Arial"/>
      <family val="2"/>
    </font>
    <font>
      <vertAlign val="superscript"/>
      <sz val="10"/>
      <color theme="3"/>
      <name val="Arial"/>
      <family val="2"/>
    </font>
    <font>
      <sz val="10"/>
      <color rgb="FFF434F4"/>
      <name val="Arial"/>
      <family val="2"/>
    </font>
    <font>
      <b/>
      <sz val="10"/>
      <color rgb="FFF434F4"/>
      <name val="Arial"/>
      <family val="2"/>
    </font>
    <font>
      <b/>
      <sz val="10"/>
      <color rgb="FFFF0000"/>
      <name val="Symbol"/>
      <family val="1"/>
      <charset val="2"/>
    </font>
    <font>
      <sz val="12"/>
      <name val="Arial"/>
      <family val="2"/>
    </font>
    <font>
      <sz val="10"/>
      <name val="Arial"/>
      <family val="2"/>
    </font>
    <font>
      <sz val="10"/>
      <name val="Century Gothic"/>
      <family val="2"/>
    </font>
    <font>
      <b/>
      <i/>
      <sz val="10"/>
      <name val="Arial"/>
      <family val="2"/>
    </font>
    <font>
      <i/>
      <sz val="10"/>
      <name val="Arial"/>
      <family val="2"/>
    </font>
    <font>
      <sz val="8"/>
      <name val="Arial"/>
      <family val="2"/>
    </font>
    <font>
      <u/>
      <sz val="10"/>
      <name val="Arial"/>
      <family val="2"/>
    </font>
    <font>
      <sz val="9"/>
      <name val="Arial"/>
      <family val="2"/>
    </font>
    <font>
      <b/>
      <u/>
      <sz val="9"/>
      <name val="Arial"/>
      <family val="2"/>
    </font>
    <font>
      <b/>
      <sz val="9"/>
      <color indexed="81"/>
      <name val="Tahoma"/>
      <family val="2"/>
    </font>
    <font>
      <sz val="9"/>
      <color indexed="81"/>
      <name val="Tahoma"/>
      <family val="2"/>
    </font>
    <font>
      <b/>
      <sz val="9"/>
      <name val="Arial"/>
      <family val="2"/>
    </font>
    <font>
      <b/>
      <sz val="10"/>
      <color theme="1"/>
      <name val="Arial"/>
      <family val="2"/>
    </font>
    <font>
      <b/>
      <sz val="11"/>
      <color rgb="FF000000"/>
      <name val="Arial"/>
      <family val="2"/>
    </font>
    <font>
      <sz val="11"/>
      <color rgb="FF000000"/>
      <name val="Arial"/>
      <family val="2"/>
    </font>
    <font>
      <sz val="11"/>
      <color rgb="FF000000"/>
      <name val="Aptos Narrow"/>
      <family val="2"/>
    </font>
    <font>
      <vertAlign val="superscript"/>
      <sz val="11"/>
      <color rgb="FF000000"/>
      <name val="Arial"/>
      <family val="2"/>
    </font>
    <font>
      <sz val="8"/>
      <color rgb="FF000000"/>
      <name val="Arial"/>
      <family val="2"/>
    </font>
    <font>
      <b/>
      <u/>
      <sz val="8"/>
      <color rgb="FF000000"/>
      <name val="Arial"/>
      <family val="2"/>
    </font>
    <font>
      <b/>
      <sz val="8"/>
      <name val="Arial"/>
      <family val="2"/>
    </font>
    <font>
      <b/>
      <sz val="10"/>
      <name val="Arial"/>
      <family val="2"/>
    </font>
    <font>
      <sz val="9"/>
      <color rgb="FF000000"/>
      <name val="Arial"/>
      <family val="2"/>
    </font>
    <font>
      <b/>
      <sz val="8"/>
      <name val="Wingdings"/>
      <charset val="2"/>
    </font>
    <font>
      <b/>
      <sz val="10"/>
      <name val="Wingdings"/>
      <charset val="2"/>
    </font>
    <font>
      <sz val="5"/>
      <color theme="0"/>
      <name val="Arial"/>
      <family val="2"/>
    </font>
    <font>
      <b/>
      <sz val="8"/>
      <color theme="0"/>
      <name val="Arial"/>
      <family val="2"/>
    </font>
    <font>
      <b/>
      <i/>
      <u/>
      <sz val="10"/>
      <color theme="3"/>
      <name val="Arial Narrow"/>
      <family val="2"/>
    </font>
    <font>
      <sz val="10"/>
      <color theme="3"/>
      <name val="Arial Narrow"/>
      <family val="2"/>
    </font>
    <font>
      <b/>
      <sz val="14"/>
      <color theme="3"/>
      <name val="Arial Narrow"/>
      <family val="2"/>
    </font>
    <font>
      <b/>
      <sz val="10"/>
      <color theme="3"/>
      <name val="Arial Narrow"/>
      <family val="2"/>
    </font>
    <font>
      <sz val="10"/>
      <color theme="3"/>
      <name val="Calibri"/>
      <family val="2"/>
      <scheme val="minor"/>
    </font>
    <font>
      <sz val="11"/>
      <color theme="3"/>
      <name val="Calibri"/>
      <family val="2"/>
      <scheme val="minor"/>
    </font>
    <font>
      <b/>
      <sz val="12"/>
      <color theme="3"/>
      <name val="Arial Narrow"/>
      <family val="2"/>
    </font>
    <font>
      <b/>
      <i/>
      <sz val="10"/>
      <color rgb="FFFF0000"/>
      <name val="Arial Narrow"/>
      <family val="2"/>
    </font>
    <font>
      <b/>
      <i/>
      <sz val="10"/>
      <color theme="3"/>
      <name val="Arial Narrow"/>
      <family val="2"/>
    </font>
    <font>
      <b/>
      <sz val="10"/>
      <color rgb="FFFF0000"/>
      <name val="Arial Narrow"/>
      <family val="2"/>
    </font>
    <font>
      <b/>
      <i/>
      <sz val="10"/>
      <color theme="0"/>
      <name val="Arial Narrow"/>
      <family val="2"/>
    </font>
    <font>
      <b/>
      <i/>
      <sz val="10"/>
      <color theme="3"/>
      <name val="Calibri"/>
      <family val="2"/>
      <scheme val="minor"/>
    </font>
    <font>
      <b/>
      <sz val="12"/>
      <color rgb="FFFF0000"/>
      <name val="Arial Narrow"/>
      <family val="2"/>
    </font>
    <font>
      <b/>
      <i/>
      <sz val="12"/>
      <color theme="3"/>
      <name val="Calibri"/>
      <family val="2"/>
      <scheme val="minor"/>
    </font>
    <font>
      <sz val="10"/>
      <color rgb="FFFF0000"/>
      <name val="Arial Narrow"/>
      <family val="2"/>
    </font>
    <font>
      <strike/>
      <sz val="10"/>
      <color theme="3"/>
      <name val="Arial Narrow"/>
      <family val="2"/>
    </font>
    <font>
      <sz val="10"/>
      <name val="MS Sans Serif"/>
    </font>
    <font>
      <b/>
      <sz val="10"/>
      <color indexed="9"/>
      <name val="Arial"/>
      <family val="2"/>
    </font>
    <font>
      <b/>
      <strike/>
      <sz val="10"/>
      <name val="Arial"/>
      <family val="2"/>
    </font>
    <font>
      <strike/>
      <sz val="10"/>
      <name val="Arial"/>
      <family val="2"/>
    </font>
    <font>
      <b/>
      <i/>
      <sz val="10"/>
      <name val="Arial Narrow"/>
      <family val="2"/>
    </font>
    <font>
      <b/>
      <sz val="10"/>
      <color rgb="FF000000"/>
      <name val="Arial"/>
      <family val="2"/>
    </font>
    <font>
      <b/>
      <vertAlign val="superscript"/>
      <sz val="10"/>
      <color rgb="FF44546A"/>
      <name val="Arial Narrow"/>
      <family val="2"/>
    </font>
    <font>
      <b/>
      <sz val="12"/>
      <color rgb="FFFF0000"/>
      <name val="Arial"/>
      <family val="2"/>
    </font>
    <font>
      <sz val="12"/>
      <color rgb="FFF434F4"/>
      <name val="Arial"/>
      <family val="2"/>
    </font>
    <font>
      <b/>
      <sz val="12"/>
      <color rgb="FFFFFFFF"/>
      <name val="Arial"/>
      <family val="2"/>
    </font>
    <font>
      <sz val="12"/>
      <name val="Calibri"/>
      <family val="2"/>
    </font>
    <font>
      <sz val="12"/>
      <color rgb="FFFF0000"/>
      <name val="Arial"/>
      <family val="2"/>
    </font>
    <font>
      <sz val="12"/>
      <color rgb="FF000000"/>
      <name val="Arial"/>
      <family val="2"/>
    </font>
    <font>
      <sz val="10"/>
      <color theme="1"/>
      <name val="Calibri"/>
      <family val="2"/>
      <scheme val="minor"/>
    </font>
    <font>
      <sz val="8"/>
      <color theme="1"/>
      <name val="Calibri"/>
      <family val="2"/>
      <scheme val="minor"/>
    </font>
    <font>
      <b/>
      <sz val="9"/>
      <color rgb="FFFF0000"/>
      <name val="Arial"/>
      <family val="2"/>
    </font>
    <font>
      <sz val="8"/>
      <color rgb="FF1F1F1F"/>
      <name val="Arial"/>
      <family val="2"/>
    </font>
    <font>
      <sz val="11"/>
      <color rgb="FFFF0000"/>
      <name val="Calibri"/>
      <family val="2"/>
      <scheme val="minor"/>
    </font>
    <font>
      <sz val="11"/>
      <color theme="0"/>
      <name val="Calibri"/>
      <family val="2"/>
      <scheme val="minor"/>
    </font>
    <font>
      <sz val="11"/>
      <name val="Calibri"/>
      <family val="2"/>
      <scheme val="minor"/>
    </font>
    <font>
      <b/>
      <i/>
      <sz val="12"/>
      <color theme="1"/>
      <name val="Arial Narrow"/>
      <family val="2"/>
    </font>
    <font>
      <i/>
      <sz val="10"/>
      <color theme="1"/>
      <name val="Arial Narrow"/>
      <family val="2"/>
    </font>
    <font>
      <b/>
      <i/>
      <sz val="11"/>
      <color theme="1"/>
      <name val="Calibri"/>
      <family val="2"/>
      <scheme val="minor"/>
    </font>
    <font>
      <sz val="11"/>
      <color rgb="FF00B050"/>
      <name val="Calibri"/>
      <family val="2"/>
      <scheme val="minor"/>
    </font>
    <font>
      <i/>
      <sz val="7"/>
      <color theme="1"/>
      <name val="Calibri"/>
      <family val="2"/>
      <scheme val="minor"/>
    </font>
    <font>
      <i/>
      <sz val="10"/>
      <color theme="3"/>
      <name val="Arial Narrow"/>
      <family val="2"/>
    </font>
    <font>
      <i/>
      <sz val="11"/>
      <color theme="1"/>
      <name val="Calibri"/>
      <family val="2"/>
      <scheme val="minor"/>
    </font>
    <font>
      <sz val="8"/>
      <name val="Calibri"/>
      <family val="2"/>
      <scheme val="minor"/>
    </font>
    <font>
      <b/>
      <sz val="11"/>
      <color theme="3"/>
      <name val="Calibri"/>
      <family val="2"/>
      <scheme val="minor"/>
    </font>
    <font>
      <b/>
      <sz val="11"/>
      <color theme="1"/>
      <name val="Calibri"/>
      <family val="2"/>
      <scheme val="minor"/>
    </font>
    <font>
      <b/>
      <sz val="11"/>
      <color theme="0"/>
      <name val="Calibri"/>
      <family val="2"/>
      <scheme val="minor"/>
    </font>
    <font>
      <i/>
      <strike/>
      <sz val="11"/>
      <color theme="1"/>
      <name val="Arial"/>
      <family val="2"/>
    </font>
    <font>
      <i/>
      <strike/>
      <sz val="12"/>
      <color theme="0"/>
      <name val="Arial"/>
      <family val="2"/>
    </font>
    <font>
      <i/>
      <strike/>
      <sz val="10"/>
      <name val="Arial"/>
      <family val="2"/>
    </font>
    <font>
      <sz val="10"/>
      <color rgb="FF00B050"/>
      <name val="Arial Narrow"/>
      <family val="2"/>
    </font>
    <font>
      <sz val="10"/>
      <color rgb="FF000000"/>
      <name val="Arial Narrow"/>
      <family val="2"/>
    </font>
    <font>
      <b/>
      <i/>
      <sz val="10"/>
      <color rgb="FF00B050"/>
      <name val="Arial Narrow"/>
      <family val="2"/>
    </font>
    <font>
      <b/>
      <i/>
      <sz val="10"/>
      <color rgb="FF000000"/>
      <name val="Arial Narrow"/>
      <family val="2"/>
    </font>
    <font>
      <b/>
      <i/>
      <strike/>
      <sz val="10"/>
      <color theme="3"/>
      <name val="Arial Narrow"/>
      <family val="2"/>
    </font>
    <font>
      <sz val="10"/>
      <color rgb="FFC00000"/>
      <name val="Calibri"/>
      <family val="2"/>
      <scheme val="minor"/>
    </font>
    <font>
      <i/>
      <sz val="10"/>
      <color rgb="FFC00000"/>
      <name val="Arial Narrow"/>
      <family val="2"/>
    </font>
    <font>
      <i/>
      <sz val="10"/>
      <color rgb="FF000000"/>
      <name val="Arial Narrow"/>
      <family val="2"/>
    </font>
    <font>
      <b/>
      <i/>
      <sz val="10"/>
      <color rgb="FFC00000"/>
      <name val="Arial Narrow"/>
      <family val="2"/>
    </font>
    <font>
      <sz val="10"/>
      <name val="Arial Narrow"/>
      <family val="2"/>
    </font>
    <font>
      <sz val="10"/>
      <color rgb="FF000000"/>
      <name val="Arial"/>
      <family val="2"/>
    </font>
    <font>
      <b/>
      <sz val="11"/>
      <color rgb="FF000000"/>
      <name val="Aptos"/>
      <family val="2"/>
    </font>
    <font>
      <sz val="11"/>
      <color theme="1"/>
      <name val="Aptos"/>
      <family val="2"/>
    </font>
    <font>
      <b/>
      <sz val="11"/>
      <color theme="1"/>
      <name val="Aptos"/>
      <family val="2"/>
    </font>
    <font>
      <sz val="11"/>
      <name val="Aptos"/>
      <family val="2"/>
    </font>
    <font>
      <b/>
      <sz val="11"/>
      <name val="Aptos"/>
      <family val="2"/>
    </font>
    <font>
      <b/>
      <sz val="10"/>
      <name val="Arial Narrow"/>
      <family val="2"/>
    </font>
    <font>
      <b/>
      <u/>
      <sz val="11"/>
      <name val="Aptos"/>
      <family val="2"/>
    </font>
    <font>
      <b/>
      <u/>
      <sz val="11"/>
      <color theme="1"/>
      <name val="Aptos"/>
      <family val="2"/>
    </font>
    <font>
      <u/>
      <sz val="11"/>
      <name val="Aptos"/>
      <family val="2"/>
    </font>
    <font>
      <i/>
      <u/>
      <sz val="11"/>
      <name val="Aptos"/>
      <family val="2"/>
    </font>
    <font>
      <b/>
      <sz val="10"/>
      <name val="Aptos"/>
      <family val="2"/>
    </font>
    <font>
      <b/>
      <sz val="11"/>
      <color rgb="FFFF0000"/>
      <name val="Aptos"/>
      <family val="2"/>
    </font>
    <font>
      <b/>
      <strike/>
      <sz val="11"/>
      <color rgb="FFFF0000"/>
      <name val="Aptos"/>
      <family val="2"/>
    </font>
    <font>
      <sz val="10"/>
      <color rgb="FFFF0000"/>
      <name val="Arial"/>
      <family val="2"/>
    </font>
    <font>
      <i/>
      <sz val="10"/>
      <name val="Arial Narrow"/>
      <family val="2"/>
    </font>
    <font>
      <b/>
      <i/>
      <strike/>
      <sz val="10"/>
      <name val="Arial Narrow"/>
      <family val="2"/>
    </font>
    <font>
      <strike/>
      <sz val="10"/>
      <name val="Arial Narrow"/>
      <family val="2"/>
    </font>
    <font>
      <sz val="10"/>
      <name val="Calibri"/>
      <family val="2"/>
      <scheme val="minor"/>
    </font>
    <font>
      <b/>
      <sz val="12"/>
      <name val="Arial Narrow"/>
      <family val="2"/>
    </font>
    <font>
      <sz val="10"/>
      <name val="Aptos"/>
      <family val="2"/>
    </font>
    <font>
      <i/>
      <sz val="8"/>
      <name val="Arial"/>
      <family val="2"/>
    </font>
    <font>
      <b/>
      <i/>
      <sz val="10"/>
      <color theme="3"/>
      <name val="Arial"/>
      <family val="2"/>
    </font>
    <font>
      <sz val="11"/>
      <color rgb="FFFF0000"/>
      <name val="Arial"/>
      <family val="2"/>
    </font>
    <font>
      <i/>
      <sz val="11"/>
      <name val="Arial"/>
      <family val="2"/>
    </font>
    <font>
      <b/>
      <sz val="14"/>
      <name val="Arial"/>
      <family val="2"/>
    </font>
    <font>
      <b/>
      <sz val="16"/>
      <name val="Arial"/>
      <family val="2"/>
    </font>
    <font>
      <sz val="11"/>
      <color theme="3"/>
      <name val="Arial"/>
      <family val="2"/>
    </font>
    <font>
      <b/>
      <u/>
      <sz val="11"/>
      <name val="Arial"/>
      <family val="2"/>
    </font>
    <font>
      <b/>
      <i/>
      <u/>
      <sz val="11"/>
      <name val="Arial"/>
      <family val="2"/>
    </font>
    <font>
      <b/>
      <i/>
      <sz val="10"/>
      <color theme="0"/>
      <name val="Arial"/>
      <family val="2"/>
    </font>
    <font>
      <b/>
      <i/>
      <sz val="11"/>
      <color theme="0"/>
      <name val="Arial"/>
      <family val="2"/>
    </font>
    <font>
      <i/>
      <sz val="10"/>
      <color theme="0"/>
      <name val="Arial"/>
      <family val="2"/>
    </font>
    <font>
      <b/>
      <sz val="10"/>
      <color theme="1"/>
      <name val="Calibri"/>
      <family val="2"/>
      <scheme val="minor"/>
    </font>
    <font>
      <b/>
      <sz val="10"/>
      <name val="Calibri"/>
      <family val="2"/>
      <scheme val="minor"/>
    </font>
    <font>
      <sz val="11"/>
      <color theme="3"/>
      <name val="Arial Narrow"/>
      <family val="2"/>
    </font>
    <font>
      <sz val="10"/>
      <color rgb="FF000000"/>
      <name val="Calibri"/>
      <family val="2"/>
      <scheme val="minor"/>
    </font>
    <font>
      <b/>
      <sz val="14"/>
      <color theme="0"/>
      <name val="Arial"/>
      <family val="2"/>
    </font>
    <font>
      <b/>
      <sz val="8"/>
      <color theme="4" tint="-0.249977111117893"/>
      <name val="Arial"/>
      <family val="2"/>
    </font>
    <font>
      <b/>
      <sz val="14"/>
      <color theme="4" tint="-0.249977111117893"/>
      <name val="Arial"/>
      <family val="2"/>
    </font>
  </fonts>
  <fills count="52">
    <fill>
      <patternFill patternType="none"/>
    </fill>
    <fill>
      <patternFill patternType="gray125"/>
    </fill>
    <fill>
      <patternFill patternType="solid">
        <fgColor rgb="FF008C5A"/>
        <bgColor indexed="64"/>
      </patternFill>
    </fill>
    <fill>
      <patternFill patternType="solid">
        <fgColor rgb="FFEDEEE8"/>
        <bgColor indexed="64"/>
      </patternFill>
    </fill>
    <fill>
      <patternFill patternType="solid">
        <fgColor rgb="FF41B9E6"/>
        <bgColor indexed="64"/>
      </patternFill>
    </fill>
    <fill>
      <patternFill patternType="solid">
        <fgColor rgb="FF55BE5A"/>
        <bgColor indexed="64"/>
      </patternFill>
    </fill>
    <fill>
      <patternFill patternType="solid">
        <fgColor theme="9" tint="0.79998168889431442"/>
        <bgColor indexed="64"/>
      </patternFill>
    </fill>
    <fill>
      <patternFill patternType="solid">
        <fgColor theme="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8" tint="-0.249977111117893"/>
        <bgColor indexed="64"/>
      </patternFill>
    </fill>
    <fill>
      <patternFill patternType="solid">
        <fgColor rgb="FFFF0000"/>
        <bgColor indexed="64"/>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C6C6C6"/>
        <bgColor indexed="64"/>
      </patternFill>
    </fill>
    <fill>
      <patternFill patternType="solid">
        <fgColor theme="6" tint="0.39997558519241921"/>
        <bgColor indexed="64"/>
      </patternFill>
    </fill>
    <fill>
      <patternFill patternType="solid">
        <fgColor theme="0" tint="-4.9989318521683403E-2"/>
        <bgColor indexed="64"/>
      </patternFill>
    </fill>
    <fill>
      <patternFill patternType="solid">
        <fgColor rgb="FFFFF5F0"/>
        <bgColor indexed="64"/>
      </patternFill>
    </fill>
    <fill>
      <patternFill patternType="solid">
        <fgColor rgb="FF00B0F0"/>
        <bgColor indexed="64"/>
      </patternFill>
    </fill>
    <fill>
      <patternFill patternType="solid">
        <fgColor rgb="FFD1D1D1"/>
        <bgColor indexed="64"/>
      </patternFill>
    </fill>
    <fill>
      <patternFill patternType="solid">
        <fgColor theme="8" tint="0.39997558519241921"/>
        <bgColor indexed="64"/>
      </patternFill>
    </fill>
    <fill>
      <patternFill patternType="solid">
        <fgColor theme="9"/>
        <bgColor indexed="64"/>
      </patternFill>
    </fill>
    <fill>
      <patternFill patternType="solid">
        <fgColor rgb="FFFFFF66"/>
        <bgColor indexed="64"/>
      </patternFill>
    </fill>
    <fill>
      <patternFill patternType="solid">
        <fgColor theme="5" tint="0.39997558519241921"/>
        <bgColor indexed="64"/>
      </patternFill>
    </fill>
    <fill>
      <patternFill patternType="solid">
        <fgColor theme="3" tint="0.39997558519241921"/>
        <bgColor indexed="64"/>
      </patternFill>
    </fill>
    <fill>
      <patternFill patternType="solid">
        <fgColor rgb="FFFFFF99"/>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F2F2F2"/>
        <bgColor rgb="FF000000"/>
      </patternFill>
    </fill>
    <fill>
      <patternFill patternType="solid">
        <fgColor rgb="FF008C5A"/>
        <bgColor rgb="FF000000"/>
      </patternFill>
    </fill>
    <fill>
      <patternFill patternType="solid">
        <fgColor rgb="FFE2EFDA"/>
        <bgColor rgb="FF000000"/>
      </patternFill>
    </fill>
    <fill>
      <patternFill patternType="solid">
        <fgColor rgb="FF305496"/>
        <bgColor rgb="FF000000"/>
      </patternFill>
    </fill>
    <fill>
      <patternFill patternType="solid">
        <fgColor rgb="FFFFFFFF"/>
        <bgColor rgb="FF000000"/>
      </patternFill>
    </fill>
    <fill>
      <patternFill patternType="solid">
        <fgColor rgb="FF41B9E6"/>
        <bgColor rgb="FF000000"/>
      </patternFill>
    </fill>
    <fill>
      <patternFill patternType="solid">
        <fgColor rgb="FF55BE5A"/>
        <bgColor rgb="FF000000"/>
      </patternFill>
    </fill>
    <fill>
      <patternFill patternType="solid">
        <fgColor rgb="FFC6C6C6"/>
        <bgColor rgb="FF000000"/>
      </patternFill>
    </fill>
    <fill>
      <patternFill patternType="solid">
        <fgColor rgb="FFC9C9C9"/>
        <bgColor rgb="FF000000"/>
      </patternFill>
    </fill>
    <fill>
      <patternFill patternType="solid">
        <fgColor theme="9" tint="0.39997558519241921"/>
        <bgColor indexed="64"/>
      </patternFill>
    </fill>
    <fill>
      <patternFill patternType="solid">
        <fgColor theme="2" tint="-0.749992370372631"/>
        <bgColor indexed="64"/>
      </patternFill>
    </fill>
    <fill>
      <patternFill patternType="solid">
        <fgColor rgb="FF00B050"/>
        <bgColor indexed="64"/>
      </patternFill>
    </fill>
    <fill>
      <patternFill patternType="solid">
        <fgColor rgb="FF00FF00"/>
        <bgColor indexed="64"/>
      </patternFill>
    </fill>
    <fill>
      <patternFill patternType="solid">
        <fgColor rgb="FFFFC000"/>
        <bgColor indexed="64"/>
      </patternFill>
    </fill>
    <fill>
      <patternFill patternType="solid">
        <fgColor rgb="FFFF99FF"/>
        <bgColor indexed="64"/>
      </patternFill>
    </fill>
    <fill>
      <patternFill patternType="solid">
        <fgColor theme="4" tint="0.59999389629810485"/>
        <bgColor indexed="64"/>
      </patternFill>
    </fill>
    <fill>
      <patternFill patternType="solid">
        <fgColor theme="7"/>
        <bgColor indexed="64"/>
      </patternFill>
    </fill>
    <fill>
      <patternFill patternType="solid">
        <fgColor theme="8" tint="0.59999389629810485"/>
        <bgColor indexed="64"/>
      </patternFill>
    </fill>
    <fill>
      <patternFill patternType="solid">
        <fgColor rgb="FF305496"/>
        <bgColor indexed="64"/>
      </patternFill>
    </fill>
    <fill>
      <patternFill patternType="solid">
        <fgColor rgb="FF000000"/>
        <bgColor indexed="64"/>
      </patternFill>
    </fill>
    <fill>
      <patternFill patternType="solid">
        <fgColor rgb="FFFFFF99"/>
        <bgColor rgb="FF000000"/>
      </patternFill>
    </fill>
    <fill>
      <patternFill patternType="solid">
        <fgColor theme="1" tint="0.499984740745262"/>
        <bgColor indexed="64"/>
      </patternFill>
    </fill>
  </fills>
  <borders count="172">
    <border>
      <left/>
      <right/>
      <top/>
      <bottom/>
      <diagonal/>
    </border>
    <border>
      <left style="medium">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top style="thin">
        <color indexed="64"/>
      </top>
      <bottom style="hair">
        <color indexed="64"/>
      </bottom>
      <diagonal/>
    </border>
    <border>
      <left/>
      <right style="medium">
        <color indexed="64"/>
      </right>
      <top style="thin">
        <color indexed="64"/>
      </top>
      <bottom style="hair">
        <color indexed="64"/>
      </bottom>
      <diagonal/>
    </border>
    <border>
      <left style="medium">
        <color indexed="64"/>
      </left>
      <right/>
      <top style="hair">
        <color indexed="64"/>
      </top>
      <bottom style="hair">
        <color indexed="64"/>
      </bottom>
      <diagonal/>
    </border>
    <border>
      <left/>
      <right/>
      <top style="hair">
        <color indexed="64"/>
      </top>
      <bottom style="hair">
        <color indexed="64"/>
      </bottom>
      <diagonal/>
    </border>
    <border>
      <left style="medium">
        <color indexed="64"/>
      </left>
      <right/>
      <top style="hair">
        <color indexed="64"/>
      </top>
      <bottom style="medium">
        <color indexed="64"/>
      </bottom>
      <diagonal/>
    </border>
    <border>
      <left/>
      <right/>
      <top style="hair">
        <color indexed="64"/>
      </top>
      <bottom style="medium">
        <color indexed="64"/>
      </bottom>
      <diagonal/>
    </border>
    <border>
      <left/>
      <right style="medium">
        <color indexed="64"/>
      </right>
      <top style="hair">
        <color indexed="64"/>
      </top>
      <bottom style="medium">
        <color indexed="64"/>
      </bottom>
      <diagonal/>
    </border>
    <border>
      <left style="medium">
        <color indexed="64"/>
      </left>
      <right/>
      <top/>
      <bottom style="hair">
        <color indexed="64"/>
      </bottom>
      <diagonal/>
    </border>
    <border>
      <left/>
      <right/>
      <top/>
      <bottom style="hair">
        <color indexed="64"/>
      </bottom>
      <diagonal/>
    </border>
    <border>
      <left/>
      <right style="medium">
        <color indexed="64"/>
      </right>
      <top/>
      <bottom style="hair">
        <color indexed="64"/>
      </bottom>
      <diagonal/>
    </border>
    <border>
      <left style="thin">
        <color indexed="64"/>
      </left>
      <right style="thin">
        <color indexed="64"/>
      </right>
      <top style="thin">
        <color indexed="64"/>
      </top>
      <bottom style="thin">
        <color indexed="64"/>
      </bottom>
      <diagonal/>
    </border>
    <border>
      <left style="hair">
        <color indexed="64"/>
      </left>
      <right style="hair">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hair">
        <color indexed="64"/>
      </right>
      <top style="hair">
        <color indexed="64"/>
      </top>
      <bottom style="hair">
        <color indexed="64"/>
      </bottom>
      <diagonal/>
    </border>
    <border>
      <left style="hair">
        <color indexed="64"/>
      </left>
      <right style="medium">
        <color indexed="64"/>
      </right>
      <top style="hair">
        <color indexed="64"/>
      </top>
      <bottom style="hair">
        <color indexed="64"/>
      </bottom>
      <diagonal/>
    </border>
    <border>
      <left style="medium">
        <color indexed="64"/>
      </left>
      <right style="hair">
        <color indexed="64"/>
      </right>
      <top style="hair">
        <color indexed="64"/>
      </top>
      <bottom style="hair">
        <color indexed="64"/>
      </bottom>
      <diagonal/>
    </border>
    <border>
      <left style="medium">
        <color indexed="64"/>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style="medium">
        <color indexed="64"/>
      </right>
      <top style="hair">
        <color indexed="64"/>
      </top>
      <bottom style="medium">
        <color indexed="64"/>
      </bottom>
      <diagonal/>
    </border>
    <border>
      <left/>
      <right/>
      <top style="medium">
        <color indexed="64"/>
      </top>
      <bottom/>
      <diagonal/>
    </border>
    <border>
      <left style="medium">
        <color indexed="64"/>
      </left>
      <right/>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hair">
        <color indexed="64"/>
      </bottom>
      <diagonal/>
    </border>
    <border>
      <left style="thin">
        <color indexed="64"/>
      </left>
      <right style="thin">
        <color indexed="64"/>
      </right>
      <top style="medium">
        <color indexed="64"/>
      </top>
      <bottom style="hair">
        <color indexed="64"/>
      </bottom>
      <diagonal/>
    </border>
    <border>
      <left/>
      <right/>
      <top style="medium">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medium">
        <color indexed="64"/>
      </right>
      <top style="hair">
        <color indexed="64"/>
      </top>
      <bottom style="hair">
        <color indexed="64"/>
      </bottom>
      <diagonal/>
    </border>
    <border>
      <left style="thin">
        <color indexed="64"/>
      </left>
      <right style="thin">
        <color indexed="64"/>
      </right>
      <top/>
      <bottom/>
      <diagonal/>
    </border>
    <border>
      <left style="thin">
        <color indexed="64"/>
      </left>
      <right style="thin">
        <color indexed="64"/>
      </right>
      <top/>
      <bottom style="hair">
        <color indexed="64"/>
      </bottom>
      <diagonal/>
    </border>
    <border>
      <left/>
      <right style="thin">
        <color indexed="64"/>
      </right>
      <top/>
      <bottom/>
      <diagonal/>
    </border>
    <border>
      <left style="medium">
        <color indexed="64"/>
      </left>
      <right/>
      <top style="hair">
        <color indexed="64"/>
      </top>
      <bottom/>
      <diagonal/>
    </border>
    <border>
      <left/>
      <right/>
      <top style="hair">
        <color indexed="64"/>
      </top>
      <bottom/>
      <diagonal/>
    </border>
    <border>
      <left/>
      <right style="thin">
        <color indexed="64"/>
      </right>
      <top style="hair">
        <color indexed="64"/>
      </top>
      <bottom/>
      <diagonal/>
    </border>
    <border>
      <left/>
      <right style="thin">
        <color indexed="64"/>
      </right>
      <top/>
      <bottom style="hair">
        <color indexed="64"/>
      </bottom>
      <diagonal/>
    </border>
    <border>
      <left style="medium">
        <color indexed="64"/>
      </left>
      <right/>
      <top style="medium">
        <color indexed="64"/>
      </top>
      <bottom style="medium">
        <color indexed="64"/>
      </bottom>
      <diagonal/>
    </border>
    <border>
      <left style="hair">
        <color indexed="64"/>
      </left>
      <right style="hair">
        <color indexed="64"/>
      </right>
      <top/>
      <bottom/>
      <diagonal/>
    </border>
    <border>
      <left style="hair">
        <color indexed="64"/>
      </left>
      <right style="hair">
        <color indexed="64"/>
      </right>
      <top/>
      <bottom style="thin">
        <color indexed="64"/>
      </bottom>
      <diagonal/>
    </border>
    <border>
      <left style="hair">
        <color indexed="64"/>
      </left>
      <right/>
      <top style="hair">
        <color indexed="64"/>
      </top>
      <bottom style="hair">
        <color indexed="64"/>
      </bottom>
      <diagonal/>
    </border>
    <border>
      <left/>
      <right style="thin">
        <color indexed="64"/>
      </right>
      <top style="thin">
        <color indexed="64"/>
      </top>
      <bottom style="thin">
        <color indexed="64"/>
      </bottom>
      <diagonal/>
    </border>
    <border>
      <left/>
      <right/>
      <top style="thin">
        <color indexed="64"/>
      </top>
      <bottom/>
      <diagonal/>
    </border>
    <border>
      <left/>
      <right/>
      <top style="thin">
        <color indexed="64"/>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hair">
        <color indexed="64"/>
      </right>
      <top style="thin">
        <color indexed="64"/>
      </top>
      <bottom style="thin">
        <color indexed="64"/>
      </bottom>
      <diagonal/>
    </border>
    <border>
      <left/>
      <right/>
      <top/>
      <bottom style="medium">
        <color indexed="64"/>
      </bottom>
      <diagonal/>
    </border>
    <border>
      <left style="hair">
        <color indexed="64"/>
      </left>
      <right/>
      <top style="thin">
        <color indexed="64"/>
      </top>
      <bottom style="thin">
        <color indexed="64"/>
      </bottom>
      <diagonal/>
    </border>
    <border>
      <left/>
      <right style="hair">
        <color indexed="64"/>
      </right>
      <top/>
      <bottom/>
      <diagonal/>
    </border>
    <border>
      <left style="hair">
        <color indexed="64"/>
      </left>
      <right style="hair">
        <color rgb="FF000000"/>
      </right>
      <top style="thin">
        <color indexed="64"/>
      </top>
      <bottom style="thin">
        <color indexed="64"/>
      </bottom>
      <diagonal/>
    </border>
    <border>
      <left style="hair">
        <color indexed="64"/>
      </left>
      <right/>
      <top/>
      <bottom/>
      <diagonal/>
    </border>
    <border>
      <left/>
      <right style="hair">
        <color indexed="64"/>
      </right>
      <top style="hair">
        <color indexed="64"/>
      </top>
      <bottom style="hair">
        <color indexed="64"/>
      </bottom>
      <diagonal/>
    </border>
    <border>
      <left/>
      <right style="hair">
        <color indexed="64"/>
      </right>
      <top style="hair">
        <color indexed="64"/>
      </top>
      <bottom style="medium">
        <color indexed="64"/>
      </bottom>
      <diagonal/>
    </border>
    <border>
      <left style="medium">
        <color auto="1"/>
      </left>
      <right style="hair">
        <color auto="1"/>
      </right>
      <top style="medium">
        <color auto="1"/>
      </top>
      <bottom style="medium">
        <color auto="1"/>
      </bottom>
      <diagonal/>
    </border>
    <border>
      <left style="hair">
        <color auto="1"/>
      </left>
      <right style="medium">
        <color auto="1"/>
      </right>
      <top style="medium">
        <color auto="1"/>
      </top>
      <bottom style="medium">
        <color auto="1"/>
      </bottom>
      <diagonal/>
    </border>
    <border>
      <left style="hair">
        <color auto="1"/>
      </left>
      <right style="hair">
        <color auto="1"/>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indexed="64"/>
      </left>
      <right style="hair">
        <color indexed="64"/>
      </right>
      <top style="medium">
        <color indexed="64"/>
      </top>
      <bottom style="hair">
        <color indexed="64"/>
      </bottom>
      <diagonal/>
    </border>
    <border>
      <left style="hair">
        <color indexed="64"/>
      </left>
      <right style="hair">
        <color indexed="64"/>
      </right>
      <top style="medium">
        <color indexed="64"/>
      </top>
      <bottom style="hair">
        <color indexed="64"/>
      </bottom>
      <diagonal/>
    </border>
    <border>
      <left style="hair">
        <color indexed="64"/>
      </left>
      <right style="medium">
        <color indexed="64"/>
      </right>
      <top style="medium">
        <color indexed="64"/>
      </top>
      <bottom style="hair">
        <color indexed="64"/>
      </bottom>
      <diagonal/>
    </border>
    <border>
      <left style="hair">
        <color indexed="64"/>
      </left>
      <right/>
      <top style="medium">
        <color indexed="64"/>
      </top>
      <bottom style="hair">
        <color indexed="64"/>
      </bottom>
      <diagonal/>
    </border>
    <border>
      <left style="medium">
        <color indexed="64"/>
      </left>
      <right style="medium">
        <color indexed="64"/>
      </right>
      <top style="medium">
        <color indexed="64"/>
      </top>
      <bottom style="hair">
        <color indexed="64"/>
      </bottom>
      <diagonal/>
    </border>
    <border>
      <left style="medium">
        <color indexed="64"/>
      </left>
      <right style="medium">
        <color indexed="64"/>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bottom style="hair">
        <color indexed="64"/>
      </bottom>
      <diagonal/>
    </border>
    <border>
      <left style="hair">
        <color indexed="64"/>
      </left>
      <right/>
      <top style="hair">
        <color indexed="64"/>
      </top>
      <bottom style="medium">
        <color indexed="64"/>
      </bottom>
      <diagonal/>
    </border>
    <border>
      <left style="medium">
        <color indexed="64"/>
      </left>
      <right style="medium">
        <color indexed="64"/>
      </right>
      <top style="hair">
        <color indexed="64"/>
      </top>
      <bottom style="medium">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diagonal/>
    </border>
    <border>
      <left/>
      <right style="hair">
        <color indexed="64"/>
      </right>
      <top style="medium">
        <color indexed="64"/>
      </top>
      <bottom style="hair">
        <color indexed="64"/>
      </bottom>
      <diagonal/>
    </border>
    <border>
      <left/>
      <right style="hair">
        <color indexed="64"/>
      </right>
      <top/>
      <bottom style="hair">
        <color indexed="64"/>
      </bottom>
      <diagonal/>
    </border>
    <border>
      <left style="hair">
        <color indexed="64"/>
      </left>
      <right style="hair">
        <color indexed="64"/>
      </right>
      <top/>
      <bottom style="medium">
        <color indexed="64"/>
      </bottom>
      <diagonal/>
    </border>
    <border>
      <left/>
      <right style="hair">
        <color indexed="64"/>
      </right>
      <top/>
      <bottom style="medium">
        <color indexed="64"/>
      </bottom>
      <diagonal/>
    </border>
    <border>
      <left/>
      <right style="hair">
        <color rgb="FF000000"/>
      </right>
      <top/>
      <bottom/>
      <diagonal/>
    </border>
    <border>
      <left/>
      <right/>
      <top style="thin">
        <color rgb="FF5B9BD5"/>
      </top>
      <bottom/>
      <diagonal/>
    </border>
    <border>
      <left/>
      <right/>
      <top/>
      <bottom style="thin">
        <color rgb="FF000000"/>
      </bottom>
      <diagonal/>
    </border>
    <border>
      <left/>
      <right style="hair">
        <color indexed="64"/>
      </right>
      <top style="thin">
        <color rgb="FF5B9BD5"/>
      </top>
      <bottom/>
      <diagonal/>
    </border>
    <border>
      <left/>
      <right/>
      <top style="thin">
        <color rgb="FF5B9BD5"/>
      </top>
      <bottom style="thin">
        <color indexed="64"/>
      </bottom>
      <diagonal/>
    </border>
    <border>
      <left/>
      <right style="hair">
        <color indexed="64"/>
      </right>
      <top style="thin">
        <color rgb="FF5B9BD5"/>
      </top>
      <bottom style="thin">
        <color indexed="64"/>
      </bottom>
      <diagonal/>
    </border>
    <border>
      <left/>
      <right/>
      <top/>
      <bottom style="thin">
        <color indexed="64"/>
      </bottom>
      <diagonal/>
    </border>
    <border>
      <left/>
      <right style="hair">
        <color indexed="64"/>
      </right>
      <top/>
      <bottom style="thin">
        <color indexed="64"/>
      </bottom>
      <diagonal/>
    </border>
    <border>
      <left style="thin">
        <color indexed="64"/>
      </left>
      <right/>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theme="0"/>
      </left>
      <right/>
      <top/>
      <bottom/>
      <diagonal/>
    </border>
    <border>
      <left/>
      <right style="medium">
        <color theme="0"/>
      </right>
      <top/>
      <bottom/>
      <diagonal/>
    </border>
    <border>
      <left style="medium">
        <color indexed="64"/>
      </left>
      <right style="thin">
        <color theme="0"/>
      </right>
      <top style="thin">
        <color theme="0"/>
      </top>
      <bottom style="thin">
        <color theme="0"/>
      </bottom>
      <diagonal/>
    </border>
    <border>
      <left style="medium">
        <color indexed="64"/>
      </left>
      <right style="medium">
        <color theme="0"/>
      </right>
      <top style="thin">
        <color theme="0"/>
      </top>
      <bottom style="thin">
        <color theme="0"/>
      </bottom>
      <diagonal/>
    </border>
    <border>
      <left/>
      <right style="medium">
        <color indexed="64"/>
      </right>
      <top/>
      <bottom style="medium">
        <color indexed="64"/>
      </bottom>
      <diagonal/>
    </border>
    <border>
      <left style="thin">
        <color indexed="64"/>
      </left>
      <right style="thin">
        <color theme="0"/>
      </right>
      <top style="thin">
        <color theme="0"/>
      </top>
      <bottom style="thin">
        <color theme="0"/>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hair">
        <color indexed="64"/>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rgb="FF000000"/>
      </right>
      <top/>
      <bottom style="thin">
        <color indexed="64"/>
      </bottom>
      <diagonal/>
    </border>
    <border>
      <left style="thin">
        <color rgb="FF000000"/>
      </left>
      <right style="thin">
        <color rgb="FF000000"/>
      </right>
      <top/>
      <bottom style="thin">
        <color rgb="FF000000"/>
      </bottom>
      <diagonal/>
    </border>
    <border>
      <left/>
      <right style="hair">
        <color indexed="64"/>
      </right>
      <top style="medium">
        <color indexed="64"/>
      </top>
      <bottom style="thin">
        <color indexed="64"/>
      </bottom>
      <diagonal/>
    </border>
    <border>
      <left/>
      <right style="thin">
        <color rgb="FF000000"/>
      </right>
      <top style="thin">
        <color rgb="FF000000"/>
      </top>
      <bottom style="thin">
        <color rgb="FF000000"/>
      </bottom>
      <diagonal/>
    </border>
    <border>
      <left/>
      <right/>
      <top style="thin">
        <color rgb="FF000000"/>
      </top>
      <bottom style="thin">
        <color indexed="64"/>
      </bottom>
      <diagonal/>
    </border>
    <border>
      <left/>
      <right/>
      <top style="thin">
        <color indexed="64"/>
      </top>
      <bottom style="thin">
        <color rgb="FF000000"/>
      </bottom>
      <diagonal/>
    </border>
    <border>
      <left style="thin">
        <color rgb="FF000000"/>
      </left>
      <right/>
      <top style="thin">
        <color rgb="FF000000"/>
      </top>
      <bottom style="thin">
        <color rgb="FF000000"/>
      </bottom>
      <diagonal/>
    </border>
    <border>
      <left style="medium">
        <color indexed="64"/>
      </left>
      <right/>
      <top style="thin">
        <color theme="4"/>
      </top>
      <bottom style="hair">
        <color indexed="64"/>
      </bottom>
      <diagonal/>
    </border>
    <border>
      <left/>
      <right/>
      <top style="thin">
        <color theme="4"/>
      </top>
      <bottom style="hair">
        <color indexed="64"/>
      </bottom>
      <diagonal/>
    </border>
    <border>
      <left/>
      <right style="thin">
        <color indexed="64"/>
      </right>
      <top style="thin">
        <color theme="4"/>
      </top>
      <bottom style="hair">
        <color indexed="64"/>
      </bottom>
      <diagonal/>
    </border>
    <border>
      <left/>
      <right style="medium">
        <color indexed="64"/>
      </right>
      <top style="thin">
        <color indexed="64"/>
      </top>
      <bottom/>
      <diagonal/>
    </border>
    <border>
      <left style="medium">
        <color indexed="64"/>
      </left>
      <right/>
      <top style="hair">
        <color indexed="64"/>
      </top>
      <bottom style="thin">
        <color theme="4"/>
      </bottom>
      <diagonal/>
    </border>
    <border>
      <left/>
      <right/>
      <top style="hair">
        <color indexed="64"/>
      </top>
      <bottom style="thin">
        <color theme="4"/>
      </bottom>
      <diagonal/>
    </border>
    <border>
      <left/>
      <right style="thin">
        <color indexed="64"/>
      </right>
      <top style="hair">
        <color indexed="64"/>
      </top>
      <bottom style="thin">
        <color theme="4"/>
      </bottom>
      <diagonal/>
    </border>
    <border>
      <left/>
      <right style="medium">
        <color indexed="64"/>
      </right>
      <top/>
      <bottom style="thin">
        <color indexed="64"/>
      </bottom>
      <diagonal/>
    </border>
    <border>
      <left style="medium">
        <color indexed="64"/>
      </left>
      <right/>
      <top/>
      <bottom style="thin">
        <color theme="4"/>
      </bottom>
      <diagonal/>
    </border>
    <border>
      <left/>
      <right/>
      <top/>
      <bottom style="thin">
        <color theme="4"/>
      </bottom>
      <diagonal/>
    </border>
    <border>
      <left/>
      <right style="thin">
        <color indexed="64"/>
      </right>
      <top/>
      <bottom style="thin">
        <color theme="4"/>
      </bottom>
      <diagonal/>
    </border>
    <border>
      <left style="medium">
        <color indexed="64"/>
      </left>
      <right/>
      <top style="thin">
        <color indexed="64"/>
      </top>
      <bottom style="thin">
        <color theme="4"/>
      </bottom>
      <diagonal/>
    </border>
    <border>
      <left/>
      <right/>
      <top style="thin">
        <color indexed="64"/>
      </top>
      <bottom style="thin">
        <color theme="4"/>
      </bottom>
      <diagonal/>
    </border>
    <border>
      <left/>
      <right style="thin">
        <color indexed="64"/>
      </right>
      <top style="thin">
        <color indexed="64"/>
      </top>
      <bottom style="thin">
        <color theme="4"/>
      </bottom>
      <diagonal/>
    </border>
    <border>
      <left style="medium">
        <color indexed="64"/>
      </left>
      <right/>
      <top style="thin">
        <color theme="4"/>
      </top>
      <bottom style="thin">
        <color indexed="64"/>
      </bottom>
      <diagonal/>
    </border>
    <border>
      <left/>
      <right/>
      <top style="thin">
        <color theme="4"/>
      </top>
      <bottom style="thin">
        <color indexed="64"/>
      </bottom>
      <diagonal/>
    </border>
    <border>
      <left/>
      <right style="thin">
        <color indexed="64"/>
      </right>
      <top style="thin">
        <color theme="4"/>
      </top>
      <bottom style="thin">
        <color indexed="64"/>
      </bottom>
      <diagonal/>
    </border>
    <border>
      <left style="medium">
        <color indexed="64"/>
      </left>
      <right style="hair">
        <color indexed="64"/>
      </right>
      <top style="hair">
        <color indexed="64"/>
      </top>
      <bottom/>
      <diagonal/>
    </border>
    <border>
      <left style="thin">
        <color indexed="64"/>
      </left>
      <right/>
      <top style="hair">
        <color indexed="64"/>
      </top>
      <bottom style="hair">
        <color indexed="64"/>
      </bottom>
      <diagonal/>
    </border>
    <border>
      <left style="thin">
        <color rgb="FF000000"/>
      </left>
      <right/>
      <top/>
      <bottom style="thin">
        <color indexed="64"/>
      </bottom>
      <diagonal/>
    </border>
    <border>
      <left style="medium">
        <color indexed="64"/>
      </left>
      <right style="hair">
        <color indexed="64"/>
      </right>
      <top style="thin">
        <color indexed="64"/>
      </top>
      <bottom/>
      <diagonal/>
    </border>
    <border>
      <left style="medium">
        <color indexed="64"/>
      </left>
      <right style="hair">
        <color indexed="64"/>
      </right>
      <top/>
      <bottom style="hair">
        <color indexed="64"/>
      </bottom>
      <diagonal/>
    </border>
    <border>
      <left style="medium">
        <color indexed="64"/>
      </left>
      <right style="hair">
        <color indexed="64"/>
      </right>
      <top/>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hair">
        <color indexed="64"/>
      </top>
      <bottom/>
      <diagonal/>
    </border>
    <border>
      <left style="thin">
        <color indexed="64"/>
      </left>
      <right/>
      <top style="medium">
        <color indexed="64"/>
      </top>
      <bottom style="thin">
        <color indexed="64"/>
      </bottom>
      <diagonal/>
    </border>
    <border>
      <left style="thin">
        <color indexed="64"/>
      </left>
      <right/>
      <top style="hair">
        <color indexed="64"/>
      </top>
      <bottom style="thin">
        <color indexed="64"/>
      </bottom>
      <diagonal/>
    </border>
    <border>
      <left style="hair">
        <color indexed="64"/>
      </left>
      <right style="thin">
        <color indexed="64"/>
      </right>
      <top style="thin">
        <color indexed="64"/>
      </top>
      <bottom style="thin">
        <color indexed="64"/>
      </bottom>
      <diagonal/>
    </border>
    <border>
      <left style="thin">
        <color indexed="64"/>
      </left>
      <right style="hair">
        <color rgb="FF000000"/>
      </right>
      <top style="medium">
        <color indexed="64"/>
      </top>
      <bottom style="hair">
        <color indexed="64"/>
      </bottom>
      <diagonal/>
    </border>
    <border>
      <left style="thin">
        <color rgb="FF000000"/>
      </left>
      <right/>
      <top style="thin">
        <color indexed="64"/>
      </top>
      <bottom/>
      <diagonal/>
    </border>
    <border>
      <left/>
      <right style="thin">
        <color indexed="64"/>
      </right>
      <top style="medium">
        <color indexed="64"/>
      </top>
      <bottom/>
      <diagonal/>
    </border>
    <border>
      <left style="hair">
        <color indexed="64"/>
      </left>
      <right/>
      <top/>
      <bottom style="thin">
        <color indexed="64"/>
      </bottom>
      <diagonal/>
    </border>
    <border>
      <left style="hair">
        <color indexed="64"/>
      </left>
      <right/>
      <top style="thin">
        <color indexed="64"/>
      </top>
      <bottom/>
      <diagonal/>
    </border>
    <border>
      <left style="medium">
        <color indexed="64"/>
      </left>
      <right style="medium">
        <color theme="0"/>
      </right>
      <top style="thin">
        <color theme="0"/>
      </top>
      <bottom/>
      <diagonal/>
    </border>
    <border>
      <left/>
      <right/>
      <top style="thin">
        <color rgb="FF000000"/>
      </top>
      <bottom style="thin">
        <color rgb="FF000000"/>
      </bottom>
      <diagonal/>
    </border>
    <border>
      <left style="dotted">
        <color rgb="FF000000"/>
      </left>
      <right style="dotted">
        <color rgb="FF000000"/>
      </right>
      <top style="dotted">
        <color rgb="FF000000"/>
      </top>
      <bottom style="dotted">
        <color rgb="FF000000"/>
      </bottom>
      <diagonal/>
    </border>
    <border>
      <left style="dotted">
        <color rgb="FF000000"/>
      </left>
      <right style="dotted">
        <color rgb="FF000000"/>
      </right>
      <top style="dotted">
        <color rgb="FF000000"/>
      </top>
      <bottom style="hair">
        <color indexed="64"/>
      </bottom>
      <diagonal/>
    </border>
    <border>
      <left/>
      <right style="hair">
        <color indexed="64"/>
      </right>
      <top style="hair">
        <color indexed="64"/>
      </top>
      <bottom/>
      <diagonal/>
    </border>
    <border>
      <left style="dotted">
        <color rgb="FF000000"/>
      </left>
      <right style="dotted">
        <color rgb="FF000000"/>
      </right>
      <top/>
      <bottom style="dotted">
        <color rgb="FF000000"/>
      </bottom>
      <diagonal/>
    </border>
    <border>
      <left style="thin">
        <color indexed="64"/>
      </left>
      <right style="thin">
        <color indexed="64"/>
      </right>
      <top style="thin">
        <color indexed="64"/>
      </top>
      <bottom style="hair">
        <color indexed="64"/>
      </bottom>
      <diagonal/>
    </border>
    <border>
      <left style="thin">
        <color indexed="64"/>
      </left>
      <right/>
      <top style="medium">
        <color indexed="64"/>
      </top>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diagonal/>
    </border>
    <border>
      <left/>
      <right style="thin">
        <color indexed="64"/>
      </right>
      <top style="thin">
        <color indexed="64"/>
      </top>
      <bottom style="hair">
        <color indexed="64"/>
      </bottom>
      <diagonal/>
    </border>
  </borders>
  <cellStyleXfs count="27">
    <xf numFmtId="0" fontId="0" fillId="0" borderId="0"/>
    <xf numFmtId="44" fontId="1" fillId="0" borderId="0" applyFont="0" applyFill="0" applyBorder="0" applyAlignment="0" applyProtection="0"/>
    <xf numFmtId="0" fontId="1" fillId="0" borderId="0"/>
    <xf numFmtId="0" fontId="12" fillId="0" borderId="0"/>
    <xf numFmtId="0" fontId="8" fillId="0" borderId="0"/>
    <xf numFmtId="0" fontId="8" fillId="0" borderId="0"/>
    <xf numFmtId="0" fontId="1" fillId="0" borderId="0"/>
    <xf numFmtId="0" fontId="8" fillId="0" borderId="0"/>
    <xf numFmtId="0" fontId="1" fillId="0" borderId="0"/>
    <xf numFmtId="0" fontId="1" fillId="0" borderId="0"/>
    <xf numFmtId="0" fontId="1" fillId="0" borderId="0"/>
    <xf numFmtId="0" fontId="31" fillId="0" borderId="0"/>
    <xf numFmtId="44" fontId="8" fillId="0" borderId="0" applyFont="0" applyFill="0" applyBorder="0" applyAlignment="0" applyProtection="0"/>
    <xf numFmtId="43" fontId="1" fillId="0" borderId="0" applyFont="0" applyFill="0" applyBorder="0" applyAlignment="0" applyProtection="0"/>
    <xf numFmtId="0" fontId="1" fillId="0" borderId="0"/>
    <xf numFmtId="165" fontId="8" fillId="0" borderId="0" applyFont="0" applyFill="0" applyBorder="0" applyAlignment="0" applyProtection="0"/>
    <xf numFmtId="43" fontId="1" fillId="0" borderId="0" applyFont="0" applyFill="0" applyBorder="0" applyAlignment="0" applyProtection="0"/>
    <xf numFmtId="0" fontId="72" fillId="0" borderId="0"/>
    <xf numFmtId="43" fontId="1" fillId="0" borderId="0" applyFont="0" applyFill="0" applyBorder="0" applyAlignment="0" applyProtection="0"/>
    <xf numFmtId="165" fontId="1" fillId="0" borderId="0" applyFont="0" applyFill="0" applyBorder="0" applyAlignment="0" applyProtection="0"/>
    <xf numFmtId="0" fontId="8" fillId="0" borderId="0"/>
    <xf numFmtId="0" fontId="8" fillId="0" borderId="0"/>
    <xf numFmtId="172" fontId="1" fillId="0" borderId="0" applyFont="0" applyFill="0" applyBorder="0" applyAlignment="0" applyProtection="0"/>
    <xf numFmtId="0" fontId="8" fillId="0" borderId="0"/>
    <xf numFmtId="172" fontId="1" fillId="0" borderId="0" applyFont="0" applyFill="0" applyBorder="0" applyAlignment="0" applyProtection="0"/>
    <xf numFmtId="164" fontId="1" fillId="0" borderId="0" applyFont="0" applyFill="0" applyBorder="0" applyAlignment="0" applyProtection="0"/>
    <xf numFmtId="43" fontId="8" fillId="0" borderId="0" applyFont="0" applyFill="0" applyBorder="0" applyAlignment="0" applyProtection="0"/>
  </cellStyleXfs>
  <cellXfs count="1733">
    <xf numFmtId="0" fontId="0" fillId="0" borderId="0" xfId="0"/>
    <xf numFmtId="0" fontId="2" fillId="0" borderId="0" xfId="2" applyFont="1" applyAlignment="1">
      <alignment horizontal="center" vertical="center"/>
    </xf>
    <xf numFmtId="0" fontId="1" fillId="0" borderId="0" xfId="2"/>
    <xf numFmtId="0" fontId="2" fillId="0" borderId="0" xfId="2" applyFont="1" applyAlignment="1">
      <alignment horizontal="center" vertical="center" wrapText="1"/>
    </xf>
    <xf numFmtId="0" fontId="5" fillId="0" borderId="0" xfId="2" applyFont="1" applyAlignment="1">
      <alignment horizontal="center" vertical="center"/>
    </xf>
    <xf numFmtId="0" fontId="6" fillId="0" borderId="3" xfId="2" applyFont="1" applyBorder="1" applyAlignment="1">
      <alignment horizontal="center" vertical="center"/>
    </xf>
    <xf numFmtId="0" fontId="6" fillId="0" borderId="4" xfId="2" applyFont="1" applyBorder="1" applyAlignment="1">
      <alignment vertical="center"/>
    </xf>
    <xf numFmtId="0" fontId="6" fillId="0" borderId="7" xfId="2" applyFont="1" applyBorder="1" applyAlignment="1">
      <alignment vertical="center"/>
    </xf>
    <xf numFmtId="0" fontId="10" fillId="0" borderId="8" xfId="2" applyFont="1" applyBorder="1" applyAlignment="1">
      <alignment horizontal="center" vertical="center" wrapText="1"/>
    </xf>
    <xf numFmtId="0" fontId="10" fillId="0" borderId="9" xfId="2" applyFont="1" applyBorder="1" applyAlignment="1">
      <alignment horizontal="center" vertical="center"/>
    </xf>
    <xf numFmtId="167" fontId="10" fillId="0" borderId="10" xfId="1" applyNumberFormat="1" applyFont="1" applyBorder="1" applyAlignment="1" applyProtection="1">
      <alignment vertical="center"/>
    </xf>
    <xf numFmtId="0" fontId="1" fillId="0" borderId="0" xfId="2" applyAlignment="1">
      <alignment wrapText="1"/>
    </xf>
    <xf numFmtId="0" fontId="6" fillId="0" borderId="12" xfId="2" applyFont="1" applyBorder="1" applyAlignment="1">
      <alignment vertical="center"/>
    </xf>
    <xf numFmtId="166" fontId="7" fillId="0" borderId="13" xfId="2" applyNumberFormat="1" applyFont="1" applyBorder="1" applyAlignment="1">
      <alignment vertical="center"/>
    </xf>
    <xf numFmtId="49" fontId="2" fillId="0" borderId="0" xfId="3" applyNumberFormat="1" applyFont="1" applyAlignment="1">
      <alignment horizontal="center" vertical="center"/>
    </xf>
    <xf numFmtId="49" fontId="13" fillId="0" borderId="0" xfId="3" applyNumberFormat="1" applyFont="1" applyAlignment="1">
      <alignment horizontal="center" vertical="center"/>
    </xf>
    <xf numFmtId="0" fontId="13" fillId="0" borderId="0" xfId="3" applyFont="1" applyAlignment="1">
      <alignment horizontal="center" vertical="center"/>
    </xf>
    <xf numFmtId="0" fontId="14" fillId="0" borderId="0" xfId="3" applyFont="1" applyAlignment="1">
      <alignment horizontal="left" wrapText="1"/>
    </xf>
    <xf numFmtId="0" fontId="2" fillId="0" borderId="0" xfId="3" applyFont="1" applyAlignment="1" applyProtection="1">
      <alignment horizontal="left" vertical="center"/>
      <protection locked="0"/>
    </xf>
    <xf numFmtId="0" fontId="8" fillId="0" borderId="0" xfId="4"/>
    <xf numFmtId="49" fontId="15" fillId="2" borderId="0" xfId="3" applyNumberFormat="1" applyFont="1" applyFill="1" applyAlignment="1">
      <alignment horizontal="center" vertical="center"/>
    </xf>
    <xf numFmtId="0" fontId="4" fillId="2" borderId="0" xfId="3" applyFont="1" applyFill="1" applyAlignment="1">
      <alignment horizontal="center" vertical="center" wrapText="1"/>
    </xf>
    <xf numFmtId="0" fontId="16" fillId="2" borderId="0" xfId="3" applyFont="1" applyFill="1" applyAlignment="1">
      <alignment horizontal="center" vertical="center"/>
    </xf>
    <xf numFmtId="0" fontId="15" fillId="2" borderId="0" xfId="3" applyFont="1" applyFill="1" applyAlignment="1">
      <alignment horizontal="left" wrapText="1"/>
    </xf>
    <xf numFmtId="0" fontId="11" fillId="0" borderId="0" xfId="0" applyFont="1"/>
    <xf numFmtId="0" fontId="8" fillId="0" borderId="0" xfId="0" applyFont="1"/>
    <xf numFmtId="49" fontId="17" fillId="0" borderId="0" xfId="3" applyNumberFormat="1" applyFont="1" applyAlignment="1">
      <alignment horizontal="center" vertical="center"/>
    </xf>
    <xf numFmtId="49" fontId="18" fillId="0" borderId="0" xfId="3" applyNumberFormat="1" applyFont="1" applyAlignment="1">
      <alignment horizontal="center" vertical="center"/>
    </xf>
    <xf numFmtId="0" fontId="5" fillId="0" borderId="0" xfId="3" applyFont="1" applyAlignment="1">
      <alignment horizontal="center" vertical="center" wrapText="1"/>
    </xf>
    <xf numFmtId="0" fontId="18" fillId="0" borderId="0" xfId="3" applyFont="1" applyAlignment="1">
      <alignment horizontal="center" vertical="center"/>
    </xf>
    <xf numFmtId="0" fontId="19" fillId="0" borderId="0" xfId="3" applyFont="1" applyAlignment="1">
      <alignment horizontal="left" wrapText="1"/>
    </xf>
    <xf numFmtId="0" fontId="17" fillId="0" borderId="0" xfId="3" applyFont="1" applyAlignment="1" applyProtection="1">
      <alignment horizontal="left" vertical="center"/>
      <protection locked="0"/>
    </xf>
    <xf numFmtId="2" fontId="11" fillId="3" borderId="15" xfId="3" applyNumberFormat="1" applyFont="1" applyFill="1" applyBorder="1" applyAlignment="1">
      <alignment horizontal="center" vertical="center" wrapText="1"/>
    </xf>
    <xf numFmtId="2" fontId="11" fillId="3" borderId="16" xfId="6" applyNumberFormat="1" applyFont="1" applyFill="1" applyBorder="1" applyAlignment="1">
      <alignment horizontal="center" vertical="center" wrapText="1"/>
    </xf>
    <xf numFmtId="0" fontId="8" fillId="0" borderId="0" xfId="0" applyFont="1" applyAlignment="1">
      <alignment horizontal="center" vertical="center" wrapText="1"/>
    </xf>
    <xf numFmtId="49" fontId="21" fillId="2" borderId="18" xfId="4" applyNumberFormat="1" applyFont="1" applyFill="1" applyBorder="1" applyAlignment="1">
      <alignment horizontal="center" vertical="center" wrapText="1"/>
    </xf>
    <xf numFmtId="49" fontId="21" fillId="2" borderId="18" xfId="4" applyNumberFormat="1" applyFont="1" applyFill="1" applyBorder="1" applyAlignment="1">
      <alignment vertical="top" wrapText="1"/>
    </xf>
    <xf numFmtId="167" fontId="21" fillId="2" borderId="18" xfId="4" applyNumberFormat="1" applyFont="1" applyFill="1" applyBorder="1" applyAlignment="1">
      <alignment vertical="top" wrapText="1"/>
    </xf>
    <xf numFmtId="167" fontId="21" fillId="2" borderId="18" xfId="4" applyNumberFormat="1" applyFont="1" applyFill="1" applyBorder="1" applyAlignment="1">
      <alignment horizontal="center" vertical="center" wrapText="1"/>
    </xf>
    <xf numFmtId="49" fontId="11" fillId="6" borderId="18" xfId="4" applyNumberFormat="1" applyFont="1" applyFill="1" applyBorder="1" applyAlignment="1">
      <alignment horizontal="center" vertical="center" wrapText="1"/>
    </xf>
    <xf numFmtId="49" fontId="8" fillId="6" borderId="18" xfId="4" applyNumberFormat="1" applyFill="1" applyBorder="1" applyAlignment="1">
      <alignment horizontal="center" vertical="center" wrapText="1"/>
    </xf>
    <xf numFmtId="0" fontId="8" fillId="6" borderId="18" xfId="4" applyFill="1" applyBorder="1" applyAlignment="1">
      <alignment horizontal="center" vertical="center" wrapText="1"/>
    </xf>
    <xf numFmtId="167" fontId="8" fillId="6" borderId="18" xfId="4" applyNumberFormat="1" applyFill="1" applyBorder="1" applyAlignment="1">
      <alignment horizontal="center" vertical="center" wrapText="1"/>
    </xf>
    <xf numFmtId="49" fontId="8" fillId="0" borderId="18" xfId="4" applyNumberFormat="1" applyBorder="1" applyAlignment="1">
      <alignment horizontal="center" vertical="center" wrapText="1"/>
    </xf>
    <xf numFmtId="3" fontId="8" fillId="8" borderId="18" xfId="3" applyNumberFormat="1" applyFont="1" applyFill="1" applyBorder="1" applyAlignment="1">
      <alignment horizontal="center" vertical="center" wrapText="1"/>
    </xf>
    <xf numFmtId="167" fontId="8" fillId="0" borderId="18" xfId="4" applyNumberFormat="1" applyBorder="1" applyAlignment="1">
      <alignment horizontal="center" vertical="center" wrapText="1"/>
    </xf>
    <xf numFmtId="0" fontId="8" fillId="0" borderId="19" xfId="4" applyBorder="1" applyAlignment="1">
      <alignment vertical="center" wrapText="1"/>
    </xf>
    <xf numFmtId="0" fontId="11" fillId="0" borderId="0" xfId="4" applyFont="1"/>
    <xf numFmtId="49" fontId="11" fillId="6" borderId="20" xfId="4" applyNumberFormat="1" applyFont="1" applyFill="1" applyBorder="1" applyAlignment="1">
      <alignment horizontal="center" vertical="center" wrapText="1"/>
    </xf>
    <xf numFmtId="49" fontId="8" fillId="7" borderId="18" xfId="4" applyNumberFormat="1" applyFill="1" applyBorder="1" applyAlignment="1">
      <alignment horizontal="center" vertical="center" wrapText="1"/>
    </xf>
    <xf numFmtId="49" fontId="8" fillId="10" borderId="20" xfId="4" applyNumberFormat="1" applyFill="1" applyBorder="1" applyAlignment="1">
      <alignment horizontal="center" vertical="center" wrapText="1"/>
    </xf>
    <xf numFmtId="0" fontId="20" fillId="10" borderId="18" xfId="7" quotePrefix="1" applyFont="1" applyFill="1" applyBorder="1" applyAlignment="1" applyProtection="1">
      <alignment horizontal="center" vertical="center" wrapText="1"/>
      <protection hidden="1"/>
    </xf>
    <xf numFmtId="0" fontId="21" fillId="10" borderId="18" xfId="7" applyFont="1" applyFill="1" applyBorder="1" applyAlignment="1" applyProtection="1">
      <alignment horizontal="left" vertical="center" wrapText="1"/>
      <protection hidden="1"/>
    </xf>
    <xf numFmtId="0" fontId="21" fillId="10" borderId="18" xfId="7" applyFont="1" applyFill="1" applyBorder="1" applyAlignment="1" applyProtection="1">
      <alignment horizontal="center" vertical="center" wrapText="1"/>
      <protection hidden="1"/>
    </xf>
    <xf numFmtId="0" fontId="8" fillId="10" borderId="18" xfId="4" applyFill="1" applyBorder="1" applyAlignment="1">
      <alignment horizontal="center" vertical="center" wrapText="1"/>
    </xf>
    <xf numFmtId="4" fontId="21" fillId="10" borderId="18" xfId="7" applyNumberFormat="1" applyFont="1" applyFill="1" applyBorder="1" applyAlignment="1" applyProtection="1">
      <alignment horizontal="right" vertical="center" wrapText="1"/>
      <protection hidden="1"/>
    </xf>
    <xf numFmtId="167" fontId="23" fillId="10" borderId="18" xfId="4" applyNumberFormat="1" applyFont="1" applyFill="1" applyBorder="1" applyAlignment="1">
      <alignment horizontal="center" vertical="center" wrapText="1"/>
    </xf>
    <xf numFmtId="0" fontId="8" fillId="0" borderId="18" xfId="4" applyBorder="1" applyAlignment="1">
      <alignment horizontal="center" vertical="center" wrapText="1"/>
    </xf>
    <xf numFmtId="0" fontId="8" fillId="0" borderId="18" xfId="4" applyBorder="1" applyAlignment="1">
      <alignment vertical="top" wrapText="1"/>
    </xf>
    <xf numFmtId="0" fontId="21" fillId="10" borderId="20" xfId="7" applyFont="1" applyFill="1" applyBorder="1" applyAlignment="1" applyProtection="1">
      <alignment horizontal="center" vertical="center" wrapText="1"/>
      <protection hidden="1"/>
    </xf>
    <xf numFmtId="49" fontId="27" fillId="10" borderId="20" xfId="4" applyNumberFormat="1" applyFont="1" applyFill="1" applyBorder="1" applyAlignment="1">
      <alignment horizontal="center" vertical="center" wrapText="1"/>
    </xf>
    <xf numFmtId="49" fontId="27" fillId="10" borderId="18" xfId="4" applyNumberFormat="1" applyFont="1" applyFill="1" applyBorder="1" applyAlignment="1">
      <alignment horizontal="center" vertical="center" wrapText="1"/>
    </xf>
    <xf numFmtId="0" fontId="28" fillId="0" borderId="0" xfId="4" applyFont="1"/>
    <xf numFmtId="49" fontId="21" fillId="2" borderId="20" xfId="4" applyNumberFormat="1" applyFont="1" applyFill="1" applyBorder="1" applyAlignment="1">
      <alignment horizontal="center" vertical="center" wrapText="1"/>
    </xf>
    <xf numFmtId="49" fontId="8" fillId="0" borderId="20" xfId="4" applyNumberFormat="1" applyBorder="1" applyAlignment="1">
      <alignment horizontal="center" vertical="center" wrapText="1"/>
    </xf>
    <xf numFmtId="0" fontId="20" fillId="10" borderId="22" xfId="7" applyFont="1" applyFill="1" applyBorder="1" applyAlignment="1" applyProtection="1">
      <alignment horizontal="center" vertical="center" wrapText="1"/>
      <protection hidden="1"/>
    </xf>
    <xf numFmtId="0" fontId="21" fillId="10" borderId="22" xfId="7" applyFont="1" applyFill="1" applyBorder="1" applyAlignment="1" applyProtection="1">
      <alignment horizontal="left" vertical="center" wrapText="1"/>
      <protection hidden="1"/>
    </xf>
    <xf numFmtId="0" fontId="21" fillId="10" borderId="22" xfId="7" applyFont="1" applyFill="1" applyBorder="1" applyAlignment="1" applyProtection="1">
      <alignment horizontal="center" vertical="center" wrapText="1"/>
      <protection hidden="1"/>
    </xf>
    <xf numFmtId="0" fontId="8" fillId="10" borderId="22" xfId="4" applyFill="1" applyBorder="1" applyAlignment="1">
      <alignment horizontal="center" vertical="center" wrapText="1"/>
    </xf>
    <xf numFmtId="4" fontId="21" fillId="10" borderId="22" xfId="7" applyNumberFormat="1" applyFont="1" applyFill="1" applyBorder="1" applyAlignment="1" applyProtection="1">
      <alignment horizontal="right" vertical="center" wrapText="1"/>
      <protection hidden="1"/>
    </xf>
    <xf numFmtId="0" fontId="21" fillId="0" borderId="24" xfId="7" applyFont="1" applyBorder="1" applyAlignment="1" applyProtection="1">
      <alignment horizontal="center" vertical="center" wrapText="1"/>
      <protection hidden="1"/>
    </xf>
    <xf numFmtId="0" fontId="21" fillId="0" borderId="24" xfId="7" applyFont="1" applyBorder="1" applyAlignment="1" applyProtection="1">
      <alignment horizontal="left" vertical="center" wrapText="1"/>
      <protection hidden="1"/>
    </xf>
    <xf numFmtId="0" fontId="8" fillId="0" borderId="24" xfId="4" applyBorder="1" applyAlignment="1">
      <alignment horizontal="center" vertical="center" wrapText="1"/>
    </xf>
    <xf numFmtId="4" fontId="21" fillId="0" borderId="24" xfId="7" applyNumberFormat="1" applyFont="1" applyBorder="1" applyAlignment="1" applyProtection="1">
      <alignment horizontal="right" vertical="center" wrapText="1"/>
      <protection hidden="1"/>
    </xf>
    <xf numFmtId="167" fontId="23" fillId="0" borderId="24" xfId="4" applyNumberFormat="1" applyFont="1" applyBorder="1" applyAlignment="1">
      <alignment horizontal="center" vertical="center" wrapText="1"/>
    </xf>
    <xf numFmtId="0" fontId="8" fillId="0" borderId="24" xfId="4" applyBorder="1" applyAlignment="1">
      <alignment vertical="center" wrapText="1"/>
    </xf>
    <xf numFmtId="0" fontId="30" fillId="0" borderId="0" xfId="4" applyFont="1" applyAlignment="1">
      <alignment horizontal="center" vertical="center"/>
    </xf>
    <xf numFmtId="0" fontId="30" fillId="0" borderId="0" xfId="4" applyFont="1" applyAlignment="1">
      <alignment vertical="center"/>
    </xf>
    <xf numFmtId="0" fontId="30" fillId="0" borderId="0" xfId="4" applyFont="1"/>
    <xf numFmtId="0" fontId="8" fillId="0" borderId="0" xfId="4" applyAlignment="1">
      <alignment horizontal="center" vertical="center"/>
    </xf>
    <xf numFmtId="0" fontId="8" fillId="0" borderId="0" xfId="4" applyAlignment="1">
      <alignment vertical="center"/>
    </xf>
    <xf numFmtId="0" fontId="31" fillId="0" borderId="0" xfId="11" applyAlignment="1">
      <alignment vertical="center"/>
    </xf>
    <xf numFmtId="49" fontId="17" fillId="0" borderId="0" xfId="3" applyNumberFormat="1" applyFont="1" applyAlignment="1">
      <alignment horizontal="center" vertical="center" wrapText="1"/>
    </xf>
    <xf numFmtId="0" fontId="18" fillId="0" borderId="0" xfId="3" applyFont="1" applyAlignment="1">
      <alignment vertical="center"/>
    </xf>
    <xf numFmtId="0" fontId="19" fillId="0" borderId="0" xfId="3" applyFont="1" applyAlignment="1">
      <alignment horizontal="left" vertical="center" wrapText="1"/>
    </xf>
    <xf numFmtId="49" fontId="13" fillId="0" borderId="0" xfId="3" applyNumberFormat="1" applyFont="1" applyAlignment="1">
      <alignment horizontal="center" vertical="center" wrapText="1"/>
    </xf>
    <xf numFmtId="2" fontId="11" fillId="3" borderId="33" xfId="5" applyNumberFormat="1" applyFont="1" applyFill="1" applyBorder="1" applyAlignment="1">
      <alignment horizontal="center" vertical="center" wrapText="1"/>
    </xf>
    <xf numFmtId="2" fontId="11" fillId="3" borderId="34" xfId="5" applyNumberFormat="1" applyFont="1" applyFill="1" applyBorder="1" applyAlignment="1">
      <alignment horizontal="center" vertical="center" wrapText="1"/>
    </xf>
    <xf numFmtId="2" fontId="6" fillId="3" borderId="34" xfId="5" applyNumberFormat="1" applyFont="1" applyFill="1" applyBorder="1" applyAlignment="1">
      <alignment horizontal="center" vertical="center" wrapText="1"/>
    </xf>
    <xf numFmtId="2" fontId="11" fillId="3" borderId="34" xfId="3" applyNumberFormat="1" applyFont="1" applyFill="1" applyBorder="1" applyAlignment="1">
      <alignment horizontal="center" vertical="center" wrapText="1"/>
    </xf>
    <xf numFmtId="2" fontId="11" fillId="3" borderId="35" xfId="3" applyNumberFormat="1" applyFont="1" applyFill="1" applyBorder="1" applyAlignment="1" applyProtection="1">
      <alignment horizontal="center" vertical="center" wrapText="1"/>
      <protection locked="0"/>
    </xf>
    <xf numFmtId="2" fontId="11" fillId="3" borderId="34" xfId="6" applyNumberFormat="1" applyFont="1" applyFill="1" applyBorder="1" applyAlignment="1">
      <alignment horizontal="center" vertical="center" wrapText="1"/>
    </xf>
    <xf numFmtId="168" fontId="11" fillId="3" borderId="3" xfId="5" applyNumberFormat="1" applyFont="1" applyFill="1" applyBorder="1" applyAlignment="1" applyProtection="1">
      <alignment horizontal="center" vertical="center" wrapText="1"/>
      <protection locked="0"/>
    </xf>
    <xf numFmtId="0" fontId="8" fillId="0" borderId="0" xfId="11" applyFont="1" applyAlignment="1">
      <alignment horizontal="center" vertical="center" wrapText="1"/>
    </xf>
    <xf numFmtId="167" fontId="11" fillId="4" borderId="36" xfId="3" applyNumberFormat="1" applyFont="1" applyFill="1" applyBorder="1" applyAlignment="1">
      <alignment vertical="center" wrapText="1"/>
    </xf>
    <xf numFmtId="0" fontId="33" fillId="4" borderId="37" xfId="3" applyFont="1" applyFill="1" applyBorder="1" applyAlignment="1" applyProtection="1">
      <alignment horizontal="left" vertical="center" wrapText="1"/>
      <protection locked="0"/>
    </xf>
    <xf numFmtId="49" fontId="34" fillId="0" borderId="0" xfId="3" applyNumberFormat="1" applyFont="1" applyAlignment="1" applyProtection="1">
      <alignment horizontal="center" vertical="center"/>
      <protection hidden="1"/>
    </xf>
    <xf numFmtId="49" fontId="8" fillId="0" borderId="36" xfId="3" applyNumberFormat="1" applyFont="1" applyBorder="1" applyAlignment="1" applyProtection="1">
      <alignment horizontal="center" vertical="center"/>
      <protection hidden="1"/>
    </xf>
    <xf numFmtId="0" fontId="8" fillId="0" borderId="36" xfId="6" applyFont="1" applyBorder="1" applyAlignment="1">
      <alignment horizontal="left" vertical="center" wrapText="1"/>
    </xf>
    <xf numFmtId="0" fontId="32" fillId="0" borderId="14" xfId="11" applyFont="1" applyBorder="1" applyAlignment="1">
      <alignment horizontal="left" vertical="center" wrapText="1"/>
    </xf>
    <xf numFmtId="0" fontId="8" fillId="0" borderId="36" xfId="6" applyFont="1" applyBorder="1" applyAlignment="1">
      <alignment horizontal="center" vertical="center"/>
    </xf>
    <xf numFmtId="3" fontId="8" fillId="0" borderId="36" xfId="3" applyNumberFormat="1" applyFont="1" applyBorder="1" applyAlignment="1">
      <alignment horizontal="center" vertical="center"/>
    </xf>
    <xf numFmtId="167" fontId="8" fillId="15" borderId="36" xfId="12" applyNumberFormat="1" applyFont="1" applyFill="1" applyBorder="1" applyAlignment="1" applyProtection="1">
      <alignment horizontal="center" vertical="center"/>
    </xf>
    <xf numFmtId="167" fontId="8" fillId="0" borderId="36" xfId="3" applyNumberFormat="1" applyFont="1" applyBorder="1" applyAlignment="1">
      <alignment horizontal="center" vertical="center"/>
    </xf>
    <xf numFmtId="0" fontId="35" fillId="0" borderId="37" xfId="11" applyFont="1" applyBorder="1" applyAlignment="1">
      <alignment vertical="center"/>
    </xf>
    <xf numFmtId="0" fontId="8" fillId="0" borderId="0" xfId="11" applyFont="1" applyAlignment="1">
      <alignment vertical="center"/>
    </xf>
    <xf numFmtId="2" fontId="11" fillId="3" borderId="31" xfId="5" applyNumberFormat="1" applyFont="1" applyFill="1" applyBorder="1" applyAlignment="1">
      <alignment horizontal="center" vertical="center" wrapText="1"/>
    </xf>
    <xf numFmtId="2" fontId="11" fillId="3" borderId="0" xfId="5" applyNumberFormat="1" applyFont="1" applyFill="1" applyAlignment="1">
      <alignment horizontal="center" vertical="center" wrapText="1"/>
    </xf>
    <xf numFmtId="2" fontId="6" fillId="3" borderId="0" xfId="5" applyNumberFormat="1" applyFont="1" applyFill="1" applyAlignment="1">
      <alignment horizontal="center" vertical="center" wrapText="1"/>
    </xf>
    <xf numFmtId="2" fontId="11" fillId="3" borderId="0" xfId="3" applyNumberFormat="1" applyFont="1" applyFill="1" applyAlignment="1">
      <alignment horizontal="center" vertical="center" wrapText="1"/>
    </xf>
    <xf numFmtId="2" fontId="11" fillId="3" borderId="0" xfId="3" applyNumberFormat="1" applyFont="1" applyFill="1" applyAlignment="1" applyProtection="1">
      <alignment horizontal="center" vertical="center" wrapText="1"/>
      <protection locked="0"/>
    </xf>
    <xf numFmtId="2" fontId="11" fillId="3" borderId="0" xfId="6" applyNumberFormat="1" applyFont="1" applyFill="1" applyAlignment="1">
      <alignment horizontal="center" vertical="center" wrapText="1"/>
    </xf>
    <xf numFmtId="2" fontId="11" fillId="3" borderId="40" xfId="6" applyNumberFormat="1" applyFont="1" applyFill="1" applyBorder="1" applyAlignment="1">
      <alignment horizontal="center" vertical="center" wrapText="1"/>
    </xf>
    <xf numFmtId="2" fontId="11" fillId="3" borderId="39" xfId="6" applyNumberFormat="1" applyFont="1" applyFill="1" applyBorder="1" applyAlignment="1">
      <alignment horizontal="center" vertical="center" wrapText="1"/>
    </xf>
    <xf numFmtId="168" fontId="11" fillId="3" borderId="30" xfId="5" applyNumberFormat="1" applyFont="1" applyFill="1" applyBorder="1" applyAlignment="1" applyProtection="1">
      <alignment horizontal="center" vertical="center" wrapText="1"/>
      <protection locked="0"/>
    </xf>
    <xf numFmtId="0" fontId="11" fillId="4" borderId="41" xfId="3" applyFont="1" applyFill="1" applyBorder="1" applyAlignment="1" applyProtection="1">
      <alignment horizontal="center" vertical="center" wrapText="1"/>
      <protection hidden="1"/>
    </xf>
    <xf numFmtId="0" fontId="11" fillId="4" borderId="42" xfId="3" applyFont="1" applyFill="1" applyBorder="1" applyAlignment="1" applyProtection="1">
      <alignment horizontal="center" vertical="center" wrapText="1"/>
      <protection hidden="1"/>
    </xf>
    <xf numFmtId="0" fontId="11" fillId="4" borderId="43" xfId="3" applyFont="1" applyFill="1" applyBorder="1" applyAlignment="1" applyProtection="1">
      <alignment horizontal="center" vertical="center" wrapText="1"/>
      <protection hidden="1"/>
    </xf>
    <xf numFmtId="0" fontId="11" fillId="4" borderId="11" xfId="3" applyFont="1" applyFill="1" applyBorder="1" applyAlignment="1" applyProtection="1">
      <alignment horizontal="center" vertical="center" wrapText="1"/>
      <protection hidden="1"/>
    </xf>
    <xf numFmtId="0" fontId="11" fillId="4" borderId="12" xfId="3" applyFont="1" applyFill="1" applyBorder="1" applyAlignment="1" applyProtection="1">
      <alignment horizontal="center" vertical="center" wrapText="1"/>
      <protection hidden="1"/>
    </xf>
    <xf numFmtId="0" fontId="11" fillId="4" borderId="44" xfId="3" applyFont="1" applyFill="1" applyBorder="1" applyAlignment="1" applyProtection="1">
      <alignment horizontal="center" vertical="center" wrapText="1"/>
      <protection hidden="1"/>
    </xf>
    <xf numFmtId="49" fontId="18" fillId="0" borderId="0" xfId="3" applyNumberFormat="1" applyFont="1" applyAlignment="1">
      <alignment horizontal="center"/>
    </xf>
    <xf numFmtId="0" fontId="17" fillId="0" borderId="0" xfId="3" applyFont="1" applyAlignment="1">
      <alignment vertical="center" wrapText="1"/>
    </xf>
    <xf numFmtId="0" fontId="31" fillId="0" borderId="0" xfId="11"/>
    <xf numFmtId="49" fontId="16" fillId="2" borderId="0" xfId="3" applyNumberFormat="1" applyFont="1" applyFill="1" applyAlignment="1">
      <alignment horizontal="center"/>
    </xf>
    <xf numFmtId="49" fontId="34" fillId="0" borderId="49" xfId="3" applyNumberFormat="1" applyFont="1" applyBorder="1" applyAlignment="1">
      <alignment horizontal="center" vertical="center" wrapText="1"/>
    </xf>
    <xf numFmtId="0" fontId="31" fillId="0" borderId="0" xfId="11" applyAlignment="1">
      <alignment horizontal="center" vertical="center" wrapText="1"/>
    </xf>
    <xf numFmtId="0" fontId="11" fillId="0" borderId="0" xfId="11" applyFont="1"/>
    <xf numFmtId="49" fontId="6" fillId="4" borderId="17" xfId="11" applyNumberFormat="1" applyFont="1" applyFill="1" applyBorder="1" applyAlignment="1">
      <alignment horizontal="center" vertical="center" wrapText="1"/>
    </xf>
    <xf numFmtId="49" fontId="11" fillId="5" borderId="17" xfId="11" applyNumberFormat="1" applyFont="1" applyFill="1" applyBorder="1" applyAlignment="1">
      <alignment horizontal="center" vertical="center" wrapText="1"/>
    </xf>
    <xf numFmtId="49" fontId="37" fillId="5" borderId="17" xfId="11" applyNumberFormat="1" applyFont="1" applyFill="1" applyBorder="1" applyAlignment="1">
      <alignment horizontal="center" vertical="center" wrapText="1"/>
    </xf>
    <xf numFmtId="0" fontId="5" fillId="0" borderId="49" xfId="11" applyFont="1" applyBorder="1" applyAlignment="1">
      <alignment vertical="center" wrapText="1"/>
    </xf>
    <xf numFmtId="0" fontId="7" fillId="0" borderId="14" xfId="10" applyFont="1" applyBorder="1" applyAlignment="1">
      <alignment horizontal="center" vertical="center"/>
    </xf>
    <xf numFmtId="49" fontId="11" fillId="5" borderId="17" xfId="11" applyNumberFormat="1" applyFont="1" applyFill="1" applyBorder="1" applyAlignment="1">
      <alignment vertical="top" wrapText="1"/>
    </xf>
    <xf numFmtId="0" fontId="31" fillId="0" borderId="0" xfId="11" applyAlignment="1">
      <alignment horizontal="center" vertical="center"/>
    </xf>
    <xf numFmtId="0" fontId="8" fillId="0" borderId="0" xfId="11" applyFont="1"/>
    <xf numFmtId="0" fontId="7" fillId="0" borderId="0" xfId="11" applyFont="1"/>
    <xf numFmtId="0" fontId="7" fillId="0" borderId="49" xfId="11" applyFont="1" applyBorder="1"/>
    <xf numFmtId="49" fontId="9" fillId="0" borderId="14" xfId="11" applyNumberFormat="1" applyFont="1" applyBorder="1" applyAlignment="1">
      <alignment vertical="center" textRotation="90" wrapText="1"/>
    </xf>
    <xf numFmtId="0" fontId="8" fillId="0" borderId="49" xfId="11" applyFont="1" applyBorder="1"/>
    <xf numFmtId="49" fontId="9" fillId="7" borderId="14" xfId="11" applyNumberFormat="1" applyFont="1" applyFill="1" applyBorder="1" applyAlignment="1">
      <alignment vertical="center" textRotation="90" wrapText="1"/>
    </xf>
    <xf numFmtId="0" fontId="37" fillId="5" borderId="56" xfId="11" applyFont="1" applyFill="1" applyBorder="1" applyAlignment="1">
      <alignment horizontal="center" vertical="center" wrapText="1"/>
    </xf>
    <xf numFmtId="0" fontId="11" fillId="0" borderId="0" xfId="11" applyFont="1" applyAlignment="1">
      <alignment horizontal="center" vertical="center"/>
    </xf>
    <xf numFmtId="0" fontId="11" fillId="0" borderId="49" xfId="11" applyFont="1" applyBorder="1" applyAlignment="1">
      <alignment horizontal="center" vertical="center"/>
    </xf>
    <xf numFmtId="49" fontId="8" fillId="0" borderId="17" xfId="11" applyNumberFormat="1" applyFont="1" applyBorder="1" applyAlignment="1">
      <alignment horizontal="center" vertical="center" wrapText="1"/>
    </xf>
    <xf numFmtId="3" fontId="8" fillId="7" borderId="56" xfId="3" applyNumberFormat="1" applyFont="1" applyFill="1" applyBorder="1" applyAlignment="1">
      <alignment horizontal="center" vertical="center" wrapText="1"/>
    </xf>
    <xf numFmtId="0" fontId="11" fillId="0" borderId="49" xfId="11" applyFont="1" applyBorder="1"/>
    <xf numFmtId="49" fontId="11" fillId="0" borderId="17" xfId="11" applyNumberFormat="1" applyFont="1" applyBorder="1" applyAlignment="1">
      <alignment vertical="top" wrapText="1"/>
    </xf>
    <xf numFmtId="49" fontId="8" fillId="7" borderId="17" xfId="3" applyNumberFormat="1" applyFont="1" applyFill="1" applyBorder="1" applyAlignment="1">
      <alignment horizontal="center" vertical="center" wrapText="1"/>
    </xf>
    <xf numFmtId="0" fontId="8" fillId="0" borderId="0" xfId="11" applyFont="1" applyAlignment="1">
      <alignment horizontal="center" vertical="center"/>
    </xf>
    <xf numFmtId="0" fontId="8" fillId="0" borderId="0" xfId="11" quotePrefix="1" applyFont="1"/>
    <xf numFmtId="49" fontId="6" fillId="4" borderId="17" xfId="11" applyNumberFormat="1" applyFont="1" applyFill="1" applyBorder="1" applyAlignment="1">
      <alignment vertical="top" wrapText="1"/>
    </xf>
    <xf numFmtId="49" fontId="41" fillId="0" borderId="17" xfId="11" applyNumberFormat="1" applyFont="1" applyBorder="1" applyAlignment="1">
      <alignment vertical="top" wrapText="1"/>
    </xf>
    <xf numFmtId="49" fontId="11" fillId="7" borderId="17" xfId="11" applyNumberFormat="1" applyFont="1" applyFill="1" applyBorder="1" applyAlignment="1">
      <alignment vertical="top" wrapText="1"/>
    </xf>
    <xf numFmtId="49" fontId="33" fillId="0" borderId="49" xfId="3" applyNumberFormat="1" applyFont="1" applyBorder="1" applyAlignment="1">
      <alignment horizontal="center" vertical="center" wrapText="1"/>
    </xf>
    <xf numFmtId="49" fontId="8" fillId="0" borderId="17" xfId="11" applyNumberFormat="1" applyFont="1" applyBorder="1" applyAlignment="1">
      <alignment vertical="top" wrapText="1"/>
    </xf>
    <xf numFmtId="2" fontId="11" fillId="3" borderId="59" xfId="3" applyNumberFormat="1" applyFont="1" applyFill="1" applyBorder="1" applyAlignment="1">
      <alignment horizontal="center" vertical="center" wrapText="1"/>
    </xf>
    <xf numFmtId="2" fontId="11" fillId="3" borderId="57" xfId="3" applyNumberFormat="1" applyFont="1" applyFill="1" applyBorder="1" applyAlignment="1">
      <alignment horizontal="center" vertical="center" wrapText="1"/>
    </xf>
    <xf numFmtId="49" fontId="8" fillId="4" borderId="17" xfId="11" applyNumberFormat="1" applyFont="1" applyFill="1" applyBorder="1" applyAlignment="1">
      <alignment horizontal="center" vertical="center" wrapText="1"/>
    </xf>
    <xf numFmtId="49" fontId="11" fillId="4" borderId="17" xfId="11" applyNumberFormat="1" applyFont="1" applyFill="1" applyBorder="1" applyAlignment="1">
      <alignment vertical="top" wrapText="1"/>
    </xf>
    <xf numFmtId="2" fontId="11" fillId="3" borderId="24" xfId="3" applyNumberFormat="1" applyFont="1" applyFill="1" applyBorder="1" applyAlignment="1" applyProtection="1">
      <alignment horizontal="center" vertical="center" wrapText="1"/>
      <protection locked="0"/>
    </xf>
    <xf numFmtId="49" fontId="6" fillId="4" borderId="0" xfId="11" applyNumberFormat="1" applyFont="1" applyFill="1" applyAlignment="1">
      <alignment horizontal="center" vertical="center" wrapText="1"/>
    </xf>
    <xf numFmtId="49" fontId="37" fillId="5" borderId="58" xfId="11" applyNumberFormat="1" applyFont="1" applyFill="1" applyBorder="1" applyAlignment="1">
      <alignment horizontal="center" vertical="center" wrapText="1"/>
    </xf>
    <xf numFmtId="49" fontId="11" fillId="6" borderId="60" xfId="4" applyNumberFormat="1" applyFont="1" applyFill="1" applyBorder="1" applyAlignment="1">
      <alignment horizontal="center" vertical="center" wrapText="1"/>
    </xf>
    <xf numFmtId="49" fontId="8" fillId="10" borderId="60" xfId="4" applyNumberFormat="1" applyFill="1" applyBorder="1" applyAlignment="1">
      <alignment horizontal="center" vertical="center" wrapText="1"/>
    </xf>
    <xf numFmtId="0" fontId="21" fillId="10" borderId="60" xfId="7" applyFont="1" applyFill="1" applyBorder="1" applyAlignment="1" applyProtection="1">
      <alignment horizontal="center" vertical="center" wrapText="1"/>
      <protection hidden="1"/>
    </xf>
    <xf numFmtId="49" fontId="27" fillId="10" borderId="60" xfId="4" applyNumberFormat="1" applyFont="1" applyFill="1" applyBorder="1" applyAlignment="1">
      <alignment horizontal="center" vertical="center" wrapText="1"/>
    </xf>
    <xf numFmtId="49" fontId="21" fillId="2" borderId="60" xfId="4" applyNumberFormat="1" applyFont="1" applyFill="1" applyBorder="1" applyAlignment="1">
      <alignment horizontal="center" vertical="center" wrapText="1"/>
    </xf>
    <xf numFmtId="49" fontId="8" fillId="0" borderId="60" xfId="4" applyNumberFormat="1" applyBorder="1" applyAlignment="1">
      <alignment horizontal="center" vertical="center" wrapText="1"/>
    </xf>
    <xf numFmtId="49" fontId="8" fillId="10" borderId="61" xfId="4" applyNumberFormat="1" applyFill="1" applyBorder="1" applyAlignment="1">
      <alignment horizontal="center" vertical="center" wrapText="1"/>
    </xf>
    <xf numFmtId="2" fontId="11" fillId="3" borderId="46" xfId="3" applyNumberFormat="1" applyFont="1" applyFill="1" applyBorder="1" applyAlignment="1">
      <alignment horizontal="center" vertical="center" wrapText="1"/>
    </xf>
    <xf numFmtId="0" fontId="8" fillId="0" borderId="0" xfId="5"/>
    <xf numFmtId="0" fontId="8" fillId="0" borderId="0" xfId="5" applyAlignment="1">
      <alignment horizontal="center" vertical="center" wrapText="1"/>
    </xf>
    <xf numFmtId="0" fontId="7" fillId="0" borderId="0" xfId="5" applyFont="1"/>
    <xf numFmtId="0" fontId="11" fillId="0" borderId="0" xfId="5" applyFont="1" applyAlignment="1">
      <alignment horizontal="center" vertical="center"/>
    </xf>
    <xf numFmtId="0" fontId="11" fillId="0" borderId="49" xfId="5" applyFont="1" applyBorder="1" applyAlignment="1">
      <alignment horizontal="center" vertical="center"/>
    </xf>
    <xf numFmtId="49" fontId="47" fillId="0" borderId="46" xfId="5" applyNumberFormat="1" applyFont="1" applyBorder="1" applyAlignment="1">
      <alignment horizontal="left" vertical="center" wrapText="1"/>
    </xf>
    <xf numFmtId="49" fontId="8" fillId="0" borderId="17" xfId="5" applyNumberFormat="1" applyBorder="1" applyAlignment="1">
      <alignment horizontal="center" vertical="center" wrapText="1"/>
    </xf>
    <xf numFmtId="0" fontId="11" fillId="0" borderId="0" xfId="5" applyFont="1"/>
    <xf numFmtId="49" fontId="8" fillId="7" borderId="17" xfId="5" applyNumberFormat="1" applyFill="1" applyBorder="1" applyAlignment="1">
      <alignment horizontal="left" vertical="center" wrapText="1"/>
    </xf>
    <xf numFmtId="0" fontId="8" fillId="0" borderId="0" xfId="5" applyAlignment="1">
      <alignment horizontal="center" vertical="center"/>
    </xf>
    <xf numFmtId="0" fontId="50" fillId="0" borderId="0" xfId="5" applyFont="1" applyAlignment="1">
      <alignment horizontal="center" vertical="center"/>
    </xf>
    <xf numFmtId="49" fontId="51" fillId="7" borderId="14" xfId="0" applyNumberFormat="1" applyFont="1" applyFill="1" applyBorder="1" applyAlignment="1">
      <alignment vertical="center" wrapText="1"/>
    </xf>
    <xf numFmtId="49" fontId="31" fillId="0" borderId="17" xfId="11" applyNumberFormat="1" applyBorder="1" applyAlignment="1">
      <alignment vertical="top" wrapText="1"/>
    </xf>
    <xf numFmtId="49" fontId="49" fillId="7" borderId="0" xfId="0" applyNumberFormat="1" applyFont="1" applyFill="1" applyAlignment="1">
      <alignment horizontal="right" vertical="center" wrapText="1"/>
    </xf>
    <xf numFmtId="0" fontId="8" fillId="0" borderId="0" xfId="0" applyFont="1" applyAlignment="1">
      <alignment horizontal="center" vertical="center"/>
    </xf>
    <xf numFmtId="0" fontId="8" fillId="0" borderId="62" xfId="0" applyFont="1" applyBorder="1" applyAlignment="1">
      <alignment horizontal="center" vertical="center"/>
    </xf>
    <xf numFmtId="0" fontId="8" fillId="0" borderId="63" xfId="0" applyFont="1" applyBorder="1" applyAlignment="1">
      <alignment horizontal="center" vertical="center"/>
    </xf>
    <xf numFmtId="0" fontId="8" fillId="0" borderId="64" xfId="0" applyFont="1" applyBorder="1" applyAlignment="1">
      <alignment horizontal="center" vertical="center"/>
    </xf>
    <xf numFmtId="0" fontId="54" fillId="0" borderId="0" xfId="0" applyFont="1" applyAlignment="1">
      <alignment horizontal="center" vertical="center"/>
    </xf>
    <xf numFmtId="2" fontId="11" fillId="18" borderId="67" xfId="5" applyNumberFormat="1" applyFont="1" applyFill="1" applyBorder="1" applyAlignment="1">
      <alignment horizontal="center" vertical="center" wrapText="1"/>
    </xf>
    <xf numFmtId="2" fontId="11" fillId="18" borderId="68" xfId="5" applyNumberFormat="1" applyFont="1" applyFill="1" applyBorder="1" applyAlignment="1">
      <alignment horizontal="center" vertical="center" wrapText="1"/>
    </xf>
    <xf numFmtId="2" fontId="11" fillId="18" borderId="68" xfId="3" applyNumberFormat="1" applyFont="1" applyFill="1" applyBorder="1" applyAlignment="1">
      <alignment horizontal="center" vertical="center" wrapText="1"/>
    </xf>
    <xf numFmtId="2" fontId="11" fillId="18" borderId="68" xfId="6" applyNumberFormat="1" applyFont="1" applyFill="1" applyBorder="1" applyAlignment="1">
      <alignment horizontal="center" vertical="center" wrapText="1"/>
    </xf>
    <xf numFmtId="2" fontId="11" fillId="18" borderId="69" xfId="6" applyNumberFormat="1" applyFont="1" applyFill="1" applyBorder="1" applyAlignment="1">
      <alignment horizontal="center" vertical="center" wrapText="1"/>
    </xf>
    <xf numFmtId="2" fontId="11" fillId="18" borderId="70" xfId="6" applyNumberFormat="1" applyFont="1" applyFill="1" applyBorder="1" applyAlignment="1">
      <alignment horizontal="center" vertical="center" wrapText="1"/>
    </xf>
    <xf numFmtId="2" fontId="11" fillId="18" borderId="71" xfId="6" applyNumberFormat="1" applyFont="1" applyFill="1" applyBorder="1" applyAlignment="1">
      <alignment horizontal="center" vertical="center" wrapText="1"/>
    </xf>
    <xf numFmtId="0" fontId="8" fillId="0" borderId="0" xfId="4" applyAlignment="1">
      <alignment horizontal="center" vertical="center" wrapText="1"/>
    </xf>
    <xf numFmtId="49" fontId="27" fillId="0" borderId="18" xfId="4" applyNumberFormat="1" applyFont="1" applyBorder="1" applyAlignment="1">
      <alignment horizontal="center" vertical="center" wrapText="1"/>
    </xf>
    <xf numFmtId="0" fontId="21" fillId="0" borderId="18" xfId="7" applyFont="1" applyBorder="1" applyAlignment="1" applyProtection="1">
      <alignment horizontal="left" vertical="center" wrapText="1"/>
      <protection hidden="1"/>
    </xf>
    <xf numFmtId="0" fontId="21" fillId="0" borderId="18" xfId="7" applyFont="1" applyBorder="1" applyAlignment="1" applyProtection="1">
      <alignment horizontal="center" vertical="center" wrapText="1"/>
      <protection hidden="1"/>
    </xf>
    <xf numFmtId="4" fontId="21" fillId="0" borderId="18" xfId="7" applyNumberFormat="1" applyFont="1" applyBorder="1" applyAlignment="1" applyProtection="1">
      <alignment horizontal="right" vertical="center" wrapText="1"/>
      <protection hidden="1"/>
    </xf>
    <xf numFmtId="167" fontId="23" fillId="0" borderId="18" xfId="4" applyNumberFormat="1" applyFont="1" applyBorder="1" applyAlignment="1">
      <alignment horizontal="center" vertical="center" wrapText="1"/>
    </xf>
    <xf numFmtId="0" fontId="21" fillId="0" borderId="48" xfId="7" applyFont="1" applyBorder="1" applyAlignment="1" applyProtection="1">
      <alignment horizontal="center" vertical="center" wrapText="1"/>
      <protection hidden="1"/>
    </xf>
    <xf numFmtId="0" fontId="8" fillId="0" borderId="72" xfId="4" applyBorder="1" applyAlignment="1">
      <alignment vertical="center" wrapText="1"/>
    </xf>
    <xf numFmtId="49" fontId="8" fillId="0" borderId="6" xfId="4" applyNumberFormat="1" applyBorder="1" applyAlignment="1">
      <alignment horizontal="center" vertical="center" wrapText="1"/>
    </xf>
    <xf numFmtId="167" fontId="55" fillId="2" borderId="19" xfId="4" applyNumberFormat="1" applyFont="1" applyFill="1" applyBorder="1" applyAlignment="1">
      <alignment horizontal="center" vertical="center" wrapText="1"/>
    </xf>
    <xf numFmtId="3" fontId="21" fillId="2" borderId="20" xfId="4" applyNumberFormat="1" applyFont="1" applyFill="1" applyBorder="1" applyAlignment="1">
      <alignment horizontal="center" vertical="center" wrapText="1"/>
    </xf>
    <xf numFmtId="3" fontId="21" fillId="2" borderId="48" xfId="4" applyNumberFormat="1" applyFont="1" applyFill="1" applyBorder="1" applyAlignment="1">
      <alignment horizontal="center" vertical="center" wrapText="1"/>
    </xf>
    <xf numFmtId="3" fontId="21" fillId="2" borderId="72" xfId="4" applyNumberFormat="1" applyFont="1" applyFill="1" applyBorder="1" applyAlignment="1">
      <alignment horizontal="center" vertical="center" wrapText="1"/>
    </xf>
    <xf numFmtId="3" fontId="21" fillId="2" borderId="18" xfId="4" applyNumberFormat="1" applyFont="1" applyFill="1" applyBorder="1" applyAlignment="1">
      <alignment horizontal="center" vertical="center" wrapText="1"/>
    </xf>
    <xf numFmtId="167" fontId="35" fillId="6" borderId="19" xfId="4" applyNumberFormat="1" applyFont="1" applyFill="1" applyBorder="1" applyAlignment="1">
      <alignment horizontal="center" vertical="center" wrapText="1"/>
    </xf>
    <xf numFmtId="3" fontId="11" fillId="6" borderId="20" xfId="4" applyNumberFormat="1" applyFont="1" applyFill="1" applyBorder="1" applyAlignment="1">
      <alignment horizontal="center" vertical="center" wrapText="1"/>
    </xf>
    <xf numFmtId="3" fontId="8" fillId="6" borderId="48" xfId="4" applyNumberFormat="1" applyFill="1" applyBorder="1" applyAlignment="1">
      <alignment horizontal="center" vertical="center" wrapText="1"/>
    </xf>
    <xf numFmtId="3" fontId="8" fillId="6" borderId="72" xfId="4" applyNumberFormat="1" applyFill="1" applyBorder="1" applyAlignment="1">
      <alignment horizontal="center" vertical="center" wrapText="1"/>
    </xf>
    <xf numFmtId="3" fontId="11" fillId="6" borderId="18" xfId="4" applyNumberFormat="1" applyFont="1" applyFill="1" applyBorder="1" applyAlignment="1">
      <alignment horizontal="center" vertical="center" wrapText="1"/>
    </xf>
    <xf numFmtId="49" fontId="8" fillId="0" borderId="18" xfId="0" applyNumberFormat="1" applyFont="1" applyBorder="1" applyAlignment="1">
      <alignment horizontal="center" vertical="center" wrapText="1"/>
    </xf>
    <xf numFmtId="0" fontId="35" fillId="0" borderId="19" xfId="4" applyFont="1" applyBorder="1" applyAlignment="1">
      <alignment vertical="center" wrapText="1"/>
    </xf>
    <xf numFmtId="3" fontId="8" fillId="0" borderId="20" xfId="4" applyNumberFormat="1" applyBorder="1" applyAlignment="1">
      <alignment horizontal="center" vertical="center" wrapText="1"/>
    </xf>
    <xf numFmtId="3" fontId="8" fillId="0" borderId="48" xfId="4" applyNumberFormat="1" applyBorder="1" applyAlignment="1">
      <alignment horizontal="center" vertical="center" wrapText="1"/>
    </xf>
    <xf numFmtId="3" fontId="8" fillId="19" borderId="72" xfId="3" applyNumberFormat="1" applyFont="1" applyFill="1" applyBorder="1" applyAlignment="1">
      <alignment horizontal="center" vertical="center" wrapText="1"/>
    </xf>
    <xf numFmtId="3" fontId="8" fillId="0" borderId="18" xfId="4" applyNumberFormat="1" applyBorder="1" applyAlignment="1">
      <alignment horizontal="center" vertical="center" wrapText="1"/>
    </xf>
    <xf numFmtId="49" fontId="11" fillId="6" borderId="18" xfId="6" applyNumberFormat="1" applyFont="1" applyFill="1" applyBorder="1" applyAlignment="1">
      <alignment vertical="top" wrapText="1"/>
    </xf>
    <xf numFmtId="49" fontId="8" fillId="7" borderId="18" xfId="0" applyNumberFormat="1" applyFont="1" applyFill="1" applyBorder="1" applyAlignment="1">
      <alignment horizontal="center" vertical="center" wrapText="1"/>
    </xf>
    <xf numFmtId="0" fontId="35" fillId="10" borderId="19" xfId="4" applyFont="1" applyFill="1" applyBorder="1" applyAlignment="1">
      <alignment vertical="center" wrapText="1"/>
    </xf>
    <xf numFmtId="3" fontId="8" fillId="10" borderId="20" xfId="4" applyNumberFormat="1" applyFill="1" applyBorder="1" applyAlignment="1">
      <alignment horizontal="center" vertical="center" wrapText="1"/>
    </xf>
    <xf numFmtId="3" fontId="21" fillId="10" borderId="48" xfId="7" applyNumberFormat="1" applyFont="1" applyFill="1" applyBorder="1" applyAlignment="1" applyProtection="1">
      <alignment horizontal="center" vertical="center" wrapText="1"/>
      <protection hidden="1"/>
    </xf>
    <xf numFmtId="3" fontId="8" fillId="10" borderId="72" xfId="4" applyNumberFormat="1" applyFill="1" applyBorder="1" applyAlignment="1">
      <alignment vertical="center" wrapText="1"/>
    </xf>
    <xf numFmtId="3" fontId="8" fillId="10" borderId="18" xfId="4" applyNumberFormat="1" applyFill="1" applyBorder="1" applyAlignment="1">
      <alignment horizontal="center" vertical="center" wrapText="1"/>
    </xf>
    <xf numFmtId="0" fontId="20" fillId="0" borderId="18" xfId="7" quotePrefix="1" applyFont="1" applyBorder="1" applyAlignment="1" applyProtection="1">
      <alignment horizontal="center" vertical="center" wrapText="1"/>
      <protection hidden="1"/>
    </xf>
    <xf numFmtId="3" fontId="21" fillId="0" borderId="48" xfId="7" applyNumberFormat="1" applyFont="1" applyBorder="1" applyAlignment="1" applyProtection="1">
      <alignment horizontal="center" vertical="center" wrapText="1"/>
      <protection hidden="1"/>
    </xf>
    <xf numFmtId="3" fontId="8" fillId="0" borderId="72" xfId="4" applyNumberFormat="1" applyBorder="1" applyAlignment="1">
      <alignment vertical="center" wrapText="1"/>
    </xf>
    <xf numFmtId="167" fontId="8" fillId="0" borderId="18" xfId="0" applyNumberFormat="1" applyFont="1" applyBorder="1" applyAlignment="1">
      <alignment horizontal="center" vertical="center" wrapText="1"/>
    </xf>
    <xf numFmtId="0" fontId="35" fillId="0" borderId="19" xfId="0" applyFont="1" applyBorder="1" applyAlignment="1">
      <alignment vertical="center" wrapText="1"/>
    </xf>
    <xf numFmtId="3" fontId="21" fillId="10" borderId="20" xfId="7" applyNumberFormat="1" applyFont="1" applyFill="1" applyBorder="1" applyAlignment="1" applyProtection="1">
      <alignment horizontal="center" vertical="center" wrapText="1"/>
      <protection hidden="1"/>
    </xf>
    <xf numFmtId="3" fontId="21" fillId="10" borderId="18" xfId="7" applyNumberFormat="1" applyFont="1" applyFill="1" applyBorder="1" applyAlignment="1" applyProtection="1">
      <alignment horizontal="center" vertical="center" wrapText="1"/>
      <protection hidden="1"/>
    </xf>
    <xf numFmtId="0" fontId="21" fillId="0" borderId="20" xfId="7" applyFont="1" applyBorder="1" applyAlignment="1" applyProtection="1">
      <alignment horizontal="center" vertical="center" wrapText="1"/>
      <protection hidden="1"/>
    </xf>
    <xf numFmtId="0" fontId="21" fillId="0" borderId="60" xfId="7" applyFont="1" applyBorder="1" applyAlignment="1" applyProtection="1">
      <alignment horizontal="center" vertical="center" wrapText="1"/>
      <protection hidden="1"/>
    </xf>
    <xf numFmtId="3" fontId="21" fillId="0" borderId="20" xfId="7" applyNumberFormat="1" applyFont="1" applyBorder="1" applyAlignment="1" applyProtection="1">
      <alignment horizontal="center" vertical="center" wrapText="1"/>
      <protection hidden="1"/>
    </xf>
    <xf numFmtId="3" fontId="21" fillId="0" borderId="18" xfId="7" applyNumberFormat="1" applyFont="1" applyBorder="1" applyAlignment="1" applyProtection="1">
      <alignment horizontal="center" vertical="center" wrapText="1"/>
      <protection hidden="1"/>
    </xf>
    <xf numFmtId="3" fontId="11" fillId="6" borderId="73" xfId="4" applyNumberFormat="1" applyFont="1" applyFill="1" applyBorder="1" applyAlignment="1">
      <alignment horizontal="center" vertical="center" wrapText="1"/>
    </xf>
    <xf numFmtId="3" fontId="8" fillId="0" borderId="7" xfId="4" applyNumberFormat="1" applyBorder="1" applyAlignment="1">
      <alignment horizontal="center" vertical="center" wrapText="1"/>
    </xf>
    <xf numFmtId="3" fontId="11" fillId="6" borderId="74" xfId="4" applyNumberFormat="1" applyFont="1" applyFill="1" applyBorder="1" applyAlignment="1">
      <alignment horizontal="center" vertical="center" wrapText="1"/>
    </xf>
    <xf numFmtId="3" fontId="27" fillId="10" borderId="20" xfId="4" applyNumberFormat="1" applyFont="1" applyFill="1" applyBorder="1" applyAlignment="1">
      <alignment horizontal="center" vertical="center" wrapText="1"/>
    </xf>
    <xf numFmtId="3" fontId="27" fillId="10" borderId="18" xfId="4" applyNumberFormat="1" applyFont="1" applyFill="1" applyBorder="1" applyAlignment="1">
      <alignment horizontal="center" vertical="center" wrapText="1"/>
    </xf>
    <xf numFmtId="49" fontId="27" fillId="0" borderId="20" xfId="4" applyNumberFormat="1" applyFont="1" applyBorder="1" applyAlignment="1">
      <alignment horizontal="center" vertical="center" wrapText="1"/>
    </xf>
    <xf numFmtId="49" fontId="27" fillId="0" borderId="60" xfId="4" applyNumberFormat="1" applyFont="1" applyBorder="1" applyAlignment="1">
      <alignment horizontal="center" vertical="center" wrapText="1"/>
    </xf>
    <xf numFmtId="3" fontId="27" fillId="0" borderId="20" xfId="4" applyNumberFormat="1" applyFont="1" applyBorder="1" applyAlignment="1">
      <alignment horizontal="center" vertical="center" wrapText="1"/>
    </xf>
    <xf numFmtId="3" fontId="27" fillId="0" borderId="18" xfId="4" applyNumberFormat="1" applyFont="1" applyBorder="1" applyAlignment="1">
      <alignment horizontal="center" vertical="center" wrapText="1"/>
    </xf>
    <xf numFmtId="0" fontId="35" fillId="10" borderId="23" xfId="4" applyFont="1" applyFill="1" applyBorder="1" applyAlignment="1">
      <alignment vertical="center" wrapText="1"/>
    </xf>
    <xf numFmtId="3" fontId="8" fillId="10" borderId="21" xfId="4" applyNumberFormat="1" applyFill="1" applyBorder="1" applyAlignment="1">
      <alignment horizontal="center" vertical="center" wrapText="1"/>
    </xf>
    <xf numFmtId="3" fontId="21" fillId="10" borderId="75" xfId="7" applyNumberFormat="1" applyFont="1" applyFill="1" applyBorder="1" applyAlignment="1" applyProtection="1">
      <alignment horizontal="center" vertical="center" wrapText="1"/>
      <protection hidden="1"/>
    </xf>
    <xf numFmtId="3" fontId="8" fillId="10" borderId="76" xfId="4" applyNumberFormat="1" applyFill="1" applyBorder="1" applyAlignment="1">
      <alignment vertical="center" wrapText="1"/>
    </xf>
    <xf numFmtId="3" fontId="8" fillId="10" borderId="22" xfId="4" applyNumberFormat="1" applyFill="1" applyBorder="1" applyAlignment="1">
      <alignment horizontal="center" vertical="center" wrapText="1"/>
    </xf>
    <xf numFmtId="167" fontId="11" fillId="20" borderId="36" xfId="3" applyNumberFormat="1" applyFont="1" applyFill="1" applyBorder="1" applyAlignment="1">
      <alignment vertical="center" wrapText="1"/>
    </xf>
    <xf numFmtId="0" fontId="8" fillId="0" borderId="49" xfId="11" applyFont="1" applyBorder="1" applyAlignment="1">
      <alignment wrapText="1"/>
    </xf>
    <xf numFmtId="169" fontId="58" fillId="18" borderId="14" xfId="14" applyNumberFormat="1" applyFont="1" applyFill="1" applyBorder="1" applyAlignment="1">
      <alignment horizontal="center" wrapText="1"/>
    </xf>
    <xf numFmtId="0" fontId="56" fillId="21" borderId="14" xfId="14" applyFont="1" applyFill="1" applyBorder="1" applyAlignment="1">
      <alignment horizontal="center" vertical="center" wrapText="1"/>
    </xf>
    <xf numFmtId="170" fontId="59" fillId="0" borderId="0" xfId="14" applyNumberFormat="1" applyFont="1" applyAlignment="1">
      <alignment horizontal="center" vertical="center"/>
    </xf>
    <xf numFmtId="0" fontId="60" fillId="0" borderId="0" xfId="14" applyFont="1" applyAlignment="1">
      <alignment horizontal="center" vertical="center"/>
    </xf>
    <xf numFmtId="0" fontId="61" fillId="0" borderId="0" xfId="14" applyFont="1" applyAlignment="1">
      <alignment horizontal="center" vertical="center"/>
    </xf>
    <xf numFmtId="0" fontId="56" fillId="21" borderId="28" xfId="14" applyFont="1" applyFill="1" applyBorder="1" applyAlignment="1">
      <alignment horizontal="right" vertical="center" wrapText="1"/>
    </xf>
    <xf numFmtId="169" fontId="62" fillId="18" borderId="14" xfId="14" applyNumberFormat="1" applyFont="1" applyFill="1" applyBorder="1" applyAlignment="1">
      <alignment horizontal="center" vertical="center" wrapText="1"/>
    </xf>
    <xf numFmtId="0" fontId="63" fillId="7" borderId="14" xfId="14" applyFont="1" applyFill="1" applyBorder="1" applyAlignment="1">
      <alignment horizontal="center" vertical="center" wrapText="1"/>
    </xf>
    <xf numFmtId="0" fontId="60" fillId="0" borderId="0" xfId="14" applyFont="1" applyAlignment="1">
      <alignment vertical="center"/>
    </xf>
    <xf numFmtId="0" fontId="59" fillId="21" borderId="28" xfId="14" applyFont="1" applyFill="1" applyBorder="1" applyAlignment="1">
      <alignment horizontal="center" vertical="center" wrapText="1"/>
    </xf>
    <xf numFmtId="0" fontId="59" fillId="21" borderId="14" xfId="14" applyFont="1" applyFill="1" applyBorder="1" applyAlignment="1">
      <alignment horizontal="center" vertical="center" wrapText="1"/>
    </xf>
    <xf numFmtId="171" fontId="59" fillId="21" borderId="14" xfId="16" applyNumberFormat="1" applyFont="1" applyFill="1" applyBorder="1" applyAlignment="1" applyProtection="1">
      <alignment horizontal="center" vertical="center" wrapText="1"/>
    </xf>
    <xf numFmtId="0" fontId="66" fillId="23" borderId="28" xfId="14" applyFont="1" applyFill="1" applyBorder="1" applyAlignment="1">
      <alignment horizontal="center" vertical="center" wrapText="1"/>
    </xf>
    <xf numFmtId="0" fontId="66" fillId="23" borderId="14" xfId="14" applyFont="1" applyFill="1" applyBorder="1" applyAlignment="1">
      <alignment horizontal="center" vertical="center" wrapText="1"/>
    </xf>
    <xf numFmtId="0" fontId="66" fillId="23" borderId="14" xfId="14" applyFont="1" applyFill="1" applyBorder="1" applyAlignment="1">
      <alignment horizontal="left" vertical="center" wrapText="1"/>
    </xf>
    <xf numFmtId="4" fontId="66" fillId="23" borderId="14" xfId="15" applyNumberFormat="1" applyFont="1" applyFill="1" applyBorder="1" applyAlignment="1" applyProtection="1">
      <alignment vertical="center"/>
    </xf>
    <xf numFmtId="172" fontId="66" fillId="23" borderId="14" xfId="15" applyNumberFormat="1" applyFont="1" applyFill="1" applyBorder="1" applyAlignment="1" applyProtection="1">
      <alignment vertical="center"/>
    </xf>
    <xf numFmtId="172" fontId="66" fillId="23" borderId="14" xfId="15" applyNumberFormat="1" applyFont="1" applyFill="1" applyBorder="1" applyAlignment="1" applyProtection="1">
      <alignment horizontal="center" vertical="center"/>
    </xf>
    <xf numFmtId="0" fontId="66" fillId="23" borderId="14" xfId="14" applyFont="1" applyFill="1" applyBorder="1" applyAlignment="1">
      <alignment horizontal="center" vertical="center"/>
    </xf>
    <xf numFmtId="0" fontId="67" fillId="0" borderId="0" xfId="14" applyFont="1" applyAlignment="1">
      <alignment vertical="center"/>
    </xf>
    <xf numFmtId="0" fontId="57" fillId="0" borderId="28" xfId="14" applyFont="1" applyBorder="1" applyAlignment="1">
      <alignment horizontal="center" vertical="center" wrapText="1"/>
    </xf>
    <xf numFmtId="0" fontId="57" fillId="0" borderId="14" xfId="14" applyFont="1" applyBorder="1" applyAlignment="1">
      <alignment horizontal="left" vertical="center" wrapText="1"/>
    </xf>
    <xf numFmtId="0" fontId="57" fillId="0" borderId="14" xfId="14" applyFont="1" applyBorder="1" applyAlignment="1">
      <alignment horizontal="center" vertical="center" wrapText="1"/>
    </xf>
    <xf numFmtId="4" fontId="57" fillId="24" borderId="14" xfId="15" applyNumberFormat="1" applyFont="1" applyFill="1" applyBorder="1" applyAlignment="1" applyProtection="1">
      <alignment vertical="center"/>
      <protection locked="0"/>
    </xf>
    <xf numFmtId="43" fontId="57" fillId="24" borderId="14" xfId="13" applyFont="1" applyFill="1" applyBorder="1" applyAlignment="1" applyProtection="1">
      <alignment vertical="center"/>
      <protection locked="0"/>
    </xf>
    <xf numFmtId="43" fontId="57" fillId="0" borderId="14" xfId="13" applyFont="1" applyFill="1" applyBorder="1" applyAlignment="1" applyProtection="1">
      <alignment vertical="center"/>
    </xf>
    <xf numFmtId="172" fontId="57" fillId="0" borderId="14" xfId="15" applyNumberFormat="1" applyFont="1" applyFill="1" applyBorder="1" applyAlignment="1" applyProtection="1">
      <alignment horizontal="center" vertical="center"/>
    </xf>
    <xf numFmtId="0" fontId="57" fillId="0" borderId="14" xfId="14" applyFont="1" applyBorder="1" applyAlignment="1">
      <alignment horizontal="center" vertical="center"/>
    </xf>
    <xf numFmtId="0" fontId="61" fillId="0" borderId="0" xfId="14" applyFont="1" applyAlignment="1">
      <alignment vertical="center"/>
    </xf>
    <xf numFmtId="43" fontId="66" fillId="23" borderId="14" xfId="13" applyFont="1" applyFill="1" applyBorder="1" applyAlignment="1" applyProtection="1">
      <alignment vertical="center"/>
    </xf>
    <xf numFmtId="0" fontId="0" fillId="0" borderId="0" xfId="0" applyAlignment="1">
      <alignment vertical="center" wrapText="1"/>
    </xf>
    <xf numFmtId="0" fontId="69" fillId="0" borderId="0" xfId="14" applyFont="1" applyAlignment="1">
      <alignment horizontal="center" vertical="center" wrapText="1"/>
    </xf>
    <xf numFmtId="0" fontId="69" fillId="0" borderId="14" xfId="14" applyFont="1" applyBorder="1" applyAlignment="1">
      <alignment horizontal="center" vertical="center" wrapText="1"/>
    </xf>
    <xf numFmtId="172" fontId="57" fillId="0" borderId="0" xfId="15" applyNumberFormat="1" applyFont="1" applyFill="1" applyBorder="1" applyAlignment="1" applyProtection="1">
      <alignment horizontal="center" vertical="center"/>
    </xf>
    <xf numFmtId="173" fontId="60" fillId="0" borderId="0" xfId="14" applyNumberFormat="1" applyFont="1" applyAlignment="1">
      <alignment horizontal="center" vertical="center"/>
    </xf>
    <xf numFmtId="0" fontId="57" fillId="14" borderId="14" xfId="14" applyFont="1" applyFill="1" applyBorder="1" applyAlignment="1">
      <alignment horizontal="center" vertical="center" wrapText="1"/>
    </xf>
    <xf numFmtId="0" fontId="57" fillId="11" borderId="14" xfId="14" applyFont="1" applyFill="1" applyBorder="1" applyAlignment="1">
      <alignment horizontal="left" vertical="center" wrapText="1"/>
    </xf>
    <xf numFmtId="0" fontId="57" fillId="0" borderId="0" xfId="14" applyFont="1" applyAlignment="1">
      <alignment horizontal="left" vertical="center" wrapText="1"/>
    </xf>
    <xf numFmtId="0" fontId="57" fillId="0" borderId="0" xfId="14" applyFont="1" applyAlignment="1">
      <alignment horizontal="center" vertical="center" wrapText="1"/>
    </xf>
    <xf numFmtId="43" fontId="57" fillId="0" borderId="0" xfId="13" applyFont="1" applyFill="1" applyBorder="1" applyAlignment="1" applyProtection="1">
      <alignment vertical="center"/>
    </xf>
    <xf numFmtId="0" fontId="57" fillId="0" borderId="0" xfId="14" applyFont="1" applyAlignment="1">
      <alignment horizontal="center" vertical="center"/>
    </xf>
    <xf numFmtId="4" fontId="57" fillId="14" borderId="14" xfId="15" applyNumberFormat="1" applyFont="1" applyFill="1" applyBorder="1" applyAlignment="1" applyProtection="1">
      <alignment vertical="center"/>
      <protection locked="0"/>
    </xf>
    <xf numFmtId="0" fontId="57" fillId="0" borderId="14" xfId="15" applyNumberFormat="1" applyFont="1" applyFill="1" applyBorder="1" applyAlignment="1" applyProtection="1">
      <alignment horizontal="center" vertical="center"/>
    </xf>
    <xf numFmtId="0" fontId="64" fillId="25" borderId="49" xfId="14" applyFont="1" applyFill="1" applyBorder="1" applyAlignment="1">
      <alignment horizontal="center" vertical="center" wrapText="1"/>
    </xf>
    <xf numFmtId="0" fontId="73" fillId="26" borderId="78" xfId="17" applyFont="1" applyFill="1" applyBorder="1" applyAlignment="1">
      <alignment horizontal="center" vertical="center" wrapText="1"/>
    </xf>
    <xf numFmtId="0" fontId="73" fillId="26" borderId="27" xfId="17" applyFont="1" applyFill="1" applyBorder="1" applyAlignment="1">
      <alignment horizontal="center" vertical="center" wrapText="1"/>
    </xf>
    <xf numFmtId="4" fontId="57" fillId="0" borderId="14" xfId="15" applyNumberFormat="1" applyFont="1" applyFill="1" applyBorder="1" applyAlignment="1" applyProtection="1">
      <alignment vertical="center"/>
    </xf>
    <xf numFmtId="4" fontId="0" fillId="27" borderId="14" xfId="0" applyNumberFormat="1" applyFill="1" applyBorder="1" applyAlignment="1" applyProtection="1">
      <alignment vertical="center"/>
      <protection locked="0"/>
    </xf>
    <xf numFmtId="4" fontId="0" fillId="0" borderId="14" xfId="0" applyNumberFormat="1" applyBorder="1" applyAlignment="1">
      <alignment vertical="center"/>
    </xf>
    <xf numFmtId="0" fontId="0" fillId="27" borderId="14" xfId="0" applyFill="1" applyBorder="1" applyAlignment="1" applyProtection="1">
      <alignment vertical="center" wrapText="1"/>
      <protection locked="0"/>
    </xf>
    <xf numFmtId="43" fontId="57" fillId="7" borderId="14" xfId="18" applyFont="1" applyFill="1" applyBorder="1" applyAlignment="1" applyProtection="1">
      <alignment vertical="center"/>
    </xf>
    <xf numFmtId="4" fontId="0" fillId="0" borderId="14" xfId="0" applyNumberFormat="1" applyBorder="1" applyAlignment="1" applyProtection="1">
      <alignment vertical="center"/>
      <protection locked="0"/>
    </xf>
    <xf numFmtId="0" fontId="63" fillId="28" borderId="14" xfId="14" applyFont="1" applyFill="1" applyBorder="1" applyAlignment="1">
      <alignment horizontal="center" vertical="center" wrapText="1"/>
    </xf>
    <xf numFmtId="4" fontId="57" fillId="14" borderId="14" xfId="15" applyNumberFormat="1" applyFont="1" applyFill="1" applyBorder="1" applyAlignment="1" applyProtection="1">
      <alignment vertical="center"/>
    </xf>
    <xf numFmtId="0" fontId="57" fillId="29" borderId="28" xfId="14" applyFont="1" applyFill="1" applyBorder="1" applyAlignment="1">
      <alignment horizontal="center" vertical="center" wrapText="1"/>
    </xf>
    <xf numFmtId="0" fontId="57" fillId="29" borderId="14" xfId="14" applyFont="1" applyFill="1" applyBorder="1" applyAlignment="1">
      <alignment horizontal="left" vertical="center" wrapText="1"/>
    </xf>
    <xf numFmtId="0" fontId="57" fillId="29" borderId="14" xfId="14" applyFont="1" applyFill="1" applyBorder="1" applyAlignment="1">
      <alignment horizontal="center" vertical="center" wrapText="1"/>
    </xf>
    <xf numFmtId="43" fontId="57" fillId="29" borderId="14" xfId="13" applyFont="1" applyFill="1" applyBorder="1" applyAlignment="1" applyProtection="1">
      <alignment vertical="center"/>
    </xf>
    <xf numFmtId="172" fontId="57" fillId="29" borderId="14" xfId="15" applyNumberFormat="1" applyFont="1" applyFill="1" applyBorder="1" applyAlignment="1" applyProtection="1">
      <alignment horizontal="center" vertical="center"/>
    </xf>
    <xf numFmtId="0" fontId="74" fillId="0" borderId="0" xfId="11" applyFont="1"/>
    <xf numFmtId="0" fontId="74" fillId="0" borderId="49" xfId="11" applyFont="1" applyBorder="1"/>
    <xf numFmtId="0" fontId="75" fillId="0" borderId="49" xfId="11" applyFont="1" applyBorder="1" applyAlignment="1">
      <alignment wrapText="1"/>
    </xf>
    <xf numFmtId="0" fontId="75" fillId="0" borderId="49" xfId="11" applyFont="1" applyBorder="1"/>
    <xf numFmtId="0" fontId="8" fillId="0" borderId="0" xfId="4" applyAlignment="1">
      <alignment horizontal="left" vertical="center"/>
    </xf>
    <xf numFmtId="49" fontId="13" fillId="0" borderId="0" xfId="3" applyNumberFormat="1" applyFont="1" applyAlignment="1">
      <alignment horizontal="left" vertical="center"/>
    </xf>
    <xf numFmtId="0" fontId="30" fillId="0" borderId="0" xfId="4" applyFont="1" applyAlignment="1">
      <alignment horizontal="left" vertical="center"/>
    </xf>
    <xf numFmtId="0" fontId="79" fillId="30" borderId="68" xfId="0" applyFont="1" applyFill="1" applyBorder="1" applyAlignment="1">
      <alignment horizontal="left" vertical="center" wrapText="1"/>
    </xf>
    <xf numFmtId="0" fontId="79" fillId="30" borderId="79" xfId="0" applyFont="1" applyFill="1" applyBorder="1" applyAlignment="1">
      <alignment horizontal="left" vertical="center" wrapText="1"/>
    </xf>
    <xf numFmtId="0" fontId="80" fillId="0" borderId="74" xfId="0" applyFont="1" applyBorder="1" applyAlignment="1">
      <alignment horizontal="left" vertical="center" wrapText="1"/>
    </xf>
    <xf numFmtId="0" fontId="80" fillId="0" borderId="80" xfId="0" applyFont="1" applyBorder="1" applyAlignment="1">
      <alignment horizontal="left" vertical="center" wrapText="1"/>
    </xf>
    <xf numFmtId="0" fontId="81" fillId="31" borderId="74" xfId="0" applyFont="1" applyFill="1" applyBorder="1" applyAlignment="1">
      <alignment horizontal="left" vertical="center" wrapText="1"/>
    </xf>
    <xf numFmtId="0" fontId="81" fillId="31" borderId="80" xfId="0" applyFont="1" applyFill="1" applyBorder="1" applyAlignment="1">
      <alignment horizontal="left" vertical="center" wrapText="1"/>
    </xf>
    <xf numFmtId="0" fontId="82" fillId="32" borderId="80" xfId="0" applyFont="1" applyFill="1" applyBorder="1" applyAlignment="1">
      <alignment horizontal="left" vertical="center" wrapText="1"/>
    </xf>
    <xf numFmtId="0" fontId="82" fillId="0" borderId="80" xfId="0" applyFont="1" applyBorder="1" applyAlignment="1">
      <alignment horizontal="left" vertical="center" wrapText="1"/>
    </xf>
    <xf numFmtId="0" fontId="79" fillId="33" borderId="74" xfId="0" applyFont="1" applyFill="1" applyBorder="1" applyAlignment="1">
      <alignment horizontal="left" vertical="center" wrapText="1"/>
    </xf>
    <xf numFmtId="0" fontId="79" fillId="33" borderId="80" xfId="0" applyFont="1" applyFill="1" applyBorder="1" applyAlignment="1">
      <alignment horizontal="left" vertical="center" wrapText="1"/>
    </xf>
    <xf numFmtId="0" fontId="81" fillId="33" borderId="74" xfId="0" applyFont="1" applyFill="1" applyBorder="1" applyAlignment="1">
      <alignment horizontal="left" vertical="center" wrapText="1"/>
    </xf>
    <xf numFmtId="0" fontId="81" fillId="33" borderId="80" xfId="0" applyFont="1" applyFill="1" applyBorder="1" applyAlignment="1">
      <alignment horizontal="left" vertical="center" wrapText="1"/>
    </xf>
    <xf numFmtId="0" fontId="81" fillId="0" borderId="74" xfId="0" applyFont="1" applyBorder="1" applyAlignment="1">
      <alignment horizontal="left" vertical="center" wrapText="1"/>
    </xf>
    <xf numFmtId="0" fontId="81" fillId="0" borderId="80" xfId="0" applyFont="1" applyBorder="1" applyAlignment="1">
      <alignment horizontal="left" vertical="center" wrapText="1"/>
    </xf>
    <xf numFmtId="0" fontId="83" fillId="0" borderId="74" xfId="0" applyFont="1" applyBorder="1" applyAlignment="1">
      <alignment horizontal="left" vertical="center" wrapText="1"/>
    </xf>
    <xf numFmtId="0" fontId="84" fillId="0" borderId="80" xfId="0" applyFont="1" applyBorder="1" applyAlignment="1">
      <alignment horizontal="left" vertical="center" wrapText="1"/>
    </xf>
    <xf numFmtId="0" fontId="83" fillId="0" borderId="74" xfId="0" quotePrefix="1" applyFont="1" applyBorder="1" applyAlignment="1">
      <alignment horizontal="left" vertical="center" wrapText="1"/>
    </xf>
    <xf numFmtId="0" fontId="80" fillId="33" borderId="74" xfId="0" applyFont="1" applyFill="1" applyBorder="1" applyAlignment="1">
      <alignment horizontal="left" vertical="center" wrapText="1"/>
    </xf>
    <xf numFmtId="0" fontId="80" fillId="33" borderId="80" xfId="0" applyFont="1" applyFill="1" applyBorder="1" applyAlignment="1">
      <alignment horizontal="left" vertical="center" wrapText="1"/>
    </xf>
    <xf numFmtId="0" fontId="79" fillId="33" borderId="81" xfId="0" applyFont="1" applyFill="1" applyBorder="1" applyAlignment="1">
      <alignment horizontal="left" vertical="center" wrapText="1"/>
    </xf>
    <xf numFmtId="0" fontId="79" fillId="33" borderId="82" xfId="0" applyFont="1" applyFill="1" applyBorder="1" applyAlignment="1">
      <alignment horizontal="left" vertical="center" wrapText="1"/>
    </xf>
    <xf numFmtId="49" fontId="1" fillId="0" borderId="60" xfId="6" applyNumberFormat="1" applyBorder="1" applyAlignment="1">
      <alignment horizontal="center" vertical="center" wrapText="1"/>
    </xf>
    <xf numFmtId="0" fontId="1" fillId="0" borderId="18" xfId="6" applyBorder="1" applyAlignment="1">
      <alignment horizontal="center" vertical="center" wrapText="1"/>
    </xf>
    <xf numFmtId="167" fontId="23" fillId="0" borderId="18" xfId="6" applyNumberFormat="1" applyFont="1" applyBorder="1" applyAlignment="1">
      <alignment horizontal="center" vertical="center" wrapText="1"/>
    </xf>
    <xf numFmtId="0" fontId="1" fillId="0" borderId="19" xfId="6" applyBorder="1" applyAlignment="1">
      <alignment vertical="center" wrapText="1"/>
    </xf>
    <xf numFmtId="0" fontId="11" fillId="0" borderId="0" xfId="6" applyFont="1"/>
    <xf numFmtId="49" fontId="21" fillId="2" borderId="60" xfId="6" applyNumberFormat="1" applyFont="1" applyFill="1" applyBorder="1" applyAlignment="1">
      <alignment horizontal="center" vertical="center" wrapText="1"/>
    </xf>
    <xf numFmtId="49" fontId="21" fillId="2" borderId="18" xfId="6" applyNumberFormat="1" applyFont="1" applyFill="1" applyBorder="1" applyAlignment="1">
      <alignment horizontal="center" vertical="center" wrapText="1"/>
    </xf>
    <xf numFmtId="49" fontId="21" fillId="2" borderId="18" xfId="6" applyNumberFormat="1" applyFont="1" applyFill="1" applyBorder="1" applyAlignment="1">
      <alignment vertical="top" wrapText="1"/>
    </xf>
    <xf numFmtId="167" fontId="21" fillId="2" borderId="18" xfId="6" applyNumberFormat="1" applyFont="1" applyFill="1" applyBorder="1" applyAlignment="1">
      <alignment vertical="top" wrapText="1"/>
    </xf>
    <xf numFmtId="167" fontId="21" fillId="2" borderId="18" xfId="6" applyNumberFormat="1" applyFont="1" applyFill="1" applyBorder="1" applyAlignment="1">
      <alignment horizontal="center" vertical="center" wrapText="1"/>
    </xf>
    <xf numFmtId="167" fontId="55" fillId="2" borderId="19" xfId="6" applyNumberFormat="1" applyFont="1" applyFill="1" applyBorder="1" applyAlignment="1">
      <alignment horizontal="center" vertical="center" wrapText="1"/>
    </xf>
    <xf numFmtId="49" fontId="11" fillId="6" borderId="60" xfId="6" applyNumberFormat="1" applyFont="1" applyFill="1" applyBorder="1" applyAlignment="1">
      <alignment horizontal="center" vertical="center" wrapText="1"/>
    </xf>
    <xf numFmtId="49" fontId="11" fillId="6" borderId="18" xfId="6" applyNumberFormat="1" applyFont="1" applyFill="1" applyBorder="1" applyAlignment="1">
      <alignment horizontal="center" vertical="center" wrapText="1"/>
    </xf>
    <xf numFmtId="49" fontId="85" fillId="6" borderId="18" xfId="6" applyNumberFormat="1" applyFont="1" applyFill="1" applyBorder="1" applyAlignment="1">
      <alignment horizontal="center" vertical="center" wrapText="1"/>
    </xf>
    <xf numFmtId="0" fontId="85" fillId="6" borderId="18" xfId="6" applyFont="1" applyFill="1" applyBorder="1" applyAlignment="1">
      <alignment horizontal="center" vertical="center" wrapText="1"/>
    </xf>
    <xf numFmtId="167" fontId="85" fillId="6" borderId="18" xfId="6" applyNumberFormat="1" applyFont="1" applyFill="1" applyBorder="1" applyAlignment="1">
      <alignment horizontal="center" vertical="center" wrapText="1"/>
    </xf>
    <xf numFmtId="167" fontId="86" fillId="6" borderId="19" xfId="6" applyNumberFormat="1" applyFont="1" applyFill="1" applyBorder="1" applyAlignment="1">
      <alignment horizontal="center" vertical="center" wrapText="1"/>
    </xf>
    <xf numFmtId="49" fontId="8" fillId="0" borderId="60" xfId="11" applyNumberFormat="1" applyFont="1" applyBorder="1" applyAlignment="1">
      <alignment horizontal="center" vertical="center" wrapText="1"/>
    </xf>
    <xf numFmtId="49" fontId="8" fillId="0" borderId="18" xfId="11" applyNumberFormat="1" applyFont="1" applyBorder="1" applyAlignment="1">
      <alignment horizontal="center" vertical="center" wrapText="1"/>
    </xf>
    <xf numFmtId="49" fontId="11" fillId="7" borderId="18" xfId="11" applyNumberFormat="1" applyFont="1" applyFill="1" applyBorder="1" applyAlignment="1">
      <alignment vertical="top" wrapText="1"/>
    </xf>
    <xf numFmtId="167" fontId="8" fillId="0" borderId="18" xfId="11" applyNumberFormat="1" applyFont="1" applyBorder="1" applyAlignment="1">
      <alignment horizontal="center" vertical="center" wrapText="1"/>
    </xf>
    <xf numFmtId="0" fontId="49" fillId="0" borderId="19" xfId="11" applyFont="1" applyBorder="1" applyAlignment="1">
      <alignment vertical="center" wrapText="1"/>
    </xf>
    <xf numFmtId="49" fontId="8" fillId="0" borderId="20" xfId="11" applyNumberFormat="1" applyFont="1" applyBorder="1" applyAlignment="1">
      <alignment horizontal="center" vertical="center" wrapText="1"/>
    </xf>
    <xf numFmtId="0" fontId="35" fillId="0" borderId="19" xfId="11" applyFont="1" applyBorder="1" applyAlignment="1">
      <alignment vertical="center" wrapText="1"/>
    </xf>
    <xf numFmtId="49" fontId="11" fillId="0" borderId="18" xfId="11" applyNumberFormat="1" applyFont="1" applyBorder="1" applyAlignment="1">
      <alignment vertical="top" wrapText="1"/>
    </xf>
    <xf numFmtId="167" fontId="1" fillId="0" borderId="18" xfId="6" applyNumberFormat="1" applyBorder="1" applyAlignment="1">
      <alignment horizontal="center" vertical="center" wrapText="1"/>
    </xf>
    <xf numFmtId="0" fontId="35" fillId="0" borderId="19" xfId="6" applyFont="1" applyBorder="1" applyAlignment="1">
      <alignment vertical="center" wrapText="1"/>
    </xf>
    <xf numFmtId="49" fontId="8" fillId="7" borderId="18" xfId="11" applyNumberFormat="1" applyFont="1" applyFill="1" applyBorder="1" applyAlignment="1">
      <alignment horizontal="center" vertical="center" wrapText="1"/>
    </xf>
    <xf numFmtId="49" fontId="11" fillId="0" borderId="18" xfId="6" applyNumberFormat="1" applyFont="1" applyBorder="1" applyAlignment="1">
      <alignment vertical="top" wrapText="1"/>
    </xf>
    <xf numFmtId="49" fontId="1" fillId="0" borderId="18" xfId="6" applyNumberFormat="1" applyBorder="1" applyAlignment="1">
      <alignment horizontal="center" vertical="center" wrapText="1"/>
    </xf>
    <xf numFmtId="0" fontId="11" fillId="0" borderId="18" xfId="11" applyFont="1" applyBorder="1" applyAlignment="1">
      <alignment vertical="top" wrapText="1"/>
    </xf>
    <xf numFmtId="49" fontId="85" fillId="10" borderId="60" xfId="6" applyNumberFormat="1" applyFont="1" applyFill="1" applyBorder="1" applyAlignment="1">
      <alignment horizontal="center" vertical="center" wrapText="1"/>
    </xf>
    <xf numFmtId="0" fontId="85" fillId="10" borderId="18" xfId="6" applyFont="1" applyFill="1" applyBorder="1" applyAlignment="1">
      <alignment horizontal="center" vertical="center" wrapText="1"/>
    </xf>
    <xf numFmtId="0" fontId="86" fillId="10" borderId="19" xfId="6" applyFont="1" applyFill="1" applyBorder="1" applyAlignment="1">
      <alignment vertical="center" wrapText="1"/>
    </xf>
    <xf numFmtId="0" fontId="6" fillId="0" borderId="0" xfId="11" applyFont="1"/>
    <xf numFmtId="49" fontId="85" fillId="0" borderId="60" xfId="6" applyNumberFormat="1" applyFont="1" applyBorder="1" applyAlignment="1">
      <alignment horizontal="center" vertical="center" wrapText="1"/>
    </xf>
    <xf numFmtId="0" fontId="85" fillId="0" borderId="18" xfId="6" applyFont="1" applyBorder="1" applyAlignment="1">
      <alignment horizontal="center" vertical="center" wrapText="1"/>
    </xf>
    <xf numFmtId="0" fontId="1" fillId="0" borderId="0" xfId="6"/>
    <xf numFmtId="49" fontId="1" fillId="7" borderId="18" xfId="6" applyNumberFormat="1" applyFill="1" applyBorder="1" applyAlignment="1">
      <alignment horizontal="center" vertical="center" wrapText="1"/>
    </xf>
    <xf numFmtId="0" fontId="11" fillId="0" borderId="18" xfId="6" applyFont="1" applyBorder="1" applyAlignment="1">
      <alignment vertical="top" wrapText="1"/>
    </xf>
    <xf numFmtId="49" fontId="2" fillId="0" borderId="18" xfId="11" applyNumberFormat="1" applyFont="1" applyBorder="1" applyAlignment="1">
      <alignment horizontal="center" vertical="center" wrapText="1"/>
    </xf>
    <xf numFmtId="0" fontId="8" fillId="0" borderId="18" xfId="6" applyFont="1" applyBorder="1" applyAlignment="1">
      <alignment vertical="top" wrapText="1"/>
    </xf>
    <xf numFmtId="49" fontId="1" fillId="6" borderId="18" xfId="6" applyNumberFormat="1" applyFill="1" applyBorder="1" applyAlignment="1">
      <alignment horizontal="center" vertical="center" wrapText="1"/>
    </xf>
    <xf numFmtId="0" fontId="1" fillId="6" borderId="18" xfId="6" applyFill="1" applyBorder="1" applyAlignment="1">
      <alignment horizontal="center" vertical="center" wrapText="1"/>
    </xf>
    <xf numFmtId="167" fontId="1" fillId="6" borderId="18" xfId="6" applyNumberFormat="1" applyFill="1" applyBorder="1" applyAlignment="1">
      <alignment horizontal="center" vertical="center" wrapText="1"/>
    </xf>
    <xf numFmtId="0" fontId="8" fillId="0" borderId="18" xfId="11" applyFont="1" applyBorder="1" applyAlignment="1">
      <alignment horizontal="center" vertical="center" wrapText="1"/>
    </xf>
    <xf numFmtId="0" fontId="8" fillId="0" borderId="18" xfId="11" applyFont="1" applyBorder="1" applyAlignment="1">
      <alignment vertical="top" wrapText="1"/>
    </xf>
    <xf numFmtId="49" fontId="85" fillId="10" borderId="61" xfId="6" applyNumberFormat="1" applyFont="1" applyFill="1" applyBorder="1" applyAlignment="1">
      <alignment horizontal="center" vertical="center" wrapText="1"/>
    </xf>
    <xf numFmtId="0" fontId="20" fillId="10" borderId="22" xfId="7" quotePrefix="1" applyFont="1" applyFill="1" applyBorder="1" applyAlignment="1" applyProtection="1">
      <alignment horizontal="center" vertical="center" wrapText="1"/>
      <protection hidden="1"/>
    </xf>
    <xf numFmtId="0" fontId="85" fillId="10" borderId="22" xfId="6" applyFont="1" applyFill="1" applyBorder="1" applyAlignment="1">
      <alignment horizontal="center" vertical="center" wrapText="1"/>
    </xf>
    <xf numFmtId="167" fontId="23" fillId="10" borderId="22" xfId="6" applyNumberFormat="1" applyFont="1" applyFill="1" applyBorder="1" applyAlignment="1">
      <alignment horizontal="center" vertical="center" wrapText="1"/>
    </xf>
    <xf numFmtId="49" fontId="1" fillId="0" borderId="24" xfId="6" applyNumberFormat="1" applyBorder="1" applyAlignment="1">
      <alignment horizontal="center" vertical="center" wrapText="1"/>
    </xf>
    <xf numFmtId="0" fontId="20" fillId="0" borderId="24" xfId="7" quotePrefix="1" applyFont="1" applyBorder="1" applyAlignment="1" applyProtection="1">
      <alignment horizontal="center" vertical="center" wrapText="1"/>
      <protection hidden="1"/>
    </xf>
    <xf numFmtId="0" fontId="1" fillId="0" borderId="24" xfId="6" applyBorder="1" applyAlignment="1">
      <alignment horizontal="center" vertical="center" wrapText="1"/>
    </xf>
    <xf numFmtId="167" fontId="23" fillId="0" borderId="24" xfId="6" applyNumberFormat="1" applyFont="1" applyBorder="1" applyAlignment="1">
      <alignment horizontal="center" vertical="center" wrapText="1"/>
    </xf>
    <xf numFmtId="0" fontId="30" fillId="0" borderId="0" xfId="6" applyFont="1"/>
    <xf numFmtId="0" fontId="30" fillId="0" borderId="0" xfId="6" applyFont="1" applyAlignment="1">
      <alignment horizontal="center" vertical="center"/>
    </xf>
    <xf numFmtId="0" fontId="4" fillId="12" borderId="25" xfId="6" applyFont="1" applyFill="1" applyBorder="1" applyAlignment="1">
      <alignment horizontal="center" vertical="center"/>
    </xf>
    <xf numFmtId="0" fontId="9" fillId="0" borderId="49" xfId="0" applyFont="1" applyBorder="1" applyAlignment="1">
      <alignment textRotation="90" wrapText="1"/>
    </xf>
    <xf numFmtId="0" fontId="6" fillId="35" borderId="0" xfId="0" applyFont="1" applyFill="1" applyAlignment="1">
      <alignment wrapText="1"/>
    </xf>
    <xf numFmtId="0" fontId="6" fillId="35" borderId="0" xfId="0" applyFont="1" applyFill="1" applyAlignment="1">
      <alignment vertical="center" wrapText="1"/>
    </xf>
    <xf numFmtId="0" fontId="11" fillId="35" borderId="0" xfId="0" applyFont="1" applyFill="1" applyAlignment="1">
      <alignment wrapText="1"/>
    </xf>
    <xf numFmtId="0" fontId="11" fillId="35" borderId="83" xfId="0" applyFont="1" applyFill="1" applyBorder="1" applyAlignment="1">
      <alignment wrapText="1"/>
    </xf>
    <xf numFmtId="0" fontId="9" fillId="0" borderId="52" xfId="0" applyFont="1" applyBorder="1" applyAlignment="1">
      <alignment textRotation="90" wrapText="1"/>
    </xf>
    <xf numFmtId="0" fontId="8" fillId="35" borderId="0" xfId="0" applyFont="1" applyFill="1" applyAlignment="1">
      <alignment wrapText="1"/>
    </xf>
    <xf numFmtId="0" fontId="11" fillId="35" borderId="0" xfId="0" applyFont="1" applyFill="1" applyAlignment="1">
      <alignment vertical="center" wrapText="1"/>
    </xf>
    <xf numFmtId="0" fontId="11" fillId="35" borderId="84" xfId="0" applyFont="1" applyFill="1" applyBorder="1" applyAlignment="1">
      <alignment wrapText="1"/>
    </xf>
    <xf numFmtId="0" fontId="33" fillId="35" borderId="83" xfId="0" applyFont="1" applyFill="1" applyBorder="1" applyAlignment="1">
      <alignment wrapText="1"/>
    </xf>
    <xf numFmtId="0" fontId="9" fillId="34" borderId="52" xfId="0" applyFont="1" applyFill="1" applyBorder="1" applyAlignment="1">
      <alignment textRotation="90" wrapText="1"/>
    </xf>
    <xf numFmtId="0" fontId="11" fillId="36" borderId="0" xfId="0" applyFont="1" applyFill="1" applyAlignment="1">
      <alignment wrapText="1"/>
    </xf>
    <xf numFmtId="0" fontId="11" fillId="36" borderId="0" xfId="0" applyFont="1" applyFill="1" applyAlignment="1">
      <alignment vertical="center" wrapText="1"/>
    </xf>
    <xf numFmtId="0" fontId="37" fillId="36" borderId="0" xfId="0" applyFont="1" applyFill="1" applyAlignment="1">
      <alignment wrapText="1"/>
    </xf>
    <xf numFmtId="0" fontId="37" fillId="36" borderId="83" xfId="0" applyFont="1" applyFill="1" applyBorder="1" applyAlignment="1">
      <alignment wrapText="1"/>
    </xf>
    <xf numFmtId="0" fontId="87" fillId="34" borderId="52" xfId="0" applyFont="1" applyFill="1" applyBorder="1" applyAlignment="1">
      <alignment wrapText="1"/>
    </xf>
    <xf numFmtId="0" fontId="8" fillId="0" borderId="0" xfId="0" applyFont="1" applyAlignment="1">
      <alignment wrapText="1"/>
    </xf>
    <xf numFmtId="0" fontId="88" fillId="0" borderId="0" xfId="0" applyFont="1" applyAlignment="1">
      <alignment vertical="center" wrapText="1"/>
    </xf>
    <xf numFmtId="0" fontId="87" fillId="34" borderId="52" xfId="0" applyFont="1" applyFill="1" applyBorder="1" applyAlignment="1">
      <alignment textRotation="90" wrapText="1"/>
    </xf>
    <xf numFmtId="0" fontId="8" fillId="0" borderId="85" xfId="0" applyFont="1" applyBorder="1" applyAlignment="1">
      <alignment wrapText="1"/>
    </xf>
    <xf numFmtId="0" fontId="11" fillId="0" borderId="26" xfId="0" applyFont="1" applyBorder="1"/>
    <xf numFmtId="0" fontId="8" fillId="37" borderId="47" xfId="0" applyFont="1" applyFill="1" applyBorder="1" applyAlignment="1">
      <alignment wrapText="1"/>
    </xf>
    <xf numFmtId="0" fontId="11" fillId="37" borderId="54" xfId="0" applyFont="1" applyFill="1" applyBorder="1" applyAlignment="1">
      <alignment vertical="center" wrapText="1"/>
    </xf>
    <xf numFmtId="0" fontId="8" fillId="38" borderId="89" xfId="0" applyFont="1" applyFill="1" applyBorder="1" applyAlignment="1">
      <alignment wrapText="1"/>
    </xf>
    <xf numFmtId="0" fontId="8" fillId="38" borderId="47" xfId="0" applyFont="1" applyFill="1" applyBorder="1" applyAlignment="1">
      <alignment wrapText="1"/>
    </xf>
    <xf numFmtId="0" fontId="8" fillId="38" borderId="84" xfId="0" applyFont="1" applyFill="1" applyBorder="1"/>
    <xf numFmtId="0" fontId="8" fillId="38" borderId="86" xfId="0" applyFont="1" applyFill="1" applyBorder="1"/>
    <xf numFmtId="0" fontId="11" fillId="37" borderId="90" xfId="0" applyFont="1" applyFill="1" applyBorder="1" applyAlignment="1">
      <alignment vertical="center" wrapText="1"/>
    </xf>
    <xf numFmtId="0" fontId="8" fillId="38" borderId="87" xfId="0" applyFont="1" applyFill="1" applyBorder="1"/>
    <xf numFmtId="0" fontId="8" fillId="38" borderId="88" xfId="0" applyFont="1" applyFill="1" applyBorder="1"/>
    <xf numFmtId="0" fontId="8" fillId="0" borderId="0" xfId="5" applyAlignment="1">
      <alignment vertical="center"/>
    </xf>
    <xf numFmtId="0" fontId="10" fillId="32" borderId="74" xfId="0" applyFont="1" applyFill="1" applyBorder="1" applyAlignment="1">
      <alignment horizontal="left" vertical="center" wrapText="1"/>
    </xf>
    <xf numFmtId="0" fontId="10" fillId="32" borderId="80" xfId="0" applyFont="1" applyFill="1" applyBorder="1" applyAlignment="1">
      <alignment horizontal="left" vertical="center" wrapText="1"/>
    </xf>
    <xf numFmtId="0" fontId="30" fillId="0" borderId="74" xfId="0" applyFont="1" applyBorder="1" applyAlignment="1">
      <alignment horizontal="left" vertical="center" wrapText="1"/>
    </xf>
    <xf numFmtId="0" fontId="30" fillId="0" borderId="80" xfId="0" applyFont="1" applyBorder="1" applyAlignment="1">
      <alignment horizontal="left" vertical="center" wrapText="1"/>
    </xf>
    <xf numFmtId="0" fontId="30" fillId="34" borderId="74" xfId="0" applyFont="1" applyFill="1" applyBorder="1" applyAlignment="1">
      <alignment horizontal="left" vertical="center" wrapText="1"/>
    </xf>
    <xf numFmtId="0" fontId="30" fillId="34" borderId="80" xfId="0" applyFont="1" applyFill="1" applyBorder="1" applyAlignment="1">
      <alignment horizontal="left" vertical="center" wrapText="1"/>
    </xf>
    <xf numFmtId="49" fontId="8" fillId="0" borderId="17" xfId="5" applyNumberFormat="1" applyBorder="1" applyAlignment="1">
      <alignment vertical="top" wrapText="1"/>
    </xf>
    <xf numFmtId="0" fontId="0" fillId="7" borderId="29" xfId="0" applyFill="1" applyBorder="1"/>
    <xf numFmtId="0" fontId="0" fillId="7" borderId="50" xfId="0" applyFill="1" applyBorder="1"/>
    <xf numFmtId="0" fontId="89" fillId="7" borderId="50" xfId="0" applyFont="1" applyFill="1" applyBorder="1" applyAlignment="1">
      <alignment horizontal="center"/>
    </xf>
    <xf numFmtId="0" fontId="89" fillId="7" borderId="53" xfId="0" applyFont="1" applyFill="1" applyBorder="1"/>
    <xf numFmtId="0" fontId="90" fillId="7" borderId="0" xfId="0" applyFont="1" applyFill="1"/>
    <xf numFmtId="0" fontId="89" fillId="7" borderId="0" xfId="0" applyFont="1" applyFill="1"/>
    <xf numFmtId="0" fontId="0" fillId="7" borderId="0" xfId="0" applyFill="1"/>
    <xf numFmtId="0" fontId="0" fillId="7" borderId="30" xfId="0" applyFill="1" applyBorder="1"/>
    <xf numFmtId="0" fontId="89" fillId="7" borderId="0" xfId="0" applyFont="1" applyFill="1" applyAlignment="1">
      <alignment horizontal="center"/>
    </xf>
    <xf numFmtId="0" fontId="89" fillId="7" borderId="40" xfId="0" applyFont="1" applyFill="1" applyBorder="1"/>
    <xf numFmtId="14" fontId="90" fillId="7" borderId="0" xfId="0" applyNumberFormat="1" applyFont="1" applyFill="1"/>
    <xf numFmtId="0" fontId="0" fillId="7" borderId="0" xfId="0" applyFill="1" applyAlignment="1">
      <alignment horizontal="center"/>
    </xf>
    <xf numFmtId="0" fontId="0" fillId="7" borderId="30" xfId="0" applyFill="1" applyBorder="1" applyAlignment="1">
      <alignment vertical="center"/>
    </xf>
    <xf numFmtId="0" fontId="94" fillId="7" borderId="14" xfId="0" applyFont="1" applyFill="1" applyBorder="1" applyAlignment="1">
      <alignment vertical="center"/>
    </xf>
    <xf numFmtId="0" fontId="94" fillId="7" borderId="14" xfId="0" applyFont="1" applyFill="1" applyBorder="1" applyAlignment="1">
      <alignment horizontal="center"/>
    </xf>
    <xf numFmtId="0" fontId="89" fillId="7" borderId="40" xfId="0" applyFont="1" applyFill="1" applyBorder="1" applyAlignment="1">
      <alignment vertical="center"/>
    </xf>
    <xf numFmtId="0" fontId="90" fillId="7" borderId="0" xfId="0" applyFont="1" applyFill="1" applyAlignment="1">
      <alignment vertical="center"/>
    </xf>
    <xf numFmtId="0" fontId="91" fillId="7" borderId="0" xfId="0" applyFont="1" applyFill="1" applyAlignment="1">
      <alignment vertical="center"/>
    </xf>
    <xf numFmtId="0" fontId="0" fillId="7" borderId="0" xfId="0" applyFill="1" applyAlignment="1">
      <alignment vertical="center"/>
    </xf>
    <xf numFmtId="14" fontId="57" fillId="24" borderId="14" xfId="15" applyNumberFormat="1" applyFont="1" applyFill="1" applyBorder="1" applyAlignment="1" applyProtection="1">
      <alignment horizontal="center" vertical="center"/>
      <protection locked="0"/>
    </xf>
    <xf numFmtId="0" fontId="89" fillId="7" borderId="0" xfId="0" applyFont="1" applyFill="1" applyAlignment="1">
      <alignment vertical="center"/>
    </xf>
    <xf numFmtId="0" fontId="57" fillId="24" borderId="14" xfId="15" quotePrefix="1" applyNumberFormat="1" applyFont="1" applyFill="1" applyBorder="1" applyAlignment="1" applyProtection="1">
      <alignment horizontal="center" vertical="center"/>
      <protection locked="0"/>
    </xf>
    <xf numFmtId="0" fontId="95" fillId="7" borderId="40" xfId="0" applyFont="1" applyFill="1" applyBorder="1" applyAlignment="1">
      <alignment vertical="center"/>
    </xf>
    <xf numFmtId="0" fontId="96" fillId="7" borderId="30" xfId="0" applyFont="1" applyFill="1" applyBorder="1"/>
    <xf numFmtId="0" fontId="0" fillId="7" borderId="40" xfId="0" applyFill="1" applyBorder="1"/>
    <xf numFmtId="0" fontId="94" fillId="7" borderId="14" xfId="0" applyFont="1" applyFill="1" applyBorder="1" applyAlignment="1">
      <alignment vertical="center" wrapText="1"/>
    </xf>
    <xf numFmtId="0" fontId="59" fillId="39" borderId="14" xfId="15" applyNumberFormat="1" applyFont="1" applyFill="1" applyBorder="1" applyAlignment="1" applyProtection="1">
      <alignment horizontal="center" vertical="center"/>
    </xf>
    <xf numFmtId="165" fontId="0" fillId="0" borderId="0" xfId="19" applyFont="1"/>
    <xf numFmtId="14" fontId="0" fillId="0" borderId="14" xfId="0" applyNumberFormat="1" applyBorder="1" applyAlignment="1">
      <alignment horizontal="center"/>
    </xf>
    <xf numFmtId="0" fontId="57" fillId="0" borderId="28" xfId="15" applyNumberFormat="1" applyFont="1" applyFill="1" applyBorder="1" applyAlignment="1" applyProtection="1">
      <alignment vertical="center"/>
    </xf>
    <xf numFmtId="165" fontId="57" fillId="0" borderId="28" xfId="19" applyFont="1" applyFill="1" applyBorder="1" applyAlignment="1" applyProtection="1">
      <alignment vertical="center"/>
    </xf>
    <xf numFmtId="165" fontId="98" fillId="0" borderId="0" xfId="19" applyFont="1" applyAlignment="1">
      <alignment horizontal="right"/>
    </xf>
    <xf numFmtId="175" fontId="0" fillId="0" borderId="14" xfId="19" applyNumberFormat="1" applyFont="1" applyBorder="1"/>
    <xf numFmtId="49" fontId="2" fillId="0" borderId="31" xfId="3" applyNumberFormat="1" applyFont="1" applyBorder="1" applyAlignment="1">
      <alignment horizontal="center" vertical="center"/>
    </xf>
    <xf numFmtId="0" fontId="42" fillId="0" borderId="0" xfId="3" applyFont="1" applyAlignment="1">
      <alignment horizontal="center" vertical="center" wrapText="1"/>
    </xf>
    <xf numFmtId="0" fontId="2" fillId="0" borderId="32" xfId="3" applyFont="1" applyBorder="1" applyAlignment="1" applyProtection="1">
      <alignment horizontal="left" vertical="center"/>
      <protection locked="0"/>
    </xf>
    <xf numFmtId="49" fontId="1" fillId="0" borderId="20" xfId="6" applyNumberFormat="1" applyBorder="1" applyAlignment="1">
      <alignment horizontal="center" vertical="center" wrapText="1"/>
    </xf>
    <xf numFmtId="49" fontId="21" fillId="2" borderId="20" xfId="6" applyNumberFormat="1" applyFont="1" applyFill="1" applyBorder="1" applyAlignment="1">
      <alignment horizontal="center" vertical="center" wrapText="1"/>
    </xf>
    <xf numFmtId="49" fontId="11" fillId="6" borderId="20" xfId="6" applyNumberFormat="1" applyFont="1" applyFill="1" applyBorder="1" applyAlignment="1">
      <alignment horizontal="center" vertical="center" wrapText="1"/>
    </xf>
    <xf numFmtId="49" fontId="85" fillId="10" borderId="20" xfId="6" applyNumberFormat="1" applyFont="1" applyFill="1" applyBorder="1" applyAlignment="1">
      <alignment horizontal="center" vertical="center" wrapText="1"/>
    </xf>
    <xf numFmtId="49" fontId="85" fillId="0" borderId="20" xfId="6" applyNumberFormat="1" applyFont="1" applyBorder="1" applyAlignment="1">
      <alignment horizontal="center" vertical="center" wrapText="1"/>
    </xf>
    <xf numFmtId="49" fontId="8" fillId="0" borderId="60" xfId="21" applyNumberFormat="1" applyBorder="1" applyAlignment="1">
      <alignment horizontal="center" vertical="center" wrapText="1"/>
    </xf>
    <xf numFmtId="49" fontId="8" fillId="0" borderId="20" xfId="21" applyNumberFormat="1" applyBorder="1" applyAlignment="1">
      <alignment horizontal="center" vertical="center" wrapText="1"/>
    </xf>
    <xf numFmtId="171" fontId="59" fillId="21" borderId="27" xfId="16" applyNumberFormat="1" applyFont="1" applyFill="1" applyBorder="1" applyAlignment="1" applyProtection="1">
      <alignment horizontal="center" vertical="center" wrapText="1"/>
    </xf>
    <xf numFmtId="171" fontId="59" fillId="21" borderId="26" xfId="16" applyNumberFormat="1" applyFont="1" applyFill="1" applyBorder="1" applyAlignment="1" applyProtection="1">
      <alignment horizontal="center" vertical="center" wrapText="1"/>
    </xf>
    <xf numFmtId="0" fontId="73" fillId="26" borderId="77" xfId="17" applyFont="1" applyFill="1" applyBorder="1" applyAlignment="1">
      <alignment horizontal="center" vertical="center" wrapText="1"/>
    </xf>
    <xf numFmtId="0" fontId="73" fillId="26" borderId="51" xfId="17" applyFont="1" applyFill="1" applyBorder="1" applyAlignment="1">
      <alignment horizontal="center" vertical="center" wrapText="1"/>
    </xf>
    <xf numFmtId="0" fontId="73" fillId="26" borderId="49" xfId="17" applyFont="1" applyFill="1" applyBorder="1" applyAlignment="1">
      <alignment horizontal="center" vertical="center" wrapText="1"/>
    </xf>
    <xf numFmtId="0" fontId="73" fillId="26" borderId="28" xfId="17" applyFont="1" applyFill="1" applyBorder="1" applyAlignment="1">
      <alignment horizontal="center" vertical="center" wrapText="1"/>
    </xf>
    <xf numFmtId="0" fontId="64" fillId="22" borderId="14" xfId="14" applyFont="1" applyFill="1" applyBorder="1" applyAlignment="1">
      <alignment horizontal="center" vertical="center" wrapText="1"/>
    </xf>
    <xf numFmtId="169" fontId="68" fillId="18" borderId="28" xfId="14" applyNumberFormat="1" applyFont="1" applyFill="1" applyBorder="1" applyAlignment="1">
      <alignment horizontal="center" vertical="center" wrapText="1"/>
    </xf>
    <xf numFmtId="169" fontId="68" fillId="18" borderId="51" xfId="14" applyNumberFormat="1" applyFont="1" applyFill="1" applyBorder="1" applyAlignment="1">
      <alignment horizontal="center" vertical="center" wrapText="1"/>
    </xf>
    <xf numFmtId="169" fontId="68" fillId="18" borderId="49" xfId="14" applyNumberFormat="1" applyFont="1" applyFill="1" applyBorder="1" applyAlignment="1">
      <alignment horizontal="center" vertical="center" wrapText="1"/>
    </xf>
    <xf numFmtId="0" fontId="0" fillId="0" borderId="0" xfId="0" applyAlignment="1">
      <alignment vertical="center"/>
    </xf>
    <xf numFmtId="0" fontId="100" fillId="0" borderId="0" xfId="0" applyFont="1" applyAlignment="1">
      <alignment horizontal="center" vertical="center"/>
    </xf>
    <xf numFmtId="0" fontId="101" fillId="0" borderId="0" xfId="0" applyFont="1" applyAlignment="1">
      <alignment vertical="center"/>
    </xf>
    <xf numFmtId="3" fontId="8" fillId="7" borderId="14" xfId="3" applyNumberFormat="1" applyFont="1" applyFill="1" applyBorder="1" applyAlignment="1">
      <alignment horizontal="center" vertical="center" wrapText="1"/>
    </xf>
    <xf numFmtId="0" fontId="102" fillId="40" borderId="94" xfId="0" applyFont="1" applyFill="1" applyBorder="1" applyAlignment="1">
      <alignment horizontal="center" vertical="center"/>
    </xf>
    <xf numFmtId="0" fontId="102" fillId="40" borderId="94" xfId="0" applyFont="1" applyFill="1" applyBorder="1" applyAlignment="1">
      <alignment horizontal="center" vertical="center" wrapText="1"/>
    </xf>
    <xf numFmtId="0" fontId="102" fillId="40" borderId="95" xfId="0" applyFont="1" applyFill="1" applyBorder="1" applyAlignment="1">
      <alignment horizontal="center" vertical="center"/>
    </xf>
    <xf numFmtId="0" fontId="102" fillId="40" borderId="95" xfId="0" applyFont="1" applyFill="1" applyBorder="1" applyAlignment="1">
      <alignment horizontal="center" vertical="center" wrapText="1"/>
    </xf>
    <xf numFmtId="0" fontId="102" fillId="40" borderId="0" xfId="0" applyFont="1" applyFill="1" applyAlignment="1">
      <alignment horizontal="center" vertical="center"/>
    </xf>
    <xf numFmtId="2" fontId="11" fillId="3" borderId="31" xfId="3" applyNumberFormat="1" applyFont="1" applyFill="1" applyBorder="1" applyAlignment="1">
      <alignment horizontal="center" vertical="center" wrapText="1"/>
    </xf>
    <xf numFmtId="0" fontId="102" fillId="40" borderId="98" xfId="0" applyFont="1" applyFill="1" applyBorder="1" applyAlignment="1">
      <alignment horizontal="center" vertical="center"/>
    </xf>
    <xf numFmtId="49" fontId="17" fillId="14" borderId="0" xfId="3" applyNumberFormat="1" applyFont="1" applyFill="1" applyAlignment="1">
      <alignment horizontal="center" vertical="center"/>
    </xf>
    <xf numFmtId="0" fontId="102" fillId="40" borderId="32" xfId="0" applyFont="1" applyFill="1" applyBorder="1" applyAlignment="1">
      <alignment horizontal="center" vertical="center"/>
    </xf>
    <xf numFmtId="0" fontId="100" fillId="14" borderId="0" xfId="0" applyFont="1" applyFill="1" applyAlignment="1">
      <alignment horizontal="center" vertical="center"/>
    </xf>
    <xf numFmtId="0" fontId="19" fillId="14" borderId="0" xfId="3" applyFont="1" applyFill="1" applyAlignment="1">
      <alignment horizontal="left" wrapText="1"/>
    </xf>
    <xf numFmtId="0" fontId="18" fillId="14" borderId="0" xfId="3" applyFont="1" applyFill="1" applyAlignment="1">
      <alignment horizontal="center" vertical="center"/>
    </xf>
    <xf numFmtId="0" fontId="8" fillId="14" borderId="0" xfId="5" applyFill="1"/>
    <xf numFmtId="0" fontId="0" fillId="14" borderId="0" xfId="0" applyFill="1" applyAlignment="1">
      <alignment vertical="center"/>
    </xf>
    <xf numFmtId="0" fontId="0" fillId="14" borderId="32" xfId="0" applyFill="1" applyBorder="1" applyAlignment="1">
      <alignment vertical="center"/>
    </xf>
    <xf numFmtId="0" fontId="102" fillId="40" borderId="99" xfId="0" applyFont="1" applyFill="1" applyBorder="1" applyAlignment="1">
      <alignment horizontal="center" vertical="center"/>
    </xf>
    <xf numFmtId="0" fontId="102" fillId="40" borderId="101" xfId="0" applyFont="1" applyFill="1" applyBorder="1" applyAlignment="1">
      <alignment horizontal="center" vertical="center"/>
    </xf>
    <xf numFmtId="0" fontId="0" fillId="7" borderId="40" xfId="0" applyFill="1" applyBorder="1" applyAlignment="1">
      <alignment vertical="center"/>
    </xf>
    <xf numFmtId="49" fontId="18" fillId="0" borderId="91" xfId="3" applyNumberFormat="1" applyFont="1" applyBorder="1" applyAlignment="1">
      <alignment horizontal="center"/>
    </xf>
    <xf numFmtId="49" fontId="17" fillId="14" borderId="89" xfId="3" applyNumberFormat="1" applyFont="1" applyFill="1" applyBorder="1" applyAlignment="1">
      <alignment horizontal="center" vertical="center"/>
    </xf>
    <xf numFmtId="49" fontId="17" fillId="0" borderId="89" xfId="3" applyNumberFormat="1" applyFont="1" applyBorder="1" applyAlignment="1">
      <alignment horizontal="center" vertical="center"/>
    </xf>
    <xf numFmtId="0" fontId="100" fillId="0" borderId="89" xfId="0" applyFont="1" applyBorder="1" applyAlignment="1">
      <alignment horizontal="center" vertical="center"/>
    </xf>
    <xf numFmtId="0" fontId="19" fillId="0" borderId="89" xfId="3" applyFont="1" applyBorder="1" applyAlignment="1">
      <alignment horizontal="left" wrapText="1"/>
    </xf>
    <xf numFmtId="0" fontId="18" fillId="0" borderId="89" xfId="3" applyFont="1" applyBorder="1" applyAlignment="1">
      <alignment horizontal="center" vertical="center"/>
    </xf>
    <xf numFmtId="0" fontId="8" fillId="0" borderId="89" xfId="5" applyBorder="1"/>
    <xf numFmtId="0" fontId="0" fillId="7" borderId="89" xfId="0" applyFill="1" applyBorder="1" applyAlignment="1">
      <alignment vertical="center"/>
    </xf>
    <xf numFmtId="0" fontId="0" fillId="7" borderId="52" xfId="0" applyFill="1" applyBorder="1" applyAlignment="1">
      <alignment vertical="center"/>
    </xf>
    <xf numFmtId="2" fontId="11" fillId="3" borderId="38" xfId="6" applyNumberFormat="1" applyFont="1" applyFill="1" applyBorder="1" applyAlignment="1">
      <alignment horizontal="center" vertical="center" wrapText="1"/>
    </xf>
    <xf numFmtId="49" fontId="103" fillId="0" borderId="0" xfId="3" applyNumberFormat="1" applyFont="1" applyAlignment="1">
      <alignment horizontal="center"/>
    </xf>
    <xf numFmtId="49" fontId="104" fillId="2" borderId="0" xfId="3" applyNumberFormat="1" applyFont="1" applyFill="1" applyAlignment="1">
      <alignment horizontal="center"/>
    </xf>
    <xf numFmtId="49" fontId="105" fillId="0" borderId="0" xfId="3" applyNumberFormat="1" applyFont="1" applyAlignment="1">
      <alignment horizontal="center" vertical="center" wrapText="1"/>
    </xf>
    <xf numFmtId="0" fontId="60" fillId="0" borderId="14" xfId="14" applyFont="1" applyBorder="1" applyAlignment="1">
      <alignment horizontal="center" vertical="center"/>
    </xf>
    <xf numFmtId="49" fontId="33" fillId="0" borderId="104" xfId="3" applyNumberFormat="1" applyFont="1" applyBorder="1" applyAlignment="1">
      <alignment horizontal="center" vertical="center" wrapText="1"/>
    </xf>
    <xf numFmtId="2" fontId="11" fillId="3" borderId="105" xfId="3" applyNumberFormat="1" applyFont="1" applyFill="1" applyBorder="1" applyAlignment="1">
      <alignment horizontal="center" vertical="center" wrapText="1"/>
    </xf>
    <xf numFmtId="49" fontId="33" fillId="0" borderId="106" xfId="3" applyNumberFormat="1" applyFont="1" applyBorder="1" applyAlignment="1">
      <alignment horizontal="center" vertical="center" wrapText="1"/>
    </xf>
    <xf numFmtId="2" fontId="11" fillId="3" borderId="55" xfId="3" applyNumberFormat="1" applyFont="1" applyFill="1" applyBorder="1" applyAlignment="1">
      <alignment horizontal="center" vertical="center" wrapText="1"/>
    </xf>
    <xf numFmtId="2" fontId="11" fillId="3" borderId="55" xfId="3" applyNumberFormat="1" applyFont="1" applyFill="1" applyBorder="1" applyAlignment="1" applyProtection="1">
      <alignment horizontal="center" vertical="center" wrapText="1"/>
      <protection locked="0"/>
    </xf>
    <xf numFmtId="2" fontId="11" fillId="3" borderId="107" xfId="6" applyNumberFormat="1" applyFont="1" applyFill="1" applyBorder="1" applyAlignment="1">
      <alignment horizontal="center" vertical="center" wrapText="1"/>
    </xf>
    <xf numFmtId="2" fontId="11" fillId="3" borderId="108" xfId="6" applyNumberFormat="1" applyFont="1" applyFill="1" applyBorder="1" applyAlignment="1">
      <alignment horizontal="center" vertical="center" wrapText="1"/>
    </xf>
    <xf numFmtId="2" fontId="11" fillId="3" borderId="100" xfId="3" applyNumberFormat="1" applyFont="1" applyFill="1" applyBorder="1" applyAlignment="1">
      <alignment horizontal="center" vertical="center" wrapText="1"/>
    </xf>
    <xf numFmtId="49" fontId="33" fillId="0" borderId="53" xfId="3" applyNumberFormat="1" applyFont="1" applyBorder="1" applyAlignment="1">
      <alignment horizontal="center" vertical="center" wrapText="1"/>
    </xf>
    <xf numFmtId="0" fontId="57" fillId="0" borderId="28" xfId="14" applyFont="1" applyBorder="1" applyAlignment="1">
      <alignment horizontal="left" vertical="center" wrapText="1"/>
    </xf>
    <xf numFmtId="0" fontId="57" fillId="0" borderId="49" xfId="14" applyFont="1" applyBorder="1" applyAlignment="1">
      <alignment horizontal="left" vertical="center" wrapText="1"/>
    </xf>
    <xf numFmtId="2" fontId="11" fillId="3" borderId="109" xfId="6" applyNumberFormat="1" applyFont="1" applyFill="1" applyBorder="1" applyAlignment="1">
      <alignment horizontal="center" vertical="center" wrapText="1"/>
    </xf>
    <xf numFmtId="0" fontId="0" fillId="0" borderId="14" xfId="0" applyBorder="1"/>
    <xf numFmtId="0" fontId="60" fillId="0" borderId="0" xfId="14" applyFont="1" applyAlignment="1">
      <alignment vertical="center" wrapText="1"/>
    </xf>
    <xf numFmtId="0" fontId="60" fillId="0" borderId="0" xfId="14" applyFont="1" applyAlignment="1">
      <alignment horizontal="center" vertical="center" wrapText="1"/>
    </xf>
    <xf numFmtId="43" fontId="57" fillId="0" borderId="0" xfId="13" applyFont="1" applyFill="1" applyBorder="1" applyAlignment="1" applyProtection="1">
      <alignment vertical="center"/>
      <protection locked="0"/>
    </xf>
    <xf numFmtId="4" fontId="57" fillId="0" borderId="0" xfId="15" applyNumberFormat="1" applyFont="1" applyFill="1" applyBorder="1" applyAlignment="1" applyProtection="1">
      <alignment vertical="center"/>
      <protection locked="0"/>
    </xf>
    <xf numFmtId="0" fontId="0" fillId="0" borderId="0" xfId="0" applyAlignment="1">
      <alignment horizontal="center" wrapText="1"/>
    </xf>
    <xf numFmtId="0" fontId="57" fillId="0" borderId="0" xfId="14" quotePrefix="1" applyFont="1" applyAlignment="1">
      <alignment vertical="center" wrapText="1"/>
    </xf>
    <xf numFmtId="0" fontId="57" fillId="0" borderId="14" xfId="14" quotePrefix="1" applyFont="1" applyBorder="1" applyAlignment="1">
      <alignment vertical="center" wrapText="1"/>
    </xf>
    <xf numFmtId="0" fontId="64" fillId="15" borderId="14" xfId="14" applyFont="1" applyFill="1" applyBorder="1" applyAlignment="1">
      <alignment horizontal="center" vertical="center"/>
    </xf>
    <xf numFmtId="172" fontId="64" fillId="15" borderId="14" xfId="15" applyNumberFormat="1" applyFont="1" applyFill="1" applyBorder="1" applyAlignment="1" applyProtection="1">
      <alignment horizontal="center" vertical="center"/>
    </xf>
    <xf numFmtId="172" fontId="64" fillId="15" borderId="14" xfId="15" applyNumberFormat="1" applyFont="1" applyFill="1" applyBorder="1" applyAlignment="1" applyProtection="1">
      <alignment vertical="center"/>
    </xf>
    <xf numFmtId="0" fontId="64" fillId="15" borderId="14" xfId="14" applyFont="1" applyFill="1" applyBorder="1" applyAlignment="1">
      <alignment horizontal="center" vertical="center" wrapText="1"/>
    </xf>
    <xf numFmtId="0" fontId="64" fillId="15" borderId="14" xfId="14" applyFont="1" applyFill="1" applyBorder="1" applyAlignment="1">
      <alignment horizontal="left" vertical="center" wrapText="1"/>
    </xf>
    <xf numFmtId="0" fontId="64" fillId="15" borderId="28" xfId="14" applyFont="1" applyFill="1" applyBorder="1" applyAlignment="1">
      <alignment horizontal="center" vertical="center" wrapText="1"/>
    </xf>
    <xf numFmtId="0" fontId="57" fillId="0" borderId="27" xfId="14" applyFont="1" applyBorder="1" applyAlignment="1">
      <alignment horizontal="left" vertical="center" wrapText="1"/>
    </xf>
    <xf numFmtId="0" fontId="57" fillId="0" borderId="0" xfId="14" quotePrefix="1" applyFont="1" applyAlignment="1">
      <alignment horizontal="center" vertical="center" wrapText="1"/>
    </xf>
    <xf numFmtId="0" fontId="57" fillId="0" borderId="14" xfId="14" quotePrefix="1" applyFont="1" applyBorder="1" applyAlignment="1">
      <alignment horizontal="left" vertical="center" wrapText="1"/>
    </xf>
    <xf numFmtId="0" fontId="57" fillId="0" borderId="49" xfId="14" quotePrefix="1" applyFont="1" applyBorder="1" applyAlignment="1">
      <alignment horizontal="center" vertical="center" wrapText="1"/>
    </xf>
    <xf numFmtId="0" fontId="57" fillId="0" borderId="14" xfId="14" quotePrefix="1" applyFont="1" applyBorder="1" applyAlignment="1">
      <alignment horizontal="center" vertical="center" wrapText="1"/>
    </xf>
    <xf numFmtId="0" fontId="57" fillId="0" borderId="27" xfId="14" applyFont="1" applyBorder="1" applyAlignment="1">
      <alignment horizontal="center" vertical="center"/>
    </xf>
    <xf numFmtId="172" fontId="57" fillId="0" borderId="27" xfId="15" applyNumberFormat="1" applyFont="1" applyFill="1" applyBorder="1" applyAlignment="1" applyProtection="1">
      <alignment horizontal="center" vertical="center"/>
    </xf>
    <xf numFmtId="43" fontId="57" fillId="0" borderId="27" xfId="13" applyFont="1" applyFill="1" applyBorder="1" applyAlignment="1" applyProtection="1">
      <alignment vertical="center"/>
    </xf>
    <xf numFmtId="0" fontId="57" fillId="0" borderId="27" xfId="14" applyFont="1" applyBorder="1" applyAlignment="1">
      <alignment horizontal="center" vertical="center" wrapText="1"/>
    </xf>
    <xf numFmtId="0" fontId="107" fillId="0" borderId="14" xfId="14" applyFont="1" applyBorder="1" applyAlignment="1">
      <alignment horizontal="left" vertical="center" wrapText="1"/>
    </xf>
    <xf numFmtId="0" fontId="107" fillId="0" borderId="14" xfId="14" quotePrefix="1" applyFont="1" applyBorder="1" applyAlignment="1">
      <alignment horizontal="left" vertical="center" wrapText="1"/>
    </xf>
    <xf numFmtId="43" fontId="64" fillId="15" borderId="14" xfId="13" applyFont="1" applyFill="1" applyBorder="1" applyAlignment="1" applyProtection="1">
      <alignment vertical="center"/>
    </xf>
    <xf numFmtId="0" fontId="109" fillId="15" borderId="14" xfId="14" applyFont="1" applyFill="1" applyBorder="1" applyAlignment="1">
      <alignment horizontal="center" vertical="center" wrapText="1"/>
    </xf>
    <xf numFmtId="4" fontId="64" fillId="15" borderId="14" xfId="15" applyNumberFormat="1" applyFont="1" applyFill="1" applyBorder="1" applyAlignment="1" applyProtection="1">
      <alignment vertical="center"/>
    </xf>
    <xf numFmtId="0" fontId="59" fillId="21" borderId="14" xfId="14" applyFont="1" applyFill="1" applyBorder="1" applyAlignment="1">
      <alignment horizontal="left" vertical="center" wrapText="1"/>
    </xf>
    <xf numFmtId="0" fontId="57" fillId="0" borderId="14" xfId="15" applyNumberFormat="1" applyFont="1" applyFill="1" applyBorder="1" applyAlignment="1" applyProtection="1">
      <alignment horizontal="center" vertical="center" wrapText="1"/>
    </xf>
    <xf numFmtId="0" fontId="71" fillId="11" borderId="14" xfId="14" applyFont="1" applyFill="1" applyBorder="1" applyAlignment="1">
      <alignment horizontal="left" vertical="center" wrapText="1"/>
    </xf>
    <xf numFmtId="0" fontId="110" fillId="15" borderId="14" xfId="14" applyFont="1" applyFill="1" applyBorder="1" applyAlignment="1">
      <alignment horizontal="left" vertical="center" wrapText="1"/>
    </xf>
    <xf numFmtId="0" fontId="70" fillId="0" borderId="14" xfId="14" quotePrefix="1" applyFont="1" applyBorder="1" applyAlignment="1">
      <alignment horizontal="center" vertical="center" wrapText="1"/>
    </xf>
    <xf numFmtId="0" fontId="57" fillId="14" borderId="14" xfId="14" quotePrefix="1" applyFont="1" applyFill="1" applyBorder="1" applyAlignment="1">
      <alignment horizontal="center" vertical="center" wrapText="1"/>
    </xf>
    <xf numFmtId="0" fontId="107" fillId="0" borderId="14" xfId="14" quotePrefix="1" applyFont="1" applyBorder="1" applyAlignment="1">
      <alignment horizontal="center" vertical="center" wrapText="1"/>
    </xf>
    <xf numFmtId="0" fontId="107" fillId="0" borderId="14" xfId="14" applyFont="1" applyBorder="1" applyAlignment="1">
      <alignment horizontal="center" vertical="center" wrapText="1"/>
    </xf>
    <xf numFmtId="0" fontId="107" fillId="0" borderId="26" xfId="14" quotePrefix="1" applyFont="1" applyBorder="1" applyAlignment="1">
      <alignment horizontal="left" vertical="center" wrapText="1"/>
    </xf>
    <xf numFmtId="0" fontId="107" fillId="0" borderId="27" xfId="14" quotePrefix="1" applyFont="1" applyBorder="1" applyAlignment="1">
      <alignment horizontal="left" vertical="center" wrapText="1"/>
    </xf>
    <xf numFmtId="0" fontId="109" fillId="23" borderId="14" xfId="14" applyFont="1" applyFill="1" applyBorder="1" applyAlignment="1">
      <alignment horizontal="center" vertical="center" wrapText="1"/>
    </xf>
    <xf numFmtId="0" fontId="111" fillId="0" borderId="0" xfId="14" applyFont="1" applyAlignment="1">
      <alignment vertical="center"/>
    </xf>
    <xf numFmtId="0" fontId="112" fillId="0" borderId="14" xfId="14" applyFont="1" applyBorder="1" applyAlignment="1">
      <alignment horizontal="center" vertical="center"/>
    </xf>
    <xf numFmtId="0" fontId="113" fillId="0" borderId="14" xfId="14" applyFont="1" applyBorder="1" applyAlignment="1">
      <alignment horizontal="center" vertical="center" wrapText="1"/>
    </xf>
    <xf numFmtId="0" fontId="113" fillId="0" borderId="14" xfId="14" applyFont="1" applyBorder="1" applyAlignment="1">
      <alignment horizontal="left" vertical="center" wrapText="1"/>
    </xf>
    <xf numFmtId="0" fontId="113" fillId="0" borderId="28" xfId="14" applyFont="1" applyBorder="1" applyAlignment="1">
      <alignment horizontal="center" vertical="center" wrapText="1"/>
    </xf>
    <xf numFmtId="0" fontId="114" fillId="15" borderId="14" xfId="14" applyFont="1" applyFill="1" applyBorder="1" applyAlignment="1">
      <alignment horizontal="center" vertical="center"/>
    </xf>
    <xf numFmtId="172" fontId="114" fillId="15" borderId="14" xfId="15" applyNumberFormat="1" applyFont="1" applyFill="1" applyBorder="1" applyAlignment="1" applyProtection="1">
      <alignment horizontal="center" vertical="center"/>
    </xf>
    <xf numFmtId="43" fontId="114" fillId="15" borderId="14" xfId="13" applyFont="1" applyFill="1" applyBorder="1" applyAlignment="1" applyProtection="1">
      <alignment vertical="center"/>
    </xf>
    <xf numFmtId="4" fontId="109" fillId="15" borderId="14" xfId="15" applyNumberFormat="1" applyFont="1" applyFill="1" applyBorder="1" applyAlignment="1" applyProtection="1">
      <alignment vertical="center"/>
    </xf>
    <xf numFmtId="0" fontId="109" fillId="15" borderId="14" xfId="14" applyFont="1" applyFill="1" applyBorder="1" applyAlignment="1">
      <alignment horizontal="left" vertical="center" wrapText="1"/>
    </xf>
    <xf numFmtId="0" fontId="109" fillId="15" borderId="28" xfId="14" applyFont="1" applyFill="1" applyBorder="1" applyAlignment="1">
      <alignment horizontal="center" vertical="center" wrapText="1"/>
    </xf>
    <xf numFmtId="0" fontId="113" fillId="0" borderId="14" xfId="0" quotePrefix="1" applyFont="1" applyBorder="1" applyAlignment="1">
      <alignment horizontal="center" vertical="center" wrapText="1"/>
    </xf>
    <xf numFmtId="0" fontId="113" fillId="0" borderId="14" xfId="0" applyFont="1" applyBorder="1" applyAlignment="1">
      <alignment horizontal="left" vertical="center" wrapText="1"/>
    </xf>
    <xf numFmtId="0" fontId="113" fillId="0" borderId="14" xfId="0" applyFont="1" applyBorder="1" applyAlignment="1">
      <alignment horizontal="center" vertical="center" wrapText="1"/>
    </xf>
    <xf numFmtId="0" fontId="114" fillId="15" borderId="14" xfId="14" applyFont="1" applyFill="1" applyBorder="1" applyAlignment="1">
      <alignment horizontal="center" vertical="center" wrapText="1"/>
    </xf>
    <xf numFmtId="0" fontId="114" fillId="0" borderId="14" xfId="14" applyFont="1" applyBorder="1" applyAlignment="1">
      <alignment horizontal="center" vertical="center"/>
    </xf>
    <xf numFmtId="0" fontId="107" fillId="0" borderId="28" xfId="14" applyFont="1" applyBorder="1" applyAlignment="1">
      <alignment horizontal="center" vertical="center" wrapText="1"/>
    </xf>
    <xf numFmtId="2" fontId="109" fillId="15" borderId="14" xfId="14" applyNumberFormat="1" applyFont="1" applyFill="1" applyBorder="1" applyAlignment="1">
      <alignment horizontal="center" vertical="center" wrapText="1"/>
    </xf>
    <xf numFmtId="4" fontId="66" fillId="23" borderId="14" xfId="15" applyNumberFormat="1" applyFont="1" applyFill="1" applyBorder="1" applyAlignment="1" applyProtection="1">
      <alignment horizontal="center" vertical="center"/>
    </xf>
    <xf numFmtId="0" fontId="66" fillId="23" borderId="28" xfId="14" applyFont="1" applyFill="1" applyBorder="1" applyAlignment="1">
      <alignment horizontal="left" vertical="center" wrapText="1"/>
    </xf>
    <xf numFmtId="0" fontId="60" fillId="0" borderId="0" xfId="14" quotePrefix="1" applyFont="1" applyAlignment="1">
      <alignment horizontal="center" vertical="center" wrapText="1"/>
    </xf>
    <xf numFmtId="43" fontId="57" fillId="24" borderId="27" xfId="13" applyFont="1" applyFill="1" applyBorder="1" applyAlignment="1" applyProtection="1">
      <alignment vertical="center"/>
      <protection locked="0"/>
    </xf>
    <xf numFmtId="4" fontId="57" fillId="24" borderId="27" xfId="15" applyNumberFormat="1" applyFont="1" applyFill="1" applyBorder="1" applyAlignment="1" applyProtection="1">
      <alignment vertical="center"/>
      <protection locked="0"/>
    </xf>
    <xf numFmtId="172" fontId="57" fillId="0" borderId="26" xfId="15" applyNumberFormat="1" applyFont="1" applyFill="1" applyBorder="1" applyAlignment="1" applyProtection="1">
      <alignment horizontal="center" vertical="center"/>
    </xf>
    <xf numFmtId="172" fontId="57" fillId="0" borderId="38" xfId="15" applyNumberFormat="1" applyFont="1" applyFill="1" applyBorder="1" applyAlignment="1" applyProtection="1">
      <alignment vertical="center"/>
    </xf>
    <xf numFmtId="172" fontId="57" fillId="0" borderId="27" xfId="15" applyNumberFormat="1" applyFont="1" applyFill="1" applyBorder="1" applyAlignment="1" applyProtection="1">
      <alignment vertical="center"/>
    </xf>
    <xf numFmtId="0" fontId="115" fillId="0" borderId="14" xfId="14" applyFont="1" applyBorder="1" applyAlignment="1">
      <alignment horizontal="center" vertical="center" wrapText="1"/>
    </xf>
    <xf numFmtId="0" fontId="57" fillId="0" borderId="29" xfId="14" applyFont="1" applyBorder="1" applyAlignment="1">
      <alignment horizontal="left" vertical="center" wrapText="1"/>
    </xf>
    <xf numFmtId="0" fontId="115" fillId="0" borderId="27" xfId="14" applyFont="1" applyBorder="1" applyAlignment="1">
      <alignment horizontal="center" vertical="center" wrapText="1"/>
    </xf>
    <xf numFmtId="0" fontId="107" fillId="0" borderId="27" xfId="14" quotePrefix="1" applyFont="1" applyBorder="1" applyAlignment="1">
      <alignment vertical="center" wrapText="1"/>
    </xf>
    <xf numFmtId="0" fontId="107" fillId="0" borderId="27" xfId="14" applyFont="1" applyBorder="1" applyAlignment="1">
      <alignment horizontal="center" vertical="center" wrapText="1"/>
    </xf>
    <xf numFmtId="0" fontId="107" fillId="0" borderId="27" xfId="14" applyFont="1" applyBorder="1" applyAlignment="1">
      <alignment vertical="center" wrapText="1"/>
    </xf>
    <xf numFmtId="43" fontId="57" fillId="0" borderId="27" xfId="13" applyFont="1" applyFill="1" applyBorder="1" applyAlignment="1" applyProtection="1">
      <alignment horizontal="center" vertical="center"/>
    </xf>
    <xf numFmtId="43" fontId="57" fillId="24" borderId="27" xfId="13" applyFont="1" applyFill="1" applyBorder="1" applyAlignment="1" applyProtection="1">
      <alignment horizontal="center" vertical="center"/>
      <protection locked="0"/>
    </xf>
    <xf numFmtId="4" fontId="57" fillId="24" borderId="27" xfId="15" applyNumberFormat="1" applyFont="1" applyFill="1" applyBorder="1" applyAlignment="1" applyProtection="1">
      <alignment horizontal="right" vertical="center"/>
      <protection locked="0"/>
    </xf>
    <xf numFmtId="0" fontId="60" fillId="0" borderId="0" xfId="14" applyFont="1" applyAlignment="1">
      <alignment horizontal="left" vertical="center"/>
    </xf>
    <xf numFmtId="0" fontId="57" fillId="0" borderId="14" xfId="14" applyFont="1" applyBorder="1" applyAlignment="1">
      <alignment horizontal="left" vertical="center"/>
    </xf>
    <xf numFmtId="170" fontId="59" fillId="0" borderId="14" xfId="14" applyNumberFormat="1" applyFont="1" applyBorder="1" applyAlignment="1">
      <alignment horizontal="center" vertical="center"/>
    </xf>
    <xf numFmtId="0" fontId="56" fillId="21" borderId="14" xfId="14" applyFont="1" applyFill="1" applyBorder="1" applyAlignment="1">
      <alignment horizontal="center" vertical="center"/>
    </xf>
    <xf numFmtId="0" fontId="56" fillId="21" borderId="28" xfId="14" applyFont="1" applyFill="1" applyBorder="1" applyAlignment="1">
      <alignment horizontal="center" vertical="center" wrapText="1"/>
    </xf>
    <xf numFmtId="0" fontId="0" fillId="42" borderId="0" xfId="0" applyFill="1"/>
    <xf numFmtId="0" fontId="57" fillId="42" borderId="14" xfId="14" applyFont="1" applyFill="1" applyBorder="1" applyAlignment="1">
      <alignment horizontal="center" vertical="center"/>
    </xf>
    <xf numFmtId="172" fontId="57" fillId="42" borderId="14" xfId="15" applyNumberFormat="1" applyFont="1" applyFill="1" applyBorder="1" applyAlignment="1" applyProtection="1">
      <alignment horizontal="center" vertical="center"/>
    </xf>
    <xf numFmtId="43" fontId="57" fillId="42" borderId="14" xfId="13" applyFont="1" applyFill="1" applyBorder="1" applyAlignment="1" applyProtection="1">
      <alignment vertical="center"/>
    </xf>
    <xf numFmtId="43" fontId="57" fillId="42" borderId="14" xfId="13" applyFont="1" applyFill="1" applyBorder="1" applyAlignment="1" applyProtection="1">
      <alignment vertical="center"/>
      <protection locked="0"/>
    </xf>
    <xf numFmtId="4" fontId="57" fillId="42" borderId="14" xfId="15" applyNumberFormat="1" applyFont="1" applyFill="1" applyBorder="1" applyAlignment="1" applyProtection="1">
      <alignment vertical="center"/>
      <protection locked="0"/>
    </xf>
    <xf numFmtId="0" fontId="57" fillId="42" borderId="14" xfId="14" applyFont="1" applyFill="1" applyBorder="1" applyAlignment="1">
      <alignment horizontal="center" vertical="center" wrapText="1"/>
    </xf>
    <xf numFmtId="0" fontId="57" fillId="42" borderId="14" xfId="14" applyFont="1" applyFill="1" applyBorder="1" applyAlignment="1">
      <alignment horizontal="left" vertical="center" wrapText="1"/>
    </xf>
    <xf numFmtId="0" fontId="0" fillId="42" borderId="14" xfId="0" applyFill="1" applyBorder="1" applyAlignment="1">
      <alignment horizontal="center" wrapText="1"/>
    </xf>
    <xf numFmtId="0" fontId="0" fillId="42" borderId="14" xfId="0" applyFill="1" applyBorder="1"/>
    <xf numFmtId="0" fontId="60" fillId="42" borderId="0" xfId="14" applyFont="1" applyFill="1" applyAlignment="1">
      <alignment vertical="center"/>
    </xf>
    <xf numFmtId="0" fontId="57" fillId="42" borderId="0" xfId="14" quotePrefix="1" applyFont="1" applyFill="1" applyAlignment="1">
      <alignment horizontal="center" vertical="center" wrapText="1"/>
    </xf>
    <xf numFmtId="0" fontId="57" fillId="42" borderId="28" xfId="14" applyFont="1" applyFill="1" applyBorder="1" applyAlignment="1">
      <alignment horizontal="center" vertical="center" wrapText="1"/>
    </xf>
    <xf numFmtId="0" fontId="57" fillId="42" borderId="14" xfId="14" quotePrefix="1" applyFont="1" applyFill="1" applyBorder="1" applyAlignment="1">
      <alignment horizontal="center" vertical="center" wrapText="1"/>
    </xf>
    <xf numFmtId="0" fontId="60" fillId="14" borderId="0" xfId="14" applyFont="1" applyFill="1" applyAlignment="1">
      <alignment vertical="center"/>
    </xf>
    <xf numFmtId="169" fontId="62" fillId="14" borderId="14" xfId="14" applyNumberFormat="1" applyFont="1" applyFill="1" applyBorder="1" applyAlignment="1">
      <alignment horizontal="center" vertical="center" wrapText="1"/>
    </xf>
    <xf numFmtId="0" fontId="57" fillId="14" borderId="14" xfId="15" applyNumberFormat="1" applyFont="1" applyFill="1" applyBorder="1" applyAlignment="1" applyProtection="1">
      <alignment horizontal="center" vertical="center" wrapText="1"/>
    </xf>
    <xf numFmtId="0" fontId="56" fillId="14" borderId="28" xfId="14" applyFont="1" applyFill="1" applyBorder="1" applyAlignment="1">
      <alignment horizontal="right" vertical="center" wrapText="1"/>
    </xf>
    <xf numFmtId="0" fontId="107" fillId="42" borderId="14" xfId="14" quotePrefix="1" applyFont="1" applyFill="1" applyBorder="1" applyAlignment="1">
      <alignment horizontal="left" vertical="center" wrapText="1"/>
    </xf>
    <xf numFmtId="0" fontId="60" fillId="43" borderId="0" xfId="14" applyFont="1" applyFill="1" applyAlignment="1">
      <alignment vertical="center"/>
    </xf>
    <xf numFmtId="0" fontId="57" fillId="43" borderId="14" xfId="14" applyFont="1" applyFill="1" applyBorder="1" applyAlignment="1">
      <alignment horizontal="center" vertical="center"/>
    </xf>
    <xf numFmtId="172" fontId="57" fillId="43" borderId="14" xfId="15" applyNumberFormat="1" applyFont="1" applyFill="1" applyBorder="1" applyAlignment="1" applyProtection="1">
      <alignment horizontal="center" vertical="center"/>
    </xf>
    <xf numFmtId="43" fontId="57" fillId="43" borderId="14" xfId="13" applyFont="1" applyFill="1" applyBorder="1" applyAlignment="1" applyProtection="1">
      <alignment vertical="center"/>
    </xf>
    <xf numFmtId="43" fontId="57" fillId="43" borderId="14" xfId="13" applyFont="1" applyFill="1" applyBorder="1" applyAlignment="1" applyProtection="1">
      <alignment vertical="center"/>
      <protection locked="0"/>
    </xf>
    <xf numFmtId="4" fontId="57" fillId="43" borderId="14" xfId="15" applyNumberFormat="1" applyFont="1" applyFill="1" applyBorder="1" applyAlignment="1" applyProtection="1">
      <alignment vertical="center"/>
      <protection locked="0"/>
    </xf>
    <xf numFmtId="0" fontId="57" fillId="43" borderId="14" xfId="14" applyFont="1" applyFill="1" applyBorder="1" applyAlignment="1">
      <alignment horizontal="center" vertical="center" wrapText="1"/>
    </xf>
    <xf numFmtId="0" fontId="57" fillId="43" borderId="14" xfId="14" applyFont="1" applyFill="1" applyBorder="1" applyAlignment="1">
      <alignment horizontal="left" vertical="center" wrapText="1"/>
    </xf>
    <xf numFmtId="0" fontId="107" fillId="43" borderId="14" xfId="14" quotePrefix="1" applyFont="1" applyFill="1" applyBorder="1" applyAlignment="1">
      <alignment horizontal="center" vertical="center" wrapText="1"/>
    </xf>
    <xf numFmtId="0" fontId="57" fillId="43" borderId="28" xfId="14" applyFont="1" applyFill="1" applyBorder="1" applyAlignment="1">
      <alignment horizontal="center" vertical="center" wrapText="1"/>
    </xf>
    <xf numFmtId="0" fontId="67" fillId="43" borderId="0" xfId="14" applyFont="1" applyFill="1" applyAlignment="1">
      <alignment vertical="center"/>
    </xf>
    <xf numFmtId="0" fontId="64" fillId="43" borderId="14" xfId="14" applyFont="1" applyFill="1" applyBorder="1" applyAlignment="1">
      <alignment horizontal="center" vertical="center"/>
    </xf>
    <xf numFmtId="172" fontId="64" fillId="43" borderId="14" xfId="15" applyNumberFormat="1" applyFont="1" applyFill="1" applyBorder="1" applyAlignment="1" applyProtection="1">
      <alignment horizontal="center" vertical="center"/>
    </xf>
    <xf numFmtId="43" fontId="64" fillId="43" borderId="14" xfId="13" applyFont="1" applyFill="1" applyBorder="1" applyAlignment="1" applyProtection="1">
      <alignment vertical="center"/>
    </xf>
    <xf numFmtId="0" fontId="64" fillId="43" borderId="14" xfId="14" applyFont="1" applyFill="1" applyBorder="1" applyAlignment="1">
      <alignment horizontal="center" vertical="center" wrapText="1"/>
    </xf>
    <xf numFmtId="0" fontId="64" fillId="43" borderId="14" xfId="14" applyFont="1" applyFill="1" applyBorder="1" applyAlignment="1">
      <alignment horizontal="left" vertical="center" wrapText="1"/>
    </xf>
    <xf numFmtId="0" fontId="64" fillId="43" borderId="28" xfId="14" applyFont="1" applyFill="1" applyBorder="1" applyAlignment="1">
      <alignment horizontal="center" vertical="center" wrapText="1"/>
    </xf>
    <xf numFmtId="0" fontId="111" fillId="44" borderId="0" xfId="14" applyFont="1" applyFill="1" applyAlignment="1">
      <alignment vertical="center"/>
    </xf>
    <xf numFmtId="0" fontId="112" fillId="44" borderId="14" xfId="14" applyFont="1" applyFill="1" applyBorder="1" applyAlignment="1">
      <alignment horizontal="center" vertical="center"/>
    </xf>
    <xf numFmtId="0" fontId="57" fillId="44" borderId="14" xfId="14" applyFont="1" applyFill="1" applyBorder="1" applyAlignment="1">
      <alignment horizontal="center" vertical="center"/>
    </xf>
    <xf numFmtId="172" fontId="57" fillId="44" borderId="14" xfId="15" applyNumberFormat="1" applyFont="1" applyFill="1" applyBorder="1" applyAlignment="1" applyProtection="1">
      <alignment horizontal="center" vertical="center"/>
    </xf>
    <xf numFmtId="43" fontId="57" fillId="44" borderId="14" xfId="13" applyFont="1" applyFill="1" applyBorder="1" applyAlignment="1" applyProtection="1">
      <alignment vertical="center"/>
    </xf>
    <xf numFmtId="43" fontId="57" fillId="44" borderId="14" xfId="13" applyFont="1" applyFill="1" applyBorder="1" applyAlignment="1" applyProtection="1">
      <alignment vertical="center"/>
      <protection locked="0"/>
    </xf>
    <xf numFmtId="4" fontId="57" fillId="44" borderId="14" xfId="15" applyNumberFormat="1" applyFont="1" applyFill="1" applyBorder="1" applyAlignment="1" applyProtection="1">
      <alignment vertical="center"/>
      <protection locked="0"/>
    </xf>
    <xf numFmtId="0" fontId="113" fillId="44" borderId="14" xfId="14" applyFont="1" applyFill="1" applyBorder="1" applyAlignment="1">
      <alignment horizontal="center" vertical="center" wrapText="1"/>
    </xf>
    <xf numFmtId="0" fontId="113" fillId="44" borderId="14" xfId="14" applyFont="1" applyFill="1" applyBorder="1" applyAlignment="1">
      <alignment horizontal="left" vertical="center" wrapText="1"/>
    </xf>
    <xf numFmtId="0" fontId="113" fillId="44" borderId="28" xfId="14" applyFont="1" applyFill="1" applyBorder="1" applyAlignment="1">
      <alignment horizontal="center" vertical="center" wrapText="1"/>
    </xf>
    <xf numFmtId="0" fontId="114" fillId="44" borderId="14" xfId="14" applyFont="1" applyFill="1" applyBorder="1" applyAlignment="1">
      <alignment horizontal="center" vertical="center"/>
    </xf>
    <xf numFmtId="172" fontId="114" fillId="44" borderId="14" xfId="15" applyNumberFormat="1" applyFont="1" applyFill="1" applyBorder="1" applyAlignment="1" applyProtection="1">
      <alignment horizontal="center" vertical="center"/>
    </xf>
    <xf numFmtId="43" fontId="114" fillId="44" borderId="14" xfId="13" applyFont="1" applyFill="1" applyBorder="1" applyAlignment="1" applyProtection="1">
      <alignment vertical="center"/>
    </xf>
    <xf numFmtId="4" fontId="109" fillId="44" borderId="14" xfId="15" applyNumberFormat="1" applyFont="1" applyFill="1" applyBorder="1" applyAlignment="1" applyProtection="1">
      <alignment vertical="center"/>
    </xf>
    <xf numFmtId="0" fontId="109" fillId="44" borderId="14" xfId="14" applyFont="1" applyFill="1" applyBorder="1" applyAlignment="1">
      <alignment horizontal="center" vertical="center" wrapText="1"/>
    </xf>
    <xf numFmtId="0" fontId="109" fillId="44" borderId="14" xfId="14" applyFont="1" applyFill="1" applyBorder="1" applyAlignment="1">
      <alignment horizontal="left" vertical="center" wrapText="1"/>
    </xf>
    <xf numFmtId="0" fontId="109" fillId="44" borderId="28" xfId="14" applyFont="1" applyFill="1" applyBorder="1" applyAlignment="1">
      <alignment horizontal="center" vertical="center" wrapText="1"/>
    </xf>
    <xf numFmtId="0" fontId="113" fillId="44" borderId="14" xfId="0" applyFont="1" applyFill="1" applyBorder="1" applyAlignment="1">
      <alignment horizontal="left" vertical="center" wrapText="1"/>
    </xf>
    <xf numFmtId="0" fontId="113" fillId="44" borderId="14" xfId="0" applyFont="1" applyFill="1" applyBorder="1" applyAlignment="1">
      <alignment horizontal="center" vertical="center" wrapText="1"/>
    </xf>
    <xf numFmtId="0" fontId="114" fillId="44" borderId="14" xfId="14" applyFont="1" applyFill="1" applyBorder="1" applyAlignment="1">
      <alignment horizontal="center" vertical="center" wrapText="1"/>
    </xf>
    <xf numFmtId="0" fontId="107" fillId="44" borderId="28" xfId="14" applyFont="1" applyFill="1" applyBorder="1" applyAlignment="1">
      <alignment horizontal="center" vertical="center" wrapText="1"/>
    </xf>
    <xf numFmtId="2" fontId="109" fillId="44" borderId="14" xfId="14" applyNumberFormat="1" applyFont="1" applyFill="1" applyBorder="1" applyAlignment="1">
      <alignment horizontal="center" vertical="center" wrapText="1"/>
    </xf>
    <xf numFmtId="0" fontId="60" fillId="44" borderId="0" xfId="14" applyFont="1" applyFill="1" applyAlignment="1">
      <alignment vertical="center"/>
    </xf>
    <xf numFmtId="0" fontId="66" fillId="44" borderId="14" xfId="14" applyFont="1" applyFill="1" applyBorder="1" applyAlignment="1">
      <alignment horizontal="center" vertical="center"/>
    </xf>
    <xf numFmtId="172" fontId="66" fillId="44" borderId="14" xfId="15" applyNumberFormat="1" applyFont="1" applyFill="1" applyBorder="1" applyAlignment="1" applyProtection="1">
      <alignment vertical="center"/>
    </xf>
    <xf numFmtId="4" fontId="66" fillId="44" borderId="14" xfId="15" applyNumberFormat="1" applyFont="1" applyFill="1" applyBorder="1" applyAlignment="1" applyProtection="1">
      <alignment horizontal="center" vertical="center"/>
    </xf>
    <xf numFmtId="0" fontId="66" fillId="44" borderId="14" xfId="14" applyFont="1" applyFill="1" applyBorder="1" applyAlignment="1">
      <alignment horizontal="center" vertical="center" wrapText="1"/>
    </xf>
    <xf numFmtId="0" fontId="66" fillId="44" borderId="28" xfId="14" applyFont="1" applyFill="1" applyBorder="1" applyAlignment="1">
      <alignment horizontal="center" vertical="center" wrapText="1"/>
    </xf>
    <xf numFmtId="0" fontId="66" fillId="44" borderId="28" xfId="14" applyFont="1" applyFill="1" applyBorder="1" applyAlignment="1">
      <alignment horizontal="left" vertical="center" wrapText="1"/>
    </xf>
    <xf numFmtId="0" fontId="115" fillId="42" borderId="14" xfId="14" applyFont="1" applyFill="1" applyBorder="1" applyAlignment="1">
      <alignment horizontal="center" vertical="center" wrapText="1"/>
    </xf>
    <xf numFmtId="49" fontId="33" fillId="0" borderId="114" xfId="3" applyNumberFormat="1" applyFont="1" applyBorder="1" applyAlignment="1">
      <alignment horizontal="center" vertical="center" wrapText="1"/>
    </xf>
    <xf numFmtId="0" fontId="7" fillId="0" borderId="115" xfId="0" applyFont="1" applyBorder="1"/>
    <xf numFmtId="0" fontId="7" fillId="0" borderId="116" xfId="0" applyFont="1" applyBorder="1"/>
    <xf numFmtId="0" fontId="8" fillId="0" borderId="116" xfId="0" applyFont="1" applyBorder="1"/>
    <xf numFmtId="0" fontId="11" fillId="0" borderId="116" xfId="0" applyFont="1" applyBorder="1"/>
    <xf numFmtId="0" fontId="11" fillId="0" borderId="117" xfId="0" applyFont="1" applyBorder="1"/>
    <xf numFmtId="2" fontId="11" fillId="3" borderId="118" xfId="3" applyNumberFormat="1" applyFont="1" applyFill="1" applyBorder="1" applyAlignment="1">
      <alignment horizontal="center" vertical="center" wrapText="1"/>
    </xf>
    <xf numFmtId="0" fontId="8" fillId="0" borderId="110" xfId="0" applyFont="1" applyBorder="1"/>
    <xf numFmtId="0" fontId="11" fillId="0" borderId="110" xfId="0" applyFont="1" applyBorder="1"/>
    <xf numFmtId="0" fontId="11" fillId="0" borderId="122" xfId="0" applyFont="1" applyBorder="1"/>
    <xf numFmtId="3" fontId="8" fillId="7" borderId="51" xfId="3" applyNumberFormat="1" applyFont="1" applyFill="1" applyBorder="1" applyAlignment="1">
      <alignment horizontal="center" vertical="center" wrapText="1"/>
    </xf>
    <xf numFmtId="49" fontId="33" fillId="0" borderId="110" xfId="3" applyNumberFormat="1" applyFont="1" applyBorder="1" applyAlignment="1">
      <alignment horizontal="center" vertical="center" wrapText="1"/>
    </xf>
    <xf numFmtId="0" fontId="107" fillId="0" borderId="38" xfId="14" quotePrefix="1" applyFont="1" applyBorder="1" applyAlignment="1">
      <alignment horizontal="left" vertical="center" wrapText="1"/>
    </xf>
    <xf numFmtId="0" fontId="57" fillId="42" borderId="28" xfId="14" applyFont="1" applyFill="1" applyBorder="1" applyAlignment="1">
      <alignment horizontal="left" vertical="center" wrapText="1"/>
    </xf>
    <xf numFmtId="49" fontId="17" fillId="0" borderId="0" xfId="3" applyNumberFormat="1" applyFont="1" applyAlignment="1">
      <alignment horizontal="center" wrapText="1"/>
    </xf>
    <xf numFmtId="49" fontId="17" fillId="0" borderId="0" xfId="3" applyNumberFormat="1" applyFont="1" applyAlignment="1">
      <alignment horizontal="center"/>
    </xf>
    <xf numFmtId="0" fontId="18" fillId="0" borderId="0" xfId="3" applyFont="1"/>
    <xf numFmtId="49" fontId="15" fillId="2" borderId="0" xfId="3" applyNumberFormat="1" applyFont="1" applyFill="1" applyAlignment="1">
      <alignment horizontal="center" wrapText="1"/>
    </xf>
    <xf numFmtId="49" fontId="4" fillId="2" borderId="0" xfId="3" applyNumberFormat="1" applyFont="1" applyFill="1" applyAlignment="1">
      <alignment horizontal="center"/>
    </xf>
    <xf numFmtId="0" fontId="16" fillId="2" borderId="0" xfId="3" applyFont="1" applyFill="1"/>
    <xf numFmtId="0" fontId="56" fillId="0" borderId="0" xfId="14" applyFont="1" applyAlignment="1">
      <alignment horizontal="center" vertical="center" wrapText="1"/>
    </xf>
    <xf numFmtId="2" fontId="11" fillId="0" borderId="55" xfId="3" applyNumberFormat="1" applyFont="1" applyBorder="1" applyAlignment="1">
      <alignment horizontal="center" vertical="center" wrapText="1"/>
    </xf>
    <xf numFmtId="0" fontId="18" fillId="0" borderId="55" xfId="3" applyFont="1" applyBorder="1"/>
    <xf numFmtId="49" fontId="33" fillId="0" borderId="49" xfId="3" applyNumberFormat="1" applyFont="1" applyBorder="1" applyAlignment="1">
      <alignment horizontal="left" vertical="center"/>
    </xf>
    <xf numFmtId="2" fontId="11" fillId="3" borderId="16" xfId="3" applyNumberFormat="1" applyFont="1" applyFill="1" applyBorder="1" applyAlignment="1">
      <alignment horizontal="center" vertical="center" wrapText="1"/>
    </xf>
    <xf numFmtId="2" fontId="11" fillId="3" borderId="16" xfId="3" applyNumberFormat="1" applyFont="1" applyFill="1" applyBorder="1" applyAlignment="1">
      <alignment horizontal="center" vertical="center"/>
    </xf>
    <xf numFmtId="0" fontId="66" fillId="20" borderId="14" xfId="14" applyFont="1" applyFill="1" applyBorder="1" applyAlignment="1">
      <alignment horizontal="center" vertical="center"/>
    </xf>
    <xf numFmtId="0" fontId="64" fillId="41" borderId="29" xfId="14" applyFont="1" applyFill="1" applyBorder="1" applyAlignment="1">
      <alignment horizontal="center" vertical="center" wrapText="1"/>
    </xf>
    <xf numFmtId="0" fontId="64" fillId="41" borderId="27" xfId="14" applyFont="1" applyFill="1" applyBorder="1" applyAlignment="1">
      <alignment horizontal="center" vertical="center" wrapText="1"/>
    </xf>
    <xf numFmtId="0" fontId="117" fillId="41" borderId="0" xfId="0" applyFont="1" applyFill="1" applyAlignment="1">
      <alignment horizontal="center" vertical="center"/>
    </xf>
    <xf numFmtId="0" fontId="117" fillId="41" borderId="0" xfId="0" applyFont="1" applyFill="1" applyAlignment="1">
      <alignment vertical="center" wrapText="1"/>
    </xf>
    <xf numFmtId="0" fontId="76" fillId="41" borderId="14" xfId="14" applyFont="1" applyFill="1" applyBorder="1" applyAlignment="1">
      <alignment horizontal="left" vertical="center" wrapText="1"/>
    </xf>
    <xf numFmtId="0" fontId="64" fillId="41" borderId="14" xfId="14" applyFont="1" applyFill="1" applyBorder="1" applyAlignment="1">
      <alignment horizontal="center" vertical="center" wrapText="1"/>
    </xf>
    <xf numFmtId="4" fontId="64" fillId="41" borderId="14" xfId="15" applyNumberFormat="1" applyFont="1" applyFill="1" applyBorder="1" applyAlignment="1" applyProtection="1">
      <alignment vertical="center"/>
    </xf>
    <xf numFmtId="43" fontId="64" fillId="41" borderId="14" xfId="13" applyFont="1" applyFill="1" applyBorder="1" applyAlignment="1" applyProtection="1">
      <alignment vertical="center"/>
    </xf>
    <xf numFmtId="0" fontId="64" fillId="41" borderId="14" xfId="14" applyFont="1" applyFill="1" applyBorder="1" applyAlignment="1">
      <alignment horizontal="center" vertical="center"/>
    </xf>
    <xf numFmtId="0" fontId="118" fillId="0" borderId="14" xfId="0" quotePrefix="1" applyFont="1" applyBorder="1" applyAlignment="1">
      <alignment horizontal="center" vertical="center"/>
    </xf>
    <xf numFmtId="0" fontId="118" fillId="0" borderId="14" xfId="0" applyFont="1" applyBorder="1" applyAlignment="1">
      <alignment vertical="center" wrapText="1"/>
    </xf>
    <xf numFmtId="4" fontId="57" fillId="0" borderId="14" xfId="15" applyNumberFormat="1" applyFont="1" applyFill="1" applyBorder="1" applyAlignment="1" applyProtection="1">
      <alignment vertical="center"/>
      <protection locked="0"/>
    </xf>
    <xf numFmtId="43" fontId="57" fillId="0" borderId="14" xfId="13" applyFont="1" applyFill="1" applyBorder="1" applyAlignment="1" applyProtection="1">
      <alignment vertical="center"/>
      <protection locked="0"/>
    </xf>
    <xf numFmtId="44" fontId="57" fillId="0" borderId="14" xfId="1" applyFont="1" applyFill="1" applyBorder="1" applyAlignment="1" applyProtection="1">
      <alignment vertical="center"/>
    </xf>
    <xf numFmtId="0" fontId="57" fillId="41" borderId="30" xfId="14" applyFont="1" applyFill="1" applyBorder="1" applyAlignment="1">
      <alignment horizontal="center" vertical="center" wrapText="1"/>
    </xf>
    <xf numFmtId="0" fontId="107" fillId="41" borderId="38" xfId="14" applyFont="1" applyFill="1" applyBorder="1" applyAlignment="1">
      <alignment vertical="center" wrapText="1"/>
    </xf>
    <xf numFmtId="0" fontId="119" fillId="41" borderId="0" xfId="0" applyFont="1" applyFill="1" applyAlignment="1">
      <alignment horizontal="center" vertical="center"/>
    </xf>
    <xf numFmtId="0" fontId="119" fillId="41" borderId="0" xfId="0" applyFont="1" applyFill="1" applyAlignment="1">
      <alignment vertical="center" wrapText="1"/>
    </xf>
    <xf numFmtId="0" fontId="57" fillId="41" borderId="14" xfId="14" applyFont="1" applyFill="1" applyBorder="1" applyAlignment="1">
      <alignment horizontal="left" vertical="center" wrapText="1"/>
    </xf>
    <xf numFmtId="0" fontId="57" fillId="41" borderId="14" xfId="14" applyFont="1" applyFill="1" applyBorder="1" applyAlignment="1">
      <alignment horizontal="center" vertical="center" wrapText="1"/>
    </xf>
    <xf numFmtId="4" fontId="57" fillId="41" borderId="14" xfId="15" applyNumberFormat="1" applyFont="1" applyFill="1" applyBorder="1" applyAlignment="1" applyProtection="1">
      <alignment vertical="center"/>
      <protection locked="0"/>
    </xf>
    <xf numFmtId="43" fontId="57" fillId="41" borderId="14" xfId="13" applyFont="1" applyFill="1" applyBorder="1" applyAlignment="1" applyProtection="1">
      <alignment vertical="center"/>
      <protection locked="0"/>
    </xf>
    <xf numFmtId="44" fontId="57" fillId="41" borderId="14" xfId="1" applyFont="1" applyFill="1" applyBorder="1" applyAlignment="1" applyProtection="1">
      <alignment vertical="center"/>
    </xf>
    <xf numFmtId="0" fontId="57" fillId="41" borderId="14" xfId="14" applyFont="1" applyFill="1" applyBorder="1" applyAlignment="1">
      <alignment horizontal="center" vertical="center"/>
    </xf>
    <xf numFmtId="0" fontId="120" fillId="0" borderId="14" xfId="0" applyFont="1" applyBorder="1" applyAlignment="1">
      <alignment vertical="center" wrapText="1"/>
    </xf>
    <xf numFmtId="0" fontId="57" fillId="0" borderId="91" xfId="14" applyFont="1" applyBorder="1" applyAlignment="1">
      <alignment horizontal="center" vertical="center" wrapText="1"/>
    </xf>
    <xf numFmtId="0" fontId="57" fillId="41" borderId="91" xfId="14" applyFont="1" applyFill="1" applyBorder="1" applyAlignment="1">
      <alignment horizontal="center" vertical="center" wrapText="1"/>
    </xf>
    <xf numFmtId="0" fontId="107" fillId="41" borderId="38" xfId="14" quotePrefix="1" applyFont="1" applyFill="1" applyBorder="1" applyAlignment="1">
      <alignment horizontal="left" vertical="center" wrapText="1"/>
    </xf>
    <xf numFmtId="0" fontId="57" fillId="0" borderId="50" xfId="14" applyFont="1" applyBorder="1" applyAlignment="1">
      <alignment horizontal="center" vertical="center" wrapText="1"/>
    </xf>
    <xf numFmtId="0" fontId="118" fillId="0" borderId="0" xfId="0" quotePrefix="1" applyFont="1" applyAlignment="1">
      <alignment horizontal="center" vertical="center"/>
    </xf>
    <xf numFmtId="0" fontId="57" fillId="41" borderId="28" xfId="14" applyFont="1" applyFill="1" applyBorder="1" applyAlignment="1">
      <alignment horizontal="center" vertical="center" wrapText="1"/>
    </xf>
    <xf numFmtId="0" fontId="107" fillId="41" borderId="14" xfId="14" quotePrefix="1" applyFont="1" applyFill="1" applyBorder="1" applyAlignment="1">
      <alignment horizontal="left" vertical="center" wrapText="1"/>
    </xf>
    <xf numFmtId="0" fontId="119" fillId="41" borderId="14" xfId="0" quotePrefix="1" applyFont="1" applyFill="1" applyBorder="1" applyAlignment="1">
      <alignment horizontal="center" vertical="center"/>
    </xf>
    <xf numFmtId="0" fontId="119" fillId="41" borderId="14" xfId="0" applyFont="1" applyFill="1" applyBorder="1" applyAlignment="1">
      <alignment vertical="center" wrapText="1"/>
    </xf>
    <xf numFmtId="0" fontId="60" fillId="0" borderId="14" xfId="14" applyFont="1" applyBorder="1" applyAlignment="1">
      <alignment vertical="center" wrapText="1"/>
    </xf>
    <xf numFmtId="0" fontId="119" fillId="41" borderId="14" xfId="0" applyFont="1" applyFill="1" applyBorder="1" applyAlignment="1">
      <alignment horizontal="center" vertical="center"/>
    </xf>
    <xf numFmtId="0" fontId="60" fillId="41" borderId="0" xfId="14" applyFont="1" applyFill="1" applyAlignment="1">
      <alignment horizontal="center" vertical="center"/>
    </xf>
    <xf numFmtId="0" fontId="60" fillId="41" borderId="0" xfId="14" applyFont="1" applyFill="1" applyAlignment="1">
      <alignment vertical="center" wrapText="1"/>
    </xf>
    <xf numFmtId="0" fontId="118" fillId="41" borderId="0" xfId="0" applyFont="1" applyFill="1" applyAlignment="1">
      <alignment horizontal="center" vertical="center" wrapText="1"/>
    </xf>
    <xf numFmtId="0" fontId="60" fillId="41" borderId="0" xfId="14" applyFont="1" applyFill="1" applyAlignment="1">
      <alignment vertical="center"/>
    </xf>
    <xf numFmtId="0" fontId="61" fillId="41" borderId="0" xfId="14" applyFont="1" applyFill="1" applyAlignment="1">
      <alignment vertical="center"/>
    </xf>
    <xf numFmtId="167" fontId="11" fillId="20" borderId="39" xfId="3" applyNumberFormat="1" applyFont="1" applyFill="1" applyBorder="1" applyAlignment="1">
      <alignment vertical="center" wrapText="1"/>
    </xf>
    <xf numFmtId="0" fontId="121" fillId="41" borderId="0" xfId="0" applyFont="1" applyFill="1" applyAlignment="1">
      <alignment horizontal="center" vertical="center"/>
    </xf>
    <xf numFmtId="0" fontId="119" fillId="41" borderId="0" xfId="0" applyFont="1" applyFill="1" applyAlignment="1">
      <alignment horizontal="center" vertical="center" wrapText="1"/>
    </xf>
    <xf numFmtId="0" fontId="119" fillId="41" borderId="14" xfId="0" applyFont="1" applyFill="1" applyBorder="1" applyAlignment="1">
      <alignment horizontal="center" vertical="center" wrapText="1"/>
    </xf>
    <xf numFmtId="0" fontId="107" fillId="41" borderId="28" xfId="14" quotePrefix="1" applyFont="1" applyFill="1" applyBorder="1" applyAlignment="1">
      <alignment horizontal="left" vertical="center" wrapText="1"/>
    </xf>
    <xf numFmtId="0" fontId="121" fillId="41" borderId="14" xfId="0" applyFont="1" applyFill="1" applyBorder="1" applyAlignment="1">
      <alignment horizontal="center" vertical="center"/>
    </xf>
    <xf numFmtId="0" fontId="107" fillId="0" borderId="28" xfId="14" quotePrefix="1" applyFont="1" applyBorder="1" applyAlignment="1">
      <alignment horizontal="left" vertical="center" wrapText="1"/>
    </xf>
    <xf numFmtId="0" fontId="60" fillId="41" borderId="14" xfId="14" applyFont="1" applyFill="1" applyBorder="1" applyAlignment="1">
      <alignment vertical="center" wrapText="1"/>
    </xf>
    <xf numFmtId="0" fontId="60" fillId="41" borderId="14" xfId="14" applyFont="1" applyFill="1" applyBorder="1" applyAlignment="1">
      <alignment horizontal="center" vertical="center"/>
    </xf>
    <xf numFmtId="0" fontId="60" fillId="41" borderId="14" xfId="14" applyFont="1" applyFill="1" applyBorder="1" applyAlignment="1">
      <alignment vertical="center"/>
    </xf>
    <xf numFmtId="0" fontId="61" fillId="41" borderId="14" xfId="14" applyFont="1" applyFill="1" applyBorder="1" applyAlignment="1">
      <alignment vertical="center"/>
    </xf>
    <xf numFmtId="0" fontId="61" fillId="0" borderId="14" xfId="14" applyFont="1" applyBorder="1" applyAlignment="1">
      <alignment horizontal="center" vertical="center"/>
    </xf>
    <xf numFmtId="0" fontId="61" fillId="0" borderId="14" xfId="14" applyFont="1" applyBorder="1" applyAlignment="1">
      <alignment vertical="center"/>
    </xf>
    <xf numFmtId="0" fontId="66" fillId="20" borderId="26" xfId="14" applyFont="1" applyFill="1" applyBorder="1" applyAlignment="1">
      <alignment horizontal="center" vertical="center"/>
    </xf>
    <xf numFmtId="0" fontId="122" fillId="41" borderId="14" xfId="14" applyFont="1" applyFill="1" applyBorder="1" applyAlignment="1">
      <alignment horizontal="center" vertical="center" wrapText="1"/>
    </xf>
    <xf numFmtId="0" fontId="122" fillId="41" borderId="14" xfId="14" applyFont="1" applyFill="1" applyBorder="1" applyAlignment="1">
      <alignment horizontal="center" vertical="center"/>
    </xf>
    <xf numFmtId="44" fontId="59" fillId="41" borderId="14" xfId="1" applyFont="1" applyFill="1" applyBorder="1" applyAlignment="1" applyProtection="1">
      <alignment vertical="center"/>
    </xf>
    <xf numFmtId="0" fontId="59" fillId="41" borderId="14" xfId="14" applyFont="1" applyFill="1" applyBorder="1" applyAlignment="1">
      <alignment horizontal="center" vertical="center"/>
    </xf>
    <xf numFmtId="0" fontId="119" fillId="41" borderId="0" xfId="0" applyFont="1" applyFill="1" applyAlignment="1">
      <alignment horizontal="center"/>
    </xf>
    <xf numFmtId="0" fontId="118" fillId="43" borderId="14" xfId="0" quotePrefix="1" applyFont="1" applyFill="1" applyBorder="1" applyAlignment="1">
      <alignment horizontal="center" vertical="center"/>
    </xf>
    <xf numFmtId="0" fontId="120" fillId="43" borderId="14" xfId="0" applyFont="1" applyFill="1" applyBorder="1" applyAlignment="1">
      <alignment vertical="center" wrapText="1"/>
    </xf>
    <xf numFmtId="44" fontId="57" fillId="43" borderId="14" xfId="1" applyFont="1" applyFill="1" applyBorder="1" applyAlignment="1" applyProtection="1">
      <alignment vertical="center"/>
    </xf>
    <xf numFmtId="0" fontId="118" fillId="0" borderId="14" xfId="0" applyFont="1" applyBorder="1" applyAlignment="1">
      <alignment wrapText="1"/>
    </xf>
    <xf numFmtId="0" fontId="57" fillId="0" borderId="14" xfId="14" applyFont="1" applyBorder="1" applyAlignment="1">
      <alignment vertical="center"/>
    </xf>
    <xf numFmtId="0" fontId="121" fillId="41" borderId="14" xfId="0" applyFont="1" applyFill="1" applyBorder="1" applyAlignment="1">
      <alignment vertical="center" wrapText="1"/>
    </xf>
    <xf numFmtId="0" fontId="120" fillId="0" borderId="49" xfId="0" applyFont="1" applyBorder="1" applyAlignment="1">
      <alignment vertical="center" wrapText="1"/>
    </xf>
    <xf numFmtId="0" fontId="118" fillId="0" borderId="0" xfId="0" applyFont="1" applyAlignment="1">
      <alignment vertical="center" wrapText="1"/>
    </xf>
    <xf numFmtId="0" fontId="107" fillId="0" borderId="50" xfId="14" quotePrefix="1" applyFont="1" applyBorder="1" applyAlignment="1">
      <alignment horizontal="left" vertical="center" wrapText="1"/>
    </xf>
    <xf numFmtId="0" fontId="118" fillId="41" borderId="14" xfId="0" quotePrefix="1" applyFont="1" applyFill="1" applyBorder="1" applyAlignment="1">
      <alignment horizontal="center" vertical="center"/>
    </xf>
    <xf numFmtId="0" fontId="121" fillId="41" borderId="50" xfId="0" applyFont="1" applyFill="1" applyBorder="1" applyAlignment="1">
      <alignment vertical="center" wrapText="1"/>
    </xf>
    <xf numFmtId="49" fontId="119" fillId="41" borderId="14" xfId="0" applyNumberFormat="1" applyFont="1" applyFill="1" applyBorder="1" applyAlignment="1">
      <alignment horizontal="center" vertical="center"/>
    </xf>
    <xf numFmtId="0" fontId="101" fillId="41" borderId="14" xfId="0" applyFont="1" applyFill="1" applyBorder="1" applyAlignment="1">
      <alignment vertical="center" wrapText="1"/>
    </xf>
    <xf numFmtId="49" fontId="118" fillId="0" borderId="14" xfId="0" applyNumberFormat="1" applyFont="1" applyBorder="1" applyAlignment="1">
      <alignment horizontal="center" vertical="center"/>
    </xf>
    <xf numFmtId="0" fontId="0" fillId="0" borderId="14" xfId="0" applyBorder="1" applyAlignment="1">
      <alignment vertical="center" wrapText="1"/>
    </xf>
    <xf numFmtId="0" fontId="120" fillId="43" borderId="49" xfId="0" applyFont="1" applyFill="1" applyBorder="1" applyAlignment="1">
      <alignment vertical="center" wrapText="1"/>
    </xf>
    <xf numFmtId="0" fontId="120" fillId="43" borderId="0" xfId="0" applyFont="1" applyFill="1" applyAlignment="1">
      <alignment vertical="center" wrapText="1"/>
    </xf>
    <xf numFmtId="0" fontId="57" fillId="14" borderId="14" xfId="14" applyFont="1" applyFill="1" applyBorder="1" applyAlignment="1">
      <alignment horizontal="center" vertical="center"/>
    </xf>
    <xf numFmtId="2" fontId="127" fillId="3" borderId="14" xfId="5" applyNumberFormat="1" applyFont="1" applyFill="1" applyBorder="1" applyAlignment="1">
      <alignment horizontal="center" vertical="center" wrapText="1"/>
    </xf>
    <xf numFmtId="0" fontId="71" fillId="0" borderId="14" xfId="14" applyFont="1" applyBorder="1" applyAlignment="1">
      <alignment horizontal="left" vertical="center" wrapText="1"/>
    </xf>
    <xf numFmtId="0" fontId="0" fillId="0" borderId="0" xfId="0" applyAlignment="1">
      <alignment horizontal="left" vertical="center" wrapText="1"/>
    </xf>
    <xf numFmtId="0" fontId="60" fillId="14" borderId="0" xfId="14" applyFont="1" applyFill="1" applyAlignment="1">
      <alignment horizontal="center" vertical="center"/>
    </xf>
    <xf numFmtId="0" fontId="57" fillId="14" borderId="14" xfId="14" applyFont="1" applyFill="1" applyBorder="1" applyAlignment="1">
      <alignment horizontal="left" vertical="center" wrapText="1"/>
    </xf>
    <xf numFmtId="0" fontId="0" fillId="0" borderId="0" xfId="0" applyAlignment="1">
      <alignment horizontal="left" vertical="center"/>
    </xf>
    <xf numFmtId="0" fontId="91" fillId="0" borderId="14" xfId="0" applyFont="1" applyBorder="1"/>
    <xf numFmtId="0" fontId="101" fillId="0" borderId="0" xfId="0" applyFont="1"/>
    <xf numFmtId="0" fontId="76" fillId="15" borderId="14" xfId="14" applyFont="1" applyFill="1" applyBorder="1" applyAlignment="1">
      <alignment horizontal="left" vertical="center" wrapText="1"/>
    </xf>
    <xf numFmtId="0" fontId="115" fillId="0" borderId="14" xfId="14" applyFont="1" applyBorder="1" applyAlignment="1">
      <alignment horizontal="left" vertical="center" wrapText="1"/>
    </xf>
    <xf numFmtId="0" fontId="115" fillId="42" borderId="14" xfId="14" applyFont="1" applyFill="1" applyBorder="1" applyAlignment="1">
      <alignment horizontal="left" vertical="center" wrapText="1"/>
    </xf>
    <xf numFmtId="0" fontId="115" fillId="0" borderId="27" xfId="14" applyFont="1" applyBorder="1" applyAlignment="1">
      <alignment horizontal="left" vertical="center" wrapText="1"/>
    </xf>
    <xf numFmtId="0" fontId="115" fillId="0" borderId="29" xfId="14" applyFont="1" applyBorder="1" applyAlignment="1">
      <alignment horizontal="left" vertical="center" wrapText="1"/>
    </xf>
    <xf numFmtId="0" fontId="115" fillId="0" borderId="28" xfId="14" applyFont="1" applyBorder="1" applyAlignment="1">
      <alignment horizontal="left" vertical="center" wrapText="1"/>
    </xf>
    <xf numFmtId="0" fontId="115" fillId="42" borderId="28" xfId="14" applyFont="1" applyFill="1" applyBorder="1" applyAlignment="1">
      <alignment horizontal="left" vertical="center" wrapText="1"/>
    </xf>
    <xf numFmtId="0" fontId="131" fillId="0" borderId="14" xfId="14" applyFont="1" applyBorder="1" applyAlignment="1">
      <alignment horizontal="left" vertical="center" wrapText="1"/>
    </xf>
    <xf numFmtId="0" fontId="131" fillId="0" borderId="14" xfId="0" applyFont="1" applyBorder="1" applyAlignment="1">
      <alignment horizontal="left" vertical="center" wrapText="1"/>
    </xf>
    <xf numFmtId="0" fontId="76" fillId="23" borderId="14" xfId="14" applyFont="1" applyFill="1" applyBorder="1" applyAlignment="1">
      <alignment horizontal="left" vertical="center" wrapText="1"/>
    </xf>
    <xf numFmtId="0" fontId="132" fillId="15" borderId="14" xfId="14" applyFont="1" applyFill="1" applyBorder="1" applyAlignment="1">
      <alignment horizontal="left" vertical="center" wrapText="1"/>
    </xf>
    <xf numFmtId="0" fontId="133" fillId="0" borderId="14" xfId="14" applyFont="1" applyBorder="1" applyAlignment="1">
      <alignment horizontal="left" vertical="center" wrapText="1"/>
    </xf>
    <xf numFmtId="0" fontId="115" fillId="11" borderId="14" xfId="14" applyFont="1" applyFill="1" applyBorder="1" applyAlignment="1">
      <alignment horizontal="left" vertical="center" wrapText="1"/>
    </xf>
    <xf numFmtId="0" fontId="133" fillId="11" borderId="14" xfId="14" applyFont="1" applyFill="1" applyBorder="1" applyAlignment="1">
      <alignment horizontal="left" vertical="center" wrapText="1"/>
    </xf>
    <xf numFmtId="0" fontId="134" fillId="0" borderId="0" xfId="14" applyFont="1" applyAlignment="1">
      <alignment vertical="center" wrapText="1"/>
    </xf>
    <xf numFmtId="169" fontId="135" fillId="18" borderId="28" xfId="14" applyNumberFormat="1" applyFont="1" applyFill="1" applyBorder="1" applyAlignment="1">
      <alignment horizontal="center" vertical="center" wrapText="1"/>
    </xf>
    <xf numFmtId="0" fontId="122" fillId="21" borderId="14" xfId="14" applyFont="1" applyFill="1" applyBorder="1" applyAlignment="1">
      <alignment horizontal="center" vertical="center" wrapText="1"/>
    </xf>
    <xf numFmtId="0" fontId="63" fillId="14" borderId="14" xfId="14" applyFont="1" applyFill="1" applyBorder="1" applyAlignment="1">
      <alignment horizontal="left" vertical="center" wrapText="1"/>
    </xf>
    <xf numFmtId="0" fontId="76" fillId="23" borderId="28" xfId="14" applyFont="1" applyFill="1" applyBorder="1" applyAlignment="1">
      <alignment horizontal="left" vertical="center" wrapText="1"/>
    </xf>
    <xf numFmtId="169" fontId="62" fillId="14" borderId="28" xfId="14" applyNumberFormat="1" applyFont="1" applyFill="1" applyBorder="1" applyAlignment="1">
      <alignment horizontal="center" vertical="center" wrapText="1"/>
    </xf>
    <xf numFmtId="0" fontId="71" fillId="42" borderId="14" xfId="14" applyFont="1" applyFill="1" applyBorder="1" applyAlignment="1">
      <alignment horizontal="left" vertical="center" wrapText="1"/>
    </xf>
    <xf numFmtId="0" fontId="57" fillId="42" borderId="29" xfId="14" applyFont="1" applyFill="1" applyBorder="1" applyAlignment="1">
      <alignment horizontal="left" vertical="center" wrapText="1"/>
    </xf>
    <xf numFmtId="49" fontId="27" fillId="0" borderId="74" xfId="4" applyNumberFormat="1" applyFont="1" applyBorder="1" applyAlignment="1">
      <alignment horizontal="center" vertical="center" wrapText="1"/>
    </xf>
    <xf numFmtId="49" fontId="21" fillId="2" borderId="74" xfId="4" applyNumberFormat="1" applyFont="1" applyFill="1" applyBorder="1" applyAlignment="1">
      <alignment horizontal="center" vertical="center" wrapText="1"/>
    </xf>
    <xf numFmtId="49" fontId="11" fillId="6" borderId="74" xfId="4" applyNumberFormat="1" applyFont="1" applyFill="1" applyBorder="1" applyAlignment="1">
      <alignment horizontal="center" vertical="center" wrapText="1"/>
    </xf>
    <xf numFmtId="49" fontId="8" fillId="0" borderId="80" xfId="0" applyNumberFormat="1" applyFont="1" applyBorder="1" applyAlignment="1">
      <alignment horizontal="center" vertical="center" wrapText="1"/>
    </xf>
    <xf numFmtId="49" fontId="8" fillId="0" borderId="74" xfId="0" applyNumberFormat="1" applyFont="1" applyBorder="1" applyAlignment="1">
      <alignment horizontal="center" vertical="center" wrapText="1"/>
    </xf>
    <xf numFmtId="49" fontId="8" fillId="7" borderId="80" xfId="0" applyNumberFormat="1" applyFont="1" applyFill="1" applyBorder="1" applyAlignment="1">
      <alignment horizontal="center" vertical="center" wrapText="1"/>
    </xf>
    <xf numFmtId="0" fontId="20" fillId="10" borderId="74" xfId="7" quotePrefix="1" applyFont="1" applyFill="1" applyBorder="1" applyAlignment="1" applyProtection="1">
      <alignment horizontal="center" vertical="center" wrapText="1"/>
      <protection hidden="1"/>
    </xf>
    <xf numFmtId="49" fontId="8" fillId="7" borderId="80" xfId="4" applyNumberFormat="1" applyFill="1" applyBorder="1" applyAlignment="1">
      <alignment horizontal="center" vertical="center" wrapText="1"/>
    </xf>
    <xf numFmtId="49" fontId="8" fillId="7" borderId="74" xfId="0" applyNumberFormat="1" applyFont="1" applyFill="1" applyBorder="1" applyAlignment="1">
      <alignment horizontal="center" vertical="center" wrapText="1"/>
    </xf>
    <xf numFmtId="49" fontId="8" fillId="0" borderId="74" xfId="4" applyNumberFormat="1" applyBorder="1" applyAlignment="1">
      <alignment horizontal="center" vertical="center" wrapText="1"/>
    </xf>
    <xf numFmtId="0" fontId="8" fillId="0" borderId="80" xfId="4" applyBorder="1" applyAlignment="1">
      <alignment horizontal="center" vertical="center" wrapText="1"/>
    </xf>
    <xf numFmtId="49" fontId="8" fillId="7" borderId="74" xfId="4" applyNumberFormat="1" applyFill="1" applyBorder="1" applyAlignment="1">
      <alignment horizontal="center" vertical="center" wrapText="1"/>
    </xf>
    <xf numFmtId="0" fontId="21" fillId="10" borderId="74" xfId="7" applyFont="1" applyFill="1" applyBorder="1" applyAlignment="1" applyProtection="1">
      <alignment horizontal="center" vertical="center" wrapText="1"/>
      <protection hidden="1"/>
    </xf>
    <xf numFmtId="0" fontId="21" fillId="0" borderId="74" xfId="7" applyFont="1" applyBorder="1" applyAlignment="1" applyProtection="1">
      <alignment horizontal="center" vertical="center" wrapText="1"/>
      <protection hidden="1"/>
    </xf>
    <xf numFmtId="49" fontId="8" fillId="0" borderId="80" xfId="4" applyNumberFormat="1" applyBorder="1" applyAlignment="1">
      <alignment horizontal="center" vertical="center" wrapText="1"/>
    </xf>
    <xf numFmtId="49" fontId="2" fillId="0" borderId="80" xfId="4" applyNumberFormat="1" applyFont="1" applyBorder="1" applyAlignment="1">
      <alignment horizontal="center" vertical="center" wrapText="1"/>
    </xf>
    <xf numFmtId="49" fontId="2" fillId="0" borderId="74" xfId="4" applyNumberFormat="1" applyFont="1" applyBorder="1" applyAlignment="1">
      <alignment horizontal="center" vertical="center" wrapText="1"/>
    </xf>
    <xf numFmtId="49" fontId="27" fillId="10" borderId="74" xfId="4" applyNumberFormat="1" applyFont="1" applyFill="1" applyBorder="1" applyAlignment="1">
      <alignment horizontal="center" vertical="center" wrapText="1"/>
    </xf>
    <xf numFmtId="0" fontId="8" fillId="0" borderId="74" xfId="0" applyFont="1" applyBorder="1" applyAlignment="1">
      <alignment horizontal="center" vertical="center" wrapText="1"/>
    </xf>
    <xf numFmtId="0" fontId="20" fillId="10" borderId="81" xfId="7" applyFont="1" applyFill="1" applyBorder="1" applyAlignment="1" applyProtection="1">
      <alignment horizontal="center" vertical="center" wrapText="1"/>
      <protection hidden="1"/>
    </xf>
    <xf numFmtId="0" fontId="8" fillId="13" borderId="49" xfId="11" applyFont="1" applyFill="1" applyBorder="1" applyAlignment="1">
      <alignment wrapText="1"/>
    </xf>
    <xf numFmtId="0" fontId="8" fillId="13" borderId="49" xfId="11" applyFont="1" applyFill="1" applyBorder="1"/>
    <xf numFmtId="0" fontId="8" fillId="25" borderId="49" xfId="11" applyFont="1" applyFill="1" applyBorder="1"/>
    <xf numFmtId="0" fontId="8" fillId="45" borderId="49" xfId="11" applyFont="1" applyFill="1" applyBorder="1"/>
    <xf numFmtId="0" fontId="32" fillId="0" borderId="14" xfId="5" applyFont="1" applyBorder="1" applyAlignment="1">
      <alignment horizontal="left" vertical="center" wrapText="1"/>
    </xf>
    <xf numFmtId="167" fontId="136" fillId="7" borderId="36" xfId="3" applyNumberFormat="1" applyFont="1" applyFill="1" applyBorder="1" applyAlignment="1">
      <alignment horizontal="center" vertical="center" wrapText="1"/>
    </xf>
    <xf numFmtId="0" fontId="8" fillId="0" borderId="0" xfId="6" applyFont="1" applyAlignment="1">
      <alignment horizontal="center" vertical="center"/>
    </xf>
    <xf numFmtId="0" fontId="32" fillId="0" borderId="0" xfId="5" applyFont="1" applyAlignment="1">
      <alignment horizontal="left" vertical="center" wrapText="1"/>
    </xf>
    <xf numFmtId="167" fontId="8" fillId="0" borderId="0" xfId="12" applyNumberFormat="1" applyFont="1" applyFill="1" applyBorder="1" applyAlignment="1" applyProtection="1">
      <alignment horizontal="center" vertical="center"/>
    </xf>
    <xf numFmtId="167" fontId="136" fillId="0" borderId="0" xfId="3" applyNumberFormat="1" applyFont="1" applyAlignment="1">
      <alignment horizontal="center" vertical="center" wrapText="1"/>
    </xf>
    <xf numFmtId="0" fontId="35" fillId="0" borderId="0" xfId="5" applyFont="1" applyAlignment="1">
      <alignment vertical="center"/>
    </xf>
    <xf numFmtId="0" fontId="8" fillId="0" borderId="141" xfId="6" applyFont="1" applyBorder="1" applyAlignment="1">
      <alignment horizontal="center" vertical="center"/>
    </xf>
    <xf numFmtId="0" fontId="32" fillId="0" borderId="49" xfId="5" applyFont="1" applyBorder="1" applyAlignment="1">
      <alignment horizontal="left" vertical="center" wrapText="1"/>
    </xf>
    <xf numFmtId="0" fontId="8" fillId="0" borderId="36" xfId="5" applyBorder="1" applyAlignment="1">
      <alignment vertical="center"/>
    </xf>
    <xf numFmtId="49" fontId="8" fillId="0" borderId="36" xfId="3" applyNumberFormat="1" applyFont="1" applyBorder="1" applyAlignment="1" applyProtection="1">
      <alignment horizontal="center" vertical="center" wrapText="1"/>
      <protection hidden="1"/>
    </xf>
    <xf numFmtId="0" fontId="8" fillId="0" borderId="36" xfId="6" applyFont="1" applyBorder="1" applyAlignment="1">
      <alignment horizontal="center" vertical="center" wrapText="1"/>
    </xf>
    <xf numFmtId="0" fontId="8" fillId="0" borderId="36" xfId="6" quotePrefix="1" applyFont="1" applyBorder="1" applyAlignment="1">
      <alignment horizontal="center" vertical="center" wrapText="1"/>
    </xf>
    <xf numFmtId="49" fontId="2" fillId="0" borderId="18" xfId="4" applyNumberFormat="1" applyFont="1" applyBorder="1" applyAlignment="1">
      <alignment horizontal="center" vertical="center" wrapText="1"/>
    </xf>
    <xf numFmtId="0" fontId="8" fillId="0" borderId="18" xfId="0" applyFont="1" applyBorder="1" applyAlignment="1">
      <alignment horizontal="center" vertical="center" wrapText="1"/>
    </xf>
    <xf numFmtId="0" fontId="0" fillId="0" borderId="14" xfId="0" applyBorder="1" applyAlignment="1">
      <alignment vertical="center"/>
    </xf>
    <xf numFmtId="0" fontId="0" fillId="0" borderId="27" xfId="0" applyBorder="1"/>
    <xf numFmtId="0" fontId="8" fillId="0" borderId="0" xfId="23" applyAlignment="1">
      <alignment horizontal="center" vertical="center" wrapText="1"/>
    </xf>
    <xf numFmtId="0" fontId="11" fillId="35" borderId="14" xfId="0" applyFont="1" applyFill="1" applyBorder="1" applyAlignment="1">
      <alignment wrapText="1"/>
    </xf>
    <xf numFmtId="167" fontId="11" fillId="4" borderId="14" xfId="3" applyNumberFormat="1" applyFont="1" applyFill="1" applyBorder="1" applyAlignment="1">
      <alignment vertical="center" wrapText="1"/>
    </xf>
    <xf numFmtId="0" fontId="11" fillId="35" borderId="26" xfId="0" applyFont="1" applyFill="1" applyBorder="1" applyAlignment="1">
      <alignment wrapText="1"/>
    </xf>
    <xf numFmtId="0" fontId="11" fillId="0" borderId="143" xfId="0" applyFont="1" applyBorder="1"/>
    <xf numFmtId="0" fontId="8" fillId="0" borderId="144" xfId="0" applyFont="1" applyBorder="1" applyAlignment="1">
      <alignment vertical="center"/>
    </xf>
    <xf numFmtId="0" fontId="8" fillId="0" borderId="20" xfId="0" applyFont="1" applyBorder="1" applyAlignment="1">
      <alignment vertical="center"/>
    </xf>
    <xf numFmtId="0" fontId="8" fillId="0" borderId="145" xfId="0" applyFont="1" applyBorder="1" applyAlignment="1">
      <alignment vertical="center"/>
    </xf>
    <xf numFmtId="0" fontId="8" fillId="0" borderId="145" xfId="0" applyFont="1" applyBorder="1" applyAlignment="1">
      <alignment vertical="center" wrapText="1"/>
    </xf>
    <xf numFmtId="0" fontId="8" fillId="0" borderId="140" xfId="0" applyFont="1" applyBorder="1" applyAlignment="1">
      <alignment vertical="center"/>
    </xf>
    <xf numFmtId="0" fontId="11" fillId="0" borderId="20" xfId="0" applyFont="1" applyBorder="1"/>
    <xf numFmtId="0" fontId="11" fillId="0" borderId="140" xfId="0" applyFont="1" applyBorder="1"/>
    <xf numFmtId="0" fontId="11" fillId="0" borderId="145" xfId="0" applyFont="1" applyBorder="1"/>
    <xf numFmtId="0" fontId="8" fillId="0" borderId="145" xfId="0" applyFont="1" applyBorder="1" applyAlignment="1">
      <alignment horizontal="left" vertical="center" wrapText="1"/>
    </xf>
    <xf numFmtId="0" fontId="6" fillId="0" borderId="1" xfId="2" applyFont="1" applyBorder="1" applyAlignment="1">
      <alignment vertical="center"/>
    </xf>
    <xf numFmtId="0" fontId="6" fillId="0" borderId="2" xfId="2" applyFont="1" applyBorder="1" applyAlignment="1">
      <alignment vertical="center"/>
    </xf>
    <xf numFmtId="167" fontId="11" fillId="20" borderId="147" xfId="3" applyNumberFormat="1" applyFont="1" applyFill="1" applyBorder="1" applyAlignment="1">
      <alignment vertical="center" wrapText="1"/>
    </xf>
    <xf numFmtId="0" fontId="66" fillId="20" borderId="14" xfId="14" applyFont="1" applyFill="1" applyBorder="1" applyAlignment="1">
      <alignment vertical="center"/>
    </xf>
    <xf numFmtId="0" fontId="17" fillId="0" borderId="14" xfId="0" quotePrefix="1" applyFont="1" applyBorder="1" applyAlignment="1">
      <alignment horizontal="center" vertical="center"/>
    </xf>
    <xf numFmtId="0" fontId="8" fillId="0" borderId="14" xfId="14" applyFont="1" applyBorder="1" applyAlignment="1">
      <alignment horizontal="center" vertical="center" wrapText="1"/>
    </xf>
    <xf numFmtId="0" fontId="8" fillId="0" borderId="14" xfId="14" applyFont="1" applyBorder="1" applyAlignment="1">
      <alignment horizontal="center" vertical="center"/>
    </xf>
    <xf numFmtId="2" fontId="6" fillId="3" borderId="148" xfId="5" applyNumberFormat="1" applyFont="1" applyFill="1" applyBorder="1" applyAlignment="1">
      <alignment horizontal="center" vertical="center" wrapText="1"/>
    </xf>
    <xf numFmtId="2" fontId="11" fillId="3" borderId="16" xfId="5" applyNumberFormat="1" applyFont="1" applyFill="1" applyBorder="1" applyAlignment="1">
      <alignment horizontal="center" vertical="center" wrapText="1"/>
    </xf>
    <xf numFmtId="0" fontId="35" fillId="0" borderId="36" xfId="5" applyFont="1" applyBorder="1" applyAlignment="1">
      <alignment vertical="center"/>
    </xf>
    <xf numFmtId="0" fontId="8" fillId="0" borderId="146" xfId="6" applyFont="1" applyBorder="1" applyAlignment="1">
      <alignment horizontal="center" vertical="center"/>
    </xf>
    <xf numFmtId="0" fontId="8" fillId="0" borderId="146" xfId="6" applyFont="1" applyBorder="1" applyAlignment="1">
      <alignment horizontal="center" vertical="center" wrapText="1"/>
    </xf>
    <xf numFmtId="0" fontId="8" fillId="0" borderId="149" xfId="6" applyFont="1" applyBorder="1" applyAlignment="1">
      <alignment horizontal="center" vertical="center"/>
    </xf>
    <xf numFmtId="0" fontId="8" fillId="0" borderId="146" xfId="6" applyFont="1" applyBorder="1" applyAlignment="1">
      <alignment horizontal="left" vertical="center" wrapText="1"/>
    </xf>
    <xf numFmtId="3" fontId="8" fillId="0" borderId="146" xfId="3" applyNumberFormat="1" applyFont="1" applyBorder="1" applyAlignment="1">
      <alignment horizontal="center" vertical="center"/>
    </xf>
    <xf numFmtId="167" fontId="8" fillId="15" borderId="146" xfId="12" applyNumberFormat="1" applyFont="1" applyFill="1" applyBorder="1" applyAlignment="1" applyProtection="1">
      <alignment horizontal="center" vertical="center"/>
    </xf>
    <xf numFmtId="167" fontId="136" fillId="7" borderId="146" xfId="3" applyNumberFormat="1" applyFont="1" applyFill="1" applyBorder="1" applyAlignment="1">
      <alignment horizontal="center" vertical="center" wrapText="1"/>
    </xf>
    <xf numFmtId="0" fontId="35" fillId="0" borderId="146" xfId="5" applyFont="1" applyBorder="1" applyAlignment="1">
      <alignment vertical="center"/>
    </xf>
    <xf numFmtId="0" fontId="17" fillId="0" borderId="40" xfId="3" applyFont="1" applyBorder="1" applyAlignment="1">
      <alignment vertical="center" wrapText="1"/>
    </xf>
    <xf numFmtId="49" fontId="17" fillId="0" borderId="40" xfId="3" applyNumberFormat="1" applyFont="1" applyBorder="1" applyAlignment="1">
      <alignment horizontal="center" vertical="center"/>
    </xf>
    <xf numFmtId="49" fontId="6" fillId="4" borderId="150" xfId="5" applyNumberFormat="1" applyFont="1" applyFill="1" applyBorder="1" applyAlignment="1">
      <alignment horizontal="center" vertical="center" wrapText="1"/>
    </xf>
    <xf numFmtId="49" fontId="6" fillId="4" borderId="40" xfId="5" applyNumberFormat="1" applyFont="1" applyFill="1" applyBorder="1" applyAlignment="1">
      <alignment horizontal="center" vertical="center" wrapText="1"/>
    </xf>
    <xf numFmtId="2" fontId="11" fillId="3" borderId="151" xfId="6" applyNumberFormat="1" applyFont="1" applyFill="1" applyBorder="1" applyAlignment="1">
      <alignment horizontal="center" vertical="center" wrapText="1"/>
    </xf>
    <xf numFmtId="49" fontId="8" fillId="0" borderId="39" xfId="3" applyNumberFormat="1" applyFont="1" applyBorder="1" applyAlignment="1" applyProtection="1">
      <alignment horizontal="center" vertical="center"/>
      <protection hidden="1"/>
    </xf>
    <xf numFmtId="49" fontId="8" fillId="0" borderId="39" xfId="3" applyNumberFormat="1" applyFont="1" applyBorder="1" applyAlignment="1" applyProtection="1">
      <alignment horizontal="center" vertical="center" wrapText="1"/>
      <protection hidden="1"/>
    </xf>
    <xf numFmtId="0" fontId="8" fillId="0" borderId="39" xfId="6" applyFont="1" applyBorder="1" applyAlignment="1">
      <alignment horizontal="center" vertical="center"/>
    </xf>
    <xf numFmtId="0" fontId="8" fillId="0" borderId="39" xfId="6" applyFont="1" applyBorder="1" applyAlignment="1">
      <alignment horizontal="left" vertical="center" wrapText="1"/>
    </xf>
    <xf numFmtId="0" fontId="8" fillId="0" borderId="39" xfId="6" applyFont="1" applyBorder="1" applyAlignment="1">
      <alignment horizontal="center" vertical="center" wrapText="1"/>
    </xf>
    <xf numFmtId="3" fontId="8" fillId="0" borderId="39" xfId="3" applyNumberFormat="1" applyFont="1" applyBorder="1" applyAlignment="1">
      <alignment horizontal="center" vertical="center"/>
    </xf>
    <xf numFmtId="167" fontId="8" fillId="15" borderId="39" xfId="12" applyNumberFormat="1" applyFont="1" applyFill="1" applyBorder="1" applyAlignment="1" applyProtection="1">
      <alignment horizontal="center" vertical="center"/>
    </xf>
    <xf numFmtId="167" fontId="136" fillId="7" borderId="39" xfId="3" applyNumberFormat="1" applyFont="1" applyFill="1" applyBorder="1" applyAlignment="1">
      <alignment horizontal="center" vertical="center" wrapText="1"/>
    </xf>
    <xf numFmtId="0" fontId="35" fillId="0" borderId="39" xfId="5" applyFont="1" applyBorder="1" applyAlignment="1">
      <alignment vertical="center"/>
    </xf>
    <xf numFmtId="49" fontId="8" fillId="0" borderId="146" xfId="3" applyNumberFormat="1" applyFont="1" applyBorder="1" applyAlignment="1" applyProtection="1">
      <alignment horizontal="center" vertical="center" wrapText="1"/>
      <protection hidden="1"/>
    </xf>
    <xf numFmtId="167" fontId="11" fillId="4" borderId="26" xfId="3" applyNumberFormat="1" applyFont="1" applyFill="1" applyBorder="1" applyAlignment="1">
      <alignment vertical="center" wrapText="1"/>
    </xf>
    <xf numFmtId="49" fontId="6" fillId="4" borderId="14" xfId="5" applyNumberFormat="1" applyFont="1" applyFill="1" applyBorder="1" applyAlignment="1">
      <alignment horizontal="center" vertical="center" wrapText="1"/>
    </xf>
    <xf numFmtId="49" fontId="8" fillId="0" borderId="14" xfId="3" applyNumberFormat="1" applyFont="1" applyBorder="1" applyAlignment="1" applyProtection="1">
      <alignment horizontal="center" vertical="center"/>
      <protection hidden="1"/>
    </xf>
    <xf numFmtId="49" fontId="8" fillId="0" borderId="14" xfId="3" applyNumberFormat="1" applyFont="1" applyBorder="1" applyAlignment="1" applyProtection="1">
      <alignment horizontal="center" vertical="center" wrapText="1"/>
      <protection hidden="1"/>
    </xf>
    <xf numFmtId="0" fontId="8" fillId="0" borderId="14" xfId="6" applyFont="1" applyBorder="1" applyAlignment="1">
      <alignment horizontal="center" vertical="center"/>
    </xf>
    <xf numFmtId="0" fontId="8" fillId="0" borderId="14" xfId="6" applyFont="1" applyBorder="1" applyAlignment="1">
      <alignment horizontal="left" vertical="center" wrapText="1"/>
    </xf>
    <xf numFmtId="0" fontId="8" fillId="0" borderId="14" xfId="6" applyFont="1" applyBorder="1" applyAlignment="1">
      <alignment horizontal="center" vertical="center" wrapText="1"/>
    </xf>
    <xf numFmtId="167" fontId="8" fillId="15" borderId="14" xfId="12" applyNumberFormat="1" applyFont="1" applyFill="1" applyBorder="1" applyAlignment="1" applyProtection="1">
      <alignment horizontal="center" vertical="center"/>
    </xf>
    <xf numFmtId="0" fontId="35" fillId="0" borderId="14" xfId="5" applyFont="1" applyBorder="1" applyAlignment="1">
      <alignment vertical="center"/>
    </xf>
    <xf numFmtId="167" fontId="11" fillId="4" borderId="27" xfId="3" applyNumberFormat="1" applyFont="1" applyFill="1" applyBorder="1" applyAlignment="1">
      <alignment vertical="center" wrapText="1"/>
    </xf>
    <xf numFmtId="0" fontId="33" fillId="4" borderId="14" xfId="3" applyFont="1" applyFill="1" applyBorder="1" applyAlignment="1" applyProtection="1">
      <alignment horizontal="left" vertical="center" wrapText="1"/>
      <protection locked="0"/>
    </xf>
    <xf numFmtId="49" fontId="8" fillId="0" borderId="44" xfId="3" applyNumberFormat="1" applyFont="1" applyBorder="1" applyAlignment="1" applyProtection="1">
      <alignment horizontal="center" vertical="center"/>
      <protection hidden="1"/>
    </xf>
    <xf numFmtId="0" fontId="35" fillId="0" borderId="147" xfId="5" applyFont="1" applyBorder="1" applyAlignment="1">
      <alignment vertical="center"/>
    </xf>
    <xf numFmtId="49" fontId="8" fillId="0" borderId="146" xfId="3" applyNumberFormat="1" applyFont="1" applyBorder="1" applyAlignment="1" applyProtection="1">
      <alignment horizontal="center" vertical="center"/>
      <protection hidden="1"/>
    </xf>
    <xf numFmtId="0" fontId="8" fillId="0" borderId="44" xfId="6" applyFont="1" applyBorder="1" applyAlignment="1">
      <alignment horizontal="center" vertical="center"/>
    </xf>
    <xf numFmtId="0" fontId="33" fillId="4" borderId="26" xfId="3" applyFont="1" applyFill="1" applyBorder="1" applyAlignment="1" applyProtection="1">
      <alignment horizontal="left" vertical="center" wrapText="1"/>
      <protection locked="0"/>
    </xf>
    <xf numFmtId="0" fontId="11" fillId="35" borderId="53" xfId="0" applyFont="1" applyFill="1" applyBorder="1" applyAlignment="1">
      <alignment wrapText="1"/>
    </xf>
    <xf numFmtId="0" fontId="33" fillId="35" borderId="52" xfId="0" applyFont="1" applyFill="1" applyBorder="1" applyAlignment="1">
      <alignment wrapText="1"/>
    </xf>
    <xf numFmtId="0" fontId="11" fillId="36" borderId="28" xfId="0" applyFont="1" applyFill="1" applyBorder="1" applyAlignment="1">
      <alignment wrapText="1"/>
    </xf>
    <xf numFmtId="0" fontId="11" fillId="36" borderId="51" xfId="0" applyFont="1" applyFill="1" applyBorder="1" applyAlignment="1">
      <alignment wrapText="1"/>
    </xf>
    <xf numFmtId="0" fontId="11" fillId="36" borderId="51" xfId="0" applyFont="1" applyFill="1" applyBorder="1" applyAlignment="1">
      <alignment vertical="center" wrapText="1"/>
    </xf>
    <xf numFmtId="0" fontId="37" fillId="36" borderId="51" xfId="0" applyFont="1" applyFill="1" applyBorder="1" applyAlignment="1">
      <alignment wrapText="1"/>
    </xf>
    <xf numFmtId="0" fontId="37" fillId="36" borderId="49" xfId="0" applyFont="1" applyFill="1" applyBorder="1" applyAlignment="1">
      <alignment wrapText="1"/>
    </xf>
    <xf numFmtId="49" fontId="6" fillId="4" borderId="49" xfId="5" applyNumberFormat="1" applyFont="1" applyFill="1" applyBorder="1" applyAlignment="1">
      <alignment horizontal="center" vertical="center" wrapText="1"/>
    </xf>
    <xf numFmtId="0" fontId="8" fillId="0" borderId="38" xfId="6" applyFont="1" applyBorder="1" applyAlignment="1">
      <alignment horizontal="center" vertical="center" wrapText="1"/>
    </xf>
    <xf numFmtId="0" fontId="8" fillId="0" borderId="38" xfId="6" applyFont="1" applyBorder="1" applyAlignment="1">
      <alignment horizontal="center" vertical="center"/>
    </xf>
    <xf numFmtId="0" fontId="11" fillId="0" borderId="38" xfId="5" applyFont="1" applyBorder="1" applyAlignment="1">
      <alignment horizontal="center" vertical="center"/>
    </xf>
    <xf numFmtId="0" fontId="35" fillId="0" borderId="39" xfId="5" applyFont="1" applyBorder="1" applyAlignment="1">
      <alignment vertical="center" wrapText="1"/>
    </xf>
    <xf numFmtId="0" fontId="8" fillId="17" borderId="14" xfId="5" applyFill="1" applyBorder="1"/>
    <xf numFmtId="49" fontId="8" fillId="0" borderId="39" xfId="3" applyNumberFormat="1" applyFont="1" applyBorder="1" applyAlignment="1" applyProtection="1">
      <alignment horizontal="left" vertical="center" wrapText="1"/>
      <protection hidden="1"/>
    </xf>
    <xf numFmtId="167" fontId="127" fillId="17" borderId="14" xfId="3" applyNumberFormat="1" applyFont="1" applyFill="1" applyBorder="1" applyAlignment="1">
      <alignment horizontal="center" vertical="center" wrapText="1"/>
    </xf>
    <xf numFmtId="2" fontId="11" fillId="3" borderId="16" xfId="3" applyNumberFormat="1" applyFont="1" applyFill="1" applyBorder="1" applyAlignment="1" applyProtection="1">
      <alignment horizontal="center" vertical="center" wrapText="1"/>
      <protection locked="0"/>
    </xf>
    <xf numFmtId="0" fontId="33" fillId="35" borderId="26" xfId="0" applyFont="1" applyFill="1" applyBorder="1" applyAlignment="1">
      <alignment wrapText="1"/>
    </xf>
    <xf numFmtId="0" fontId="11" fillId="36" borderId="51" xfId="0" applyFont="1" applyFill="1" applyBorder="1" applyAlignment="1">
      <alignment horizontal="center" wrapText="1"/>
    </xf>
    <xf numFmtId="0" fontId="7" fillId="0" borderId="14" xfId="0" applyFont="1" applyBorder="1" applyAlignment="1">
      <alignment vertical="center" wrapText="1"/>
    </xf>
    <xf numFmtId="0" fontId="25" fillId="0" borderId="28" xfId="14" applyFont="1" applyBorder="1" applyAlignment="1">
      <alignment horizontal="center" vertical="center" wrapText="1"/>
    </xf>
    <xf numFmtId="0" fontId="17" fillId="0" borderId="0" xfId="3" applyFont="1" applyAlignment="1">
      <alignment horizontal="center" vertical="center" wrapText="1"/>
    </xf>
    <xf numFmtId="0" fontId="11" fillId="36" borderId="28" xfId="0" applyFont="1" applyFill="1" applyBorder="1" applyAlignment="1">
      <alignment vertical="center" wrapText="1"/>
    </xf>
    <xf numFmtId="0" fontId="11" fillId="36" borderId="51" xfId="0" applyFont="1" applyFill="1" applyBorder="1" applyAlignment="1">
      <alignment horizontal="center" vertical="center" wrapText="1"/>
    </xf>
    <xf numFmtId="0" fontId="37" fillId="36" borderId="51" xfId="0" applyFont="1" applyFill="1" applyBorder="1" applyAlignment="1">
      <alignment vertical="center" wrapText="1"/>
    </xf>
    <xf numFmtId="0" fontId="37" fillId="36" borderId="49" xfId="0" applyFont="1" applyFill="1" applyBorder="1" applyAlignment="1">
      <alignment vertical="center" wrapText="1"/>
    </xf>
    <xf numFmtId="0" fontId="11" fillId="36" borderId="28" xfId="0" applyFont="1" applyFill="1" applyBorder="1" applyAlignment="1">
      <alignment horizontal="center" vertical="center" wrapText="1"/>
    </xf>
    <xf numFmtId="0" fontId="37" fillId="36" borderId="51" xfId="0" applyFont="1" applyFill="1" applyBorder="1" applyAlignment="1">
      <alignment horizontal="center" vertical="center" wrapText="1"/>
    </xf>
    <xf numFmtId="0" fontId="37" fillId="36" borderId="49" xfId="0" applyFont="1" applyFill="1" applyBorder="1" applyAlignment="1">
      <alignment horizontal="center" vertical="center" wrapText="1"/>
    </xf>
    <xf numFmtId="0" fontId="11" fillId="36" borderId="51" xfId="0" applyFont="1" applyFill="1" applyBorder="1" applyAlignment="1">
      <alignment horizontal="left" vertical="center" wrapText="1"/>
    </xf>
    <xf numFmtId="49" fontId="130" fillId="0" borderId="39" xfId="3" applyNumberFormat="1" applyFont="1" applyBorder="1" applyAlignment="1" applyProtection="1">
      <alignment horizontal="left" vertical="center" wrapText="1"/>
      <protection hidden="1"/>
    </xf>
    <xf numFmtId="0" fontId="35" fillId="14" borderId="39" xfId="5" applyFont="1" applyFill="1" applyBorder="1" applyAlignment="1">
      <alignment vertical="center" wrapText="1"/>
    </xf>
    <xf numFmtId="0" fontId="35" fillId="46" borderId="39" xfId="5" applyFont="1" applyFill="1" applyBorder="1" applyAlignment="1">
      <alignment vertical="center" wrapText="1"/>
    </xf>
    <xf numFmtId="49" fontId="8" fillId="0" borderId="40" xfId="3" applyNumberFormat="1" applyFont="1" applyBorder="1" applyAlignment="1" applyProtection="1">
      <alignment horizontal="center" vertical="center"/>
      <protection hidden="1"/>
    </xf>
    <xf numFmtId="0" fontId="35" fillId="0" borderId="38" xfId="5" applyFont="1" applyBorder="1" applyAlignment="1">
      <alignment vertical="center" wrapText="1"/>
    </xf>
    <xf numFmtId="49" fontId="130" fillId="0" borderId="36" xfId="3" applyNumberFormat="1" applyFont="1" applyBorder="1" applyAlignment="1" applyProtection="1">
      <alignment horizontal="center" vertical="center" wrapText="1"/>
      <protection hidden="1"/>
    </xf>
    <xf numFmtId="0" fontId="75" fillId="13" borderId="49" xfId="11" applyFont="1" applyFill="1" applyBorder="1"/>
    <xf numFmtId="0" fontId="57" fillId="5" borderId="14" xfId="14" applyFont="1" applyFill="1" applyBorder="1" applyAlignment="1">
      <alignment horizontal="left" vertical="center" wrapText="1"/>
    </xf>
    <xf numFmtId="0" fontId="57" fillId="5" borderId="29" xfId="14" applyFont="1" applyFill="1" applyBorder="1" applyAlignment="1">
      <alignment horizontal="left" vertical="center" wrapText="1"/>
    </xf>
    <xf numFmtId="0" fontId="33" fillId="35" borderId="14" xfId="0" applyFont="1" applyFill="1" applyBorder="1" applyAlignment="1">
      <alignment wrapText="1"/>
    </xf>
    <xf numFmtId="0" fontId="8" fillId="0" borderId="110" xfId="14" applyFont="1" applyBorder="1" applyAlignment="1">
      <alignment vertical="center"/>
    </xf>
    <xf numFmtId="0" fontId="8" fillId="0" borderId="49" xfId="14" applyFont="1" applyBorder="1" applyAlignment="1">
      <alignment horizontal="left" vertical="center" wrapText="1"/>
    </xf>
    <xf numFmtId="4" fontId="8" fillId="0" borderId="14" xfId="15" applyNumberFormat="1" applyFont="1" applyFill="1" applyBorder="1" applyAlignment="1" applyProtection="1">
      <alignment vertical="center"/>
    </xf>
    <xf numFmtId="4" fontId="7" fillId="27" borderId="14" xfId="0" applyNumberFormat="1" applyFont="1" applyFill="1" applyBorder="1" applyAlignment="1" applyProtection="1">
      <alignment vertical="center"/>
      <protection locked="0"/>
    </xf>
    <xf numFmtId="4" fontId="7" fillId="0" borderId="14" xfId="0" applyNumberFormat="1" applyFont="1" applyBorder="1" applyAlignment="1">
      <alignment vertical="center"/>
    </xf>
    <xf numFmtId="0" fontId="7" fillId="27" borderId="14" xfId="0" applyFont="1" applyFill="1" applyBorder="1" applyAlignment="1" applyProtection="1">
      <alignment vertical="center" wrapText="1"/>
      <protection locked="0"/>
    </xf>
    <xf numFmtId="172" fontId="8" fillId="0" borderId="14" xfId="15" applyNumberFormat="1" applyFont="1" applyFill="1" applyBorder="1" applyAlignment="1" applyProtection="1">
      <alignment horizontal="center" vertical="center"/>
    </xf>
    <xf numFmtId="0" fontId="8" fillId="0" borderId="0" xfId="14" applyFont="1" applyAlignment="1">
      <alignment vertical="center"/>
    </xf>
    <xf numFmtId="0" fontId="8" fillId="0" borderId="14" xfId="14" applyFont="1" applyBorder="1" applyAlignment="1">
      <alignment horizontal="left" vertical="center" wrapText="1"/>
    </xf>
    <xf numFmtId="0" fontId="8" fillId="0" borderId="110" xfId="14" applyFont="1" applyBorder="1" applyAlignment="1">
      <alignment horizontal="left" vertical="center" wrapText="1"/>
    </xf>
    <xf numFmtId="0" fontId="7" fillId="0" borderId="28" xfId="0" applyFont="1" applyBorder="1" applyAlignment="1">
      <alignment horizontal="left" vertical="center" wrapText="1"/>
    </xf>
    <xf numFmtId="4" fontId="8" fillId="0" borderId="14" xfId="15" applyNumberFormat="1" applyFont="1" applyBorder="1" applyAlignment="1">
      <alignment vertical="center"/>
    </xf>
    <xf numFmtId="172" fontId="8" fillId="0" borderId="14" xfId="15" applyNumberFormat="1" applyFont="1" applyBorder="1" applyAlignment="1">
      <alignment horizontal="center" vertical="center"/>
    </xf>
    <xf numFmtId="0" fontId="75" fillId="0" borderId="110" xfId="14" applyFont="1" applyBorder="1" applyAlignment="1">
      <alignment vertical="center"/>
    </xf>
    <xf numFmtId="0" fontId="75" fillId="0" borderId="0" xfId="14" applyFont="1" applyAlignment="1">
      <alignment vertical="center"/>
    </xf>
    <xf numFmtId="0" fontId="75" fillId="0" borderId="110" xfId="14" applyFont="1" applyBorder="1" applyAlignment="1">
      <alignment horizontal="center" vertical="center"/>
    </xf>
    <xf numFmtId="0" fontId="75" fillId="0" borderId="0" xfId="14" applyFont="1" applyAlignment="1">
      <alignment horizontal="center" vertical="center"/>
    </xf>
    <xf numFmtId="0" fontId="7" fillId="0" borderId="29" xfId="0" applyFont="1" applyBorder="1" applyAlignment="1">
      <alignment horizontal="left" vertical="center" wrapText="1"/>
    </xf>
    <xf numFmtId="0" fontId="8" fillId="0" borderId="110" xfId="14" applyFont="1" applyBorder="1" applyAlignment="1">
      <alignment horizontal="center" vertical="center" wrapText="1"/>
    </xf>
    <xf numFmtId="0" fontId="8" fillId="0" borderId="28" xfId="14" applyFont="1" applyBorder="1" applyAlignment="1">
      <alignment horizontal="center" vertical="center"/>
    </xf>
    <xf numFmtId="2" fontId="11" fillId="3" borderId="14" xfId="6" applyNumberFormat="1" applyFont="1" applyFill="1" applyBorder="1" applyAlignment="1">
      <alignment horizontal="center" vertical="center" wrapText="1"/>
    </xf>
    <xf numFmtId="0" fontId="8" fillId="0" borderId="117" xfId="14" applyFont="1" applyBorder="1" applyAlignment="1">
      <alignment vertical="center"/>
    </xf>
    <xf numFmtId="0" fontId="8" fillId="0" borderId="52" xfId="14" applyFont="1" applyBorder="1" applyAlignment="1">
      <alignment horizontal="left" vertical="center" wrapText="1"/>
    </xf>
    <xf numFmtId="0" fontId="8" fillId="0" borderId="26" xfId="14" applyFont="1" applyBorder="1" applyAlignment="1">
      <alignment horizontal="center" vertical="center"/>
    </xf>
    <xf numFmtId="3" fontId="8" fillId="7" borderId="154" xfId="3" applyNumberFormat="1" applyFont="1" applyFill="1" applyBorder="1" applyAlignment="1">
      <alignment horizontal="center" vertical="center" wrapText="1"/>
    </xf>
    <xf numFmtId="0" fontId="8" fillId="0" borderId="26" xfId="14" applyFont="1" applyBorder="1" applyAlignment="1">
      <alignment horizontal="center" vertical="center" wrapText="1"/>
    </xf>
    <xf numFmtId="4" fontId="8" fillId="0" borderId="26" xfId="15" applyNumberFormat="1" applyFont="1" applyFill="1" applyBorder="1" applyAlignment="1" applyProtection="1">
      <alignment vertical="center"/>
    </xf>
    <xf numFmtId="4" fontId="7" fillId="27" borderId="26" xfId="0" applyNumberFormat="1" applyFont="1" applyFill="1" applyBorder="1" applyAlignment="1" applyProtection="1">
      <alignment vertical="center"/>
      <protection locked="0"/>
    </xf>
    <xf numFmtId="4" fontId="7" fillId="0" borderId="26" xfId="0" applyNumberFormat="1" applyFont="1" applyBorder="1" applyAlignment="1">
      <alignment vertical="center"/>
    </xf>
    <xf numFmtId="0" fontId="7" fillId="27" borderId="26" xfId="0" applyFont="1" applyFill="1" applyBorder="1" applyAlignment="1" applyProtection="1">
      <alignment vertical="center" wrapText="1"/>
      <protection locked="0"/>
    </xf>
    <xf numFmtId="172" fontId="8" fillId="0" borderId="26" xfId="15" applyNumberFormat="1" applyFont="1" applyFill="1" applyBorder="1" applyAlignment="1" applyProtection="1">
      <alignment horizontal="center" vertical="center"/>
    </xf>
    <xf numFmtId="167" fontId="11" fillId="0" borderId="14" xfId="3" applyNumberFormat="1" applyFont="1" applyBorder="1" applyAlignment="1">
      <alignment vertical="center" wrapText="1"/>
    </xf>
    <xf numFmtId="0" fontId="6" fillId="0" borderId="40" xfId="0" applyFont="1" applyBorder="1" applyAlignment="1">
      <alignment textRotation="90" wrapText="1"/>
    </xf>
    <xf numFmtId="0" fontId="6" fillId="0" borderId="113" xfId="0" applyFont="1" applyBorder="1" applyAlignment="1">
      <alignment textRotation="90" wrapText="1"/>
    </xf>
    <xf numFmtId="0" fontId="6" fillId="0" borderId="49" xfId="0" applyFont="1" applyBorder="1" applyAlignment="1">
      <alignment textRotation="90" wrapText="1"/>
    </xf>
    <xf numFmtId="0" fontId="6" fillId="0" borderId="0" xfId="0" applyFont="1" applyAlignment="1">
      <alignment vertical="center"/>
    </xf>
    <xf numFmtId="0" fontId="8" fillId="0" borderId="49" xfId="14" applyFont="1" applyBorder="1" applyAlignment="1">
      <alignment horizontal="center" vertical="center" wrapText="1"/>
    </xf>
    <xf numFmtId="0" fontId="7" fillId="0" borderId="28" xfId="0" applyFont="1" applyBorder="1" applyAlignment="1">
      <alignment vertical="center" wrapText="1"/>
    </xf>
    <xf numFmtId="0" fontId="7" fillId="0" borderId="14" xfId="0" applyFont="1" applyBorder="1" applyAlignment="1">
      <alignment horizontal="center" vertical="center" wrapText="1"/>
    </xf>
    <xf numFmtId="0" fontId="7" fillId="7" borderId="0" xfId="0" applyFont="1" applyFill="1" applyAlignment="1">
      <alignment vertical="center"/>
    </xf>
    <xf numFmtId="0" fontId="7" fillId="0" borderId="120" xfId="0" applyFont="1" applyBorder="1" applyAlignment="1">
      <alignment vertical="center" wrapText="1"/>
    </xf>
    <xf numFmtId="0" fontId="7" fillId="0" borderId="51" xfId="0" applyFont="1" applyBorder="1" applyAlignment="1">
      <alignment vertical="center" wrapText="1"/>
    </xf>
    <xf numFmtId="0" fontId="6" fillId="7" borderId="0" xfId="0" applyFont="1" applyFill="1" applyAlignment="1">
      <alignment vertical="center"/>
    </xf>
    <xf numFmtId="0" fontId="5" fillId="0" borderId="0" xfId="0" applyFont="1" applyAlignment="1">
      <alignment vertical="center"/>
    </xf>
    <xf numFmtId="0" fontId="7" fillId="0" borderId="110" xfId="0" applyFont="1" applyBorder="1" applyAlignment="1">
      <alignment vertical="center" wrapText="1"/>
    </xf>
    <xf numFmtId="0" fontId="139" fillId="0" borderId="121" xfId="0" applyFont="1" applyBorder="1" applyAlignment="1">
      <alignment vertical="center" wrapText="1"/>
    </xf>
    <xf numFmtId="0" fontId="5" fillId="7" borderId="110" xfId="0" applyFont="1" applyFill="1" applyBorder="1" applyAlignment="1">
      <alignment vertical="center"/>
    </xf>
    <xf numFmtId="0" fontId="5" fillId="7" borderId="0" xfId="0" applyFont="1" applyFill="1" applyAlignment="1">
      <alignment vertical="center"/>
    </xf>
    <xf numFmtId="0" fontId="17" fillId="0" borderId="0" xfId="0" applyFont="1" applyAlignment="1">
      <alignment vertical="center"/>
    </xf>
    <xf numFmtId="1" fontId="7" fillId="0" borderId="14" xfId="0" applyNumberFormat="1" applyFont="1" applyBorder="1" applyAlignment="1">
      <alignment horizontal="center" vertical="center" wrapText="1"/>
    </xf>
    <xf numFmtId="0" fontId="7" fillId="0" borderId="28" xfId="0" applyFont="1" applyBorder="1" applyAlignment="1">
      <alignment vertical="top" wrapText="1"/>
    </xf>
    <xf numFmtId="0" fontId="143" fillId="0" borderId="28" xfId="0" applyFont="1" applyBorder="1" applyAlignment="1">
      <alignment vertical="center" wrapText="1"/>
    </xf>
    <xf numFmtId="0" fontId="6" fillId="7" borderId="28" xfId="0" applyFont="1" applyFill="1" applyBorder="1" applyAlignment="1">
      <alignment vertical="center"/>
    </xf>
    <xf numFmtId="0" fontId="17" fillId="7" borderId="0" xfId="0" applyFont="1" applyFill="1" applyAlignment="1">
      <alignment vertical="center"/>
    </xf>
    <xf numFmtId="0" fontId="8" fillId="0" borderId="53" xfId="14" applyFont="1" applyBorder="1" applyAlignment="1">
      <alignment horizontal="left" vertical="center" wrapText="1"/>
    </xf>
    <xf numFmtId="0" fontId="8" fillId="0" borderId="113" xfId="14" applyFont="1" applyBorder="1" applyAlignment="1">
      <alignment horizontal="left" vertical="center" wrapText="1"/>
    </xf>
    <xf numFmtId="49" fontId="7" fillId="0" borderId="14" xfId="0" applyNumberFormat="1" applyFont="1" applyBorder="1" applyAlignment="1">
      <alignment horizontal="center" vertical="center" wrapText="1"/>
    </xf>
    <xf numFmtId="0" fontId="7" fillId="0" borderId="49" xfId="0" applyFont="1" applyBorder="1" applyAlignment="1">
      <alignment horizontal="center" vertical="center" wrapText="1"/>
    </xf>
    <xf numFmtId="3" fontId="8" fillId="7" borderId="155" xfId="3" applyNumberFormat="1" applyFont="1" applyFill="1" applyBorder="1" applyAlignment="1">
      <alignment horizontal="center" vertical="center" wrapText="1"/>
    </xf>
    <xf numFmtId="0" fontId="7" fillId="0" borderId="27" xfId="0" applyFont="1" applyBorder="1" applyAlignment="1">
      <alignment horizontal="center" vertical="center" wrapText="1"/>
    </xf>
    <xf numFmtId="167" fontId="11" fillId="0" borderId="27" xfId="3" applyNumberFormat="1" applyFont="1" applyBorder="1" applyAlignment="1">
      <alignment vertical="center" wrapText="1"/>
    </xf>
    <xf numFmtId="0" fontId="7" fillId="0" borderId="26" xfId="0" applyFont="1" applyBorder="1" applyAlignment="1">
      <alignment horizontal="center" vertical="center" wrapText="1"/>
    </xf>
    <xf numFmtId="167" fontId="11" fillId="0" borderId="26" xfId="3" applyNumberFormat="1" applyFont="1" applyBorder="1" applyAlignment="1">
      <alignment vertical="center" wrapText="1"/>
    </xf>
    <xf numFmtId="0" fontId="11" fillId="0" borderId="38" xfId="0" applyFont="1" applyBorder="1"/>
    <xf numFmtId="0" fontId="8" fillId="0" borderId="27" xfId="14" applyFont="1" applyBorder="1" applyAlignment="1">
      <alignment horizontal="left" vertical="center" wrapText="1"/>
    </xf>
    <xf numFmtId="0" fontId="9" fillId="0" borderId="53" xfId="0" applyFont="1" applyBorder="1" applyAlignment="1">
      <alignment textRotation="90" wrapText="1"/>
    </xf>
    <xf numFmtId="0" fontId="6" fillId="0" borderId="52" xfId="0" applyFont="1" applyBorder="1" applyAlignment="1">
      <alignment textRotation="90" wrapText="1"/>
    </xf>
    <xf numFmtId="0" fontId="141" fillId="36" borderId="51" xfId="0" applyFont="1" applyFill="1" applyBorder="1" applyAlignment="1">
      <alignment vertical="center" wrapText="1"/>
    </xf>
    <xf numFmtId="0" fontId="141" fillId="36" borderId="49" xfId="0" applyFont="1" applyFill="1" applyBorder="1" applyAlignment="1">
      <alignment vertical="center" wrapText="1"/>
    </xf>
    <xf numFmtId="167" fontId="11" fillId="20" borderId="27" xfId="3" applyNumberFormat="1" applyFont="1" applyFill="1" applyBorder="1" applyAlignment="1">
      <alignment vertical="center" wrapText="1"/>
    </xf>
    <xf numFmtId="0" fontId="66" fillId="20" borderId="38" xfId="14" applyFont="1" applyFill="1" applyBorder="1" applyAlignment="1">
      <alignment vertical="center"/>
    </xf>
    <xf numFmtId="167" fontId="8" fillId="7" borderId="14" xfId="3" applyNumberFormat="1" applyFont="1" applyFill="1" applyBorder="1" applyAlignment="1">
      <alignment horizontal="center" vertical="center" wrapText="1"/>
    </xf>
    <xf numFmtId="167" fontId="8" fillId="7" borderId="14" xfId="3" applyNumberFormat="1" applyFont="1" applyFill="1" applyBorder="1" applyAlignment="1">
      <alignment horizontal="left" vertical="center" wrapText="1"/>
    </xf>
    <xf numFmtId="0" fontId="0" fillId="0" borderId="55" xfId="0" applyBorder="1"/>
    <xf numFmtId="0" fontId="56" fillId="0" borderId="55" xfId="14" applyFont="1" applyBorder="1" applyAlignment="1">
      <alignment horizontal="center" vertical="center" wrapText="1"/>
    </xf>
    <xf numFmtId="49" fontId="17" fillId="0" borderId="55" xfId="3" applyNumberFormat="1" applyFont="1" applyBorder="1" applyAlignment="1">
      <alignment horizontal="center" wrapText="1"/>
    </xf>
    <xf numFmtId="49" fontId="17" fillId="0" borderId="55" xfId="3" applyNumberFormat="1" applyFont="1" applyBorder="1" applyAlignment="1">
      <alignment horizontal="center"/>
    </xf>
    <xf numFmtId="0" fontId="17" fillId="0" borderId="55" xfId="3" applyFont="1" applyBorder="1" applyAlignment="1">
      <alignment vertical="center" wrapText="1"/>
    </xf>
    <xf numFmtId="0" fontId="19" fillId="0" borderId="55" xfId="3" applyFont="1" applyBorder="1" applyAlignment="1">
      <alignment horizontal="left" wrapText="1"/>
    </xf>
    <xf numFmtId="0" fontId="61" fillId="0" borderId="55" xfId="14" applyFont="1" applyBorder="1" applyAlignment="1">
      <alignment horizontal="center" vertical="center"/>
    </xf>
    <xf numFmtId="0" fontId="18" fillId="0" borderId="55" xfId="3" applyFont="1" applyBorder="1" applyAlignment="1">
      <alignment horizontal="center" vertical="center"/>
    </xf>
    <xf numFmtId="0" fontId="8" fillId="0" borderId="55" xfId="5" applyBorder="1"/>
    <xf numFmtId="49" fontId="17" fillId="0" borderId="55" xfId="3" applyNumberFormat="1" applyFont="1" applyBorder="1" applyAlignment="1">
      <alignment horizontal="center" vertical="center"/>
    </xf>
    <xf numFmtId="0" fontId="5" fillId="0" borderId="55" xfId="3" applyFont="1" applyBorder="1" applyAlignment="1">
      <alignment horizontal="center" vertical="center" wrapText="1"/>
    </xf>
    <xf numFmtId="49" fontId="18" fillId="0" borderId="55" xfId="3" applyNumberFormat="1" applyFont="1" applyBorder="1" applyAlignment="1">
      <alignment horizontal="center"/>
    </xf>
    <xf numFmtId="2" fontId="11" fillId="3" borderId="109" xfId="3" applyNumberFormat="1" applyFont="1" applyFill="1" applyBorder="1" applyAlignment="1">
      <alignment horizontal="center" vertical="center" wrapText="1"/>
    </xf>
    <xf numFmtId="49" fontId="4" fillId="2" borderId="0" xfId="3" applyNumberFormat="1" applyFont="1" applyFill="1" applyAlignment="1">
      <alignment horizontal="center" vertical="center"/>
    </xf>
    <xf numFmtId="0" fontId="0" fillId="41" borderId="0" xfId="0" applyFill="1" applyAlignment="1">
      <alignment vertical="center"/>
    </xf>
    <xf numFmtId="0" fontId="102" fillId="40" borderId="156" xfId="0" applyFont="1" applyFill="1" applyBorder="1" applyAlignment="1">
      <alignment horizontal="center" vertical="center"/>
    </xf>
    <xf numFmtId="2" fontId="17" fillId="18" borderId="0" xfId="3" applyNumberFormat="1" applyFont="1" applyFill="1" applyAlignment="1">
      <alignment horizontal="center" vertical="center"/>
    </xf>
    <xf numFmtId="2" fontId="17" fillId="18" borderId="32" xfId="3" applyNumberFormat="1" applyFont="1" applyFill="1" applyBorder="1" applyAlignment="1">
      <alignment horizontal="center" vertical="center"/>
    </xf>
    <xf numFmtId="2" fontId="11" fillId="3" borderId="109" xfId="3" applyNumberFormat="1" applyFont="1" applyFill="1" applyBorder="1" applyAlignment="1" applyProtection="1">
      <alignment horizontal="center" vertical="center" wrapText="1"/>
      <protection locked="0"/>
    </xf>
    <xf numFmtId="4" fontId="7" fillId="27" borderId="38" xfId="0" applyNumberFormat="1" applyFont="1" applyFill="1" applyBorder="1" applyAlignment="1" applyProtection="1">
      <alignment vertical="center"/>
      <protection locked="0"/>
    </xf>
    <xf numFmtId="4" fontId="7" fillId="0" borderId="38" xfId="0" applyNumberFormat="1" applyFont="1" applyBorder="1" applyAlignment="1">
      <alignment vertical="center"/>
    </xf>
    <xf numFmtId="0" fontId="7" fillId="27" borderId="38" xfId="0" applyFont="1" applyFill="1" applyBorder="1" applyAlignment="1" applyProtection="1">
      <alignment vertical="center" wrapText="1"/>
      <protection locked="0"/>
    </xf>
    <xf numFmtId="167" fontId="8" fillId="7" borderId="27" xfId="3" applyNumberFormat="1" applyFont="1" applyFill="1" applyBorder="1" applyAlignment="1">
      <alignment horizontal="left" vertical="center" wrapText="1"/>
    </xf>
    <xf numFmtId="0" fontId="146" fillId="23" borderId="14" xfId="14" applyFont="1" applyFill="1" applyBorder="1" applyAlignment="1">
      <alignment horizontal="center" vertical="center" wrapText="1"/>
    </xf>
    <xf numFmtId="0" fontId="138" fillId="0" borderId="0" xfId="14" applyFont="1" applyAlignment="1">
      <alignment vertical="center"/>
    </xf>
    <xf numFmtId="0" fontId="8" fillId="0" borderId="119" xfId="14" applyFont="1" applyBorder="1" applyAlignment="1">
      <alignment vertical="center"/>
    </xf>
    <xf numFmtId="0" fontId="8" fillId="0" borderId="110" xfId="14" applyFont="1" applyBorder="1" applyAlignment="1">
      <alignment horizontal="center" vertical="center"/>
    </xf>
    <xf numFmtId="0" fontId="25" fillId="0" borderId="0" xfId="14" applyFont="1" applyAlignment="1">
      <alignment vertical="center"/>
    </xf>
    <xf numFmtId="0" fontId="25" fillId="0" borderId="14" xfId="15" applyNumberFormat="1" applyFont="1" applyFill="1" applyBorder="1" applyAlignment="1" applyProtection="1">
      <alignment vertical="center"/>
      <protection locked="0"/>
    </xf>
    <xf numFmtId="0" fontId="8" fillId="0" borderId="51" xfId="14" applyFont="1" applyBorder="1" applyAlignment="1">
      <alignment horizontal="left" vertical="center" wrapText="1"/>
    </xf>
    <xf numFmtId="0" fontId="147" fillId="23" borderId="51" xfId="14" applyFont="1" applyFill="1" applyBorder="1" applyAlignment="1">
      <alignment vertical="center" wrapText="1"/>
    </xf>
    <xf numFmtId="0" fontId="147" fillId="23" borderId="49" xfId="14" applyFont="1" applyFill="1" applyBorder="1" applyAlignment="1">
      <alignment vertical="center" wrapText="1"/>
    </xf>
    <xf numFmtId="0" fontId="8" fillId="29" borderId="14" xfId="14" applyFont="1" applyFill="1" applyBorder="1" applyAlignment="1">
      <alignment horizontal="center" vertical="center" wrapText="1"/>
    </xf>
    <xf numFmtId="0" fontId="8" fillId="29" borderId="49" xfId="14" applyFont="1" applyFill="1" applyBorder="1" applyAlignment="1">
      <alignment horizontal="left" vertical="center" wrapText="1"/>
    </xf>
    <xf numFmtId="0" fontId="8" fillId="0" borderId="111" xfId="14" applyFont="1" applyBorder="1" applyAlignment="1">
      <alignment vertical="center"/>
    </xf>
    <xf numFmtId="0" fontId="8" fillId="0" borderId="50" xfId="14" applyFont="1" applyBorder="1" applyAlignment="1">
      <alignment horizontal="left" vertical="center" wrapText="1"/>
    </xf>
    <xf numFmtId="0" fontId="8" fillId="0" borderId="113" xfId="14" applyFont="1" applyBorder="1" applyAlignment="1">
      <alignment horizontal="center" vertical="center"/>
    </xf>
    <xf numFmtId="0" fontId="8" fillId="29" borderId="53" xfId="14" applyFont="1" applyFill="1" applyBorder="1" applyAlignment="1">
      <alignment horizontal="left" vertical="center" wrapText="1"/>
    </xf>
    <xf numFmtId="0" fontId="8" fillId="29" borderId="27" xfId="14" applyFont="1" applyFill="1" applyBorder="1" applyAlignment="1">
      <alignment horizontal="center" vertical="center" wrapText="1"/>
    </xf>
    <xf numFmtId="0" fontId="25" fillId="0" borderId="27" xfId="15" applyNumberFormat="1" applyFont="1" applyFill="1" applyBorder="1" applyAlignment="1" applyProtection="1">
      <alignment vertical="center"/>
      <protection locked="0"/>
    </xf>
    <xf numFmtId="0" fontId="33" fillId="0" borderId="112" xfId="14" applyFont="1" applyBorder="1" applyAlignment="1">
      <alignment vertical="center"/>
    </xf>
    <xf numFmtId="0" fontId="8" fillId="0" borderId="89" xfId="14" applyFont="1" applyBorder="1" applyAlignment="1">
      <alignment horizontal="center" vertical="center" wrapText="1"/>
    </xf>
    <xf numFmtId="0" fontId="33" fillId="0" borderId="117" xfId="14" applyFont="1" applyBorder="1" applyAlignment="1">
      <alignment vertical="center"/>
    </xf>
    <xf numFmtId="0" fontId="7" fillId="0" borderId="89" xfId="0" applyFont="1" applyBorder="1" applyAlignment="1">
      <alignment vertical="center" wrapText="1"/>
    </xf>
    <xf numFmtId="0" fontId="8" fillId="0" borderId="26" xfId="14" applyFont="1" applyBorder="1" applyAlignment="1">
      <alignment horizontal="left" vertical="center" wrapText="1"/>
    </xf>
    <xf numFmtId="0" fontId="33" fillId="0" borderId="119" xfId="14" applyFont="1" applyBorder="1" applyAlignment="1">
      <alignment vertical="center"/>
    </xf>
    <xf numFmtId="0" fontId="8" fillId="0" borderId="51" xfId="14" applyFont="1" applyBorder="1" applyAlignment="1">
      <alignment horizontal="center" vertical="center" wrapText="1"/>
    </xf>
    <xf numFmtId="0" fontId="33" fillId="0" borderId="110" xfId="14" applyFont="1" applyBorder="1" applyAlignment="1">
      <alignment vertical="center"/>
    </xf>
    <xf numFmtId="0" fontId="8" fillId="0" borderId="28" xfId="14" applyFont="1" applyBorder="1" applyAlignment="1">
      <alignment horizontal="center" vertical="center" wrapText="1"/>
    </xf>
    <xf numFmtId="0" fontId="25" fillId="0" borderId="0" xfId="14" applyFont="1" applyAlignment="1">
      <alignment horizontal="center" vertical="center"/>
    </xf>
    <xf numFmtId="2" fontId="11" fillId="3" borderId="2" xfId="3" applyNumberFormat="1" applyFont="1" applyFill="1" applyBorder="1" applyAlignment="1" applyProtection="1">
      <alignment horizontal="center" vertical="center" wrapText="1"/>
      <protection locked="0"/>
    </xf>
    <xf numFmtId="49" fontId="6" fillId="4" borderId="150" xfId="11" applyNumberFormat="1" applyFont="1" applyFill="1" applyBorder="1" applyAlignment="1">
      <alignment horizontal="center" vertical="center" wrapText="1"/>
    </xf>
    <xf numFmtId="2" fontId="11" fillId="3" borderId="2" xfId="3" applyNumberFormat="1" applyFont="1" applyFill="1" applyBorder="1" applyAlignment="1">
      <alignment horizontal="center" vertical="center" wrapText="1"/>
    </xf>
    <xf numFmtId="167" fontId="136" fillId="7" borderId="14" xfId="3" applyNumberFormat="1" applyFont="1" applyFill="1" applyBorder="1" applyAlignment="1">
      <alignment horizontal="center" vertical="center" wrapText="1"/>
    </xf>
    <xf numFmtId="0" fontId="2" fillId="0" borderId="14" xfId="10" applyFont="1" applyBorder="1" applyAlignment="1">
      <alignment horizontal="left" vertical="center"/>
    </xf>
    <xf numFmtId="2" fontId="11" fillId="3" borderId="153" xfId="3" applyNumberFormat="1" applyFont="1" applyFill="1" applyBorder="1" applyAlignment="1">
      <alignment horizontal="center" vertical="center" wrapText="1"/>
    </xf>
    <xf numFmtId="49" fontId="11" fillId="5" borderId="14" xfId="5" applyNumberFormat="1" applyFont="1" applyFill="1" applyBorder="1" applyAlignment="1">
      <alignment horizontal="center" vertical="center" wrapText="1"/>
    </xf>
    <xf numFmtId="0" fontId="7" fillId="0" borderId="0" xfId="5" applyFont="1" applyAlignment="1">
      <alignment vertical="center"/>
    </xf>
    <xf numFmtId="2" fontId="19" fillId="0" borderId="0" xfId="3" applyNumberFormat="1" applyFont="1" applyAlignment="1">
      <alignment horizontal="left" wrapText="1"/>
    </xf>
    <xf numFmtId="2" fontId="8" fillId="0" borderId="14" xfId="3" applyNumberFormat="1" applyFont="1" applyBorder="1" applyAlignment="1">
      <alignment horizontal="center" vertical="center"/>
    </xf>
    <xf numFmtId="2" fontId="31" fillId="0" borderId="0" xfId="11" applyNumberFormat="1" applyAlignment="1">
      <alignment horizontal="center" vertical="center"/>
    </xf>
    <xf numFmtId="4" fontId="18" fillId="0" borderId="0" xfId="3" applyNumberFormat="1" applyFont="1" applyAlignment="1">
      <alignment horizontal="center"/>
    </xf>
    <xf numFmtId="4" fontId="4" fillId="2" borderId="0" xfId="3" applyNumberFormat="1" applyFont="1" applyFill="1" applyAlignment="1">
      <alignment horizontal="center" vertical="center" wrapText="1"/>
    </xf>
    <xf numFmtId="4" fontId="18" fillId="0" borderId="55" xfId="3" applyNumberFormat="1" applyFont="1" applyBorder="1" applyAlignment="1">
      <alignment horizontal="center"/>
    </xf>
    <xf numFmtId="4" fontId="37" fillId="36" borderId="51" xfId="0" applyNumberFormat="1" applyFont="1" applyFill="1" applyBorder="1" applyAlignment="1">
      <alignment horizontal="center" vertical="center" wrapText="1"/>
    </xf>
    <xf numFmtId="4" fontId="8" fillId="0" borderId="39" xfId="3" applyNumberFormat="1" applyFont="1" applyBorder="1" applyAlignment="1">
      <alignment horizontal="center" vertical="center"/>
    </xf>
    <xf numFmtId="4" fontId="37" fillId="36" borderId="51" xfId="0" applyNumberFormat="1" applyFont="1" applyFill="1" applyBorder="1" applyAlignment="1">
      <alignment horizontal="center" wrapText="1"/>
    </xf>
    <xf numFmtId="4" fontId="8" fillId="0" borderId="38" xfId="3" applyNumberFormat="1" applyFont="1" applyBorder="1" applyAlignment="1">
      <alignment horizontal="center" vertical="center"/>
    </xf>
    <xf numFmtId="4" fontId="60" fillId="0" borderId="0" xfId="14" applyNumberFormat="1" applyFont="1" applyAlignment="1">
      <alignment horizontal="center" vertical="center"/>
    </xf>
    <xf numFmtId="2" fontId="8" fillId="0" borderId="0" xfId="5" applyNumberFormat="1"/>
    <xf numFmtId="2" fontId="8" fillId="0" borderId="39" xfId="3" applyNumberFormat="1" applyFont="1" applyBorder="1" applyAlignment="1">
      <alignment horizontal="center" vertical="center"/>
    </xf>
    <xf numFmtId="3" fontId="8" fillId="0" borderId="0" xfId="5" applyNumberFormat="1"/>
    <xf numFmtId="3" fontId="16" fillId="2" borderId="0" xfId="3" applyNumberFormat="1" applyFont="1" applyFill="1" applyAlignment="1">
      <alignment horizontal="center" vertical="center"/>
    </xf>
    <xf numFmtId="1" fontId="8" fillId="0" borderId="0" xfId="5" applyNumberFormat="1"/>
    <xf numFmtId="1" fontId="8" fillId="0" borderId="39" xfId="3" applyNumberFormat="1" applyFont="1" applyBorder="1" applyAlignment="1">
      <alignment horizontal="center" vertical="center"/>
    </xf>
    <xf numFmtId="2" fontId="18" fillId="0" borderId="0" xfId="3" applyNumberFormat="1" applyFont="1" applyAlignment="1">
      <alignment horizontal="center" vertical="center"/>
    </xf>
    <xf numFmtId="2" fontId="8" fillId="0" borderId="36" xfId="3" applyNumberFormat="1" applyFont="1" applyBorder="1" applyAlignment="1">
      <alignment horizontal="center" vertical="center"/>
    </xf>
    <xf numFmtId="2" fontId="8" fillId="0" borderId="146" xfId="3" applyNumberFormat="1" applyFont="1" applyBorder="1" applyAlignment="1">
      <alignment horizontal="center" vertical="center"/>
    </xf>
    <xf numFmtId="2" fontId="19" fillId="0" borderId="0" xfId="3" applyNumberFormat="1" applyFont="1" applyAlignment="1">
      <alignment horizontal="left" vertical="center" wrapText="1"/>
    </xf>
    <xf numFmtId="2" fontId="16" fillId="2" borderId="0" xfId="3" applyNumberFormat="1" applyFont="1" applyFill="1" applyAlignment="1">
      <alignment horizontal="center" vertical="center"/>
    </xf>
    <xf numFmtId="2" fontId="37" fillId="36" borderId="51" xfId="0" applyNumberFormat="1" applyFont="1" applyFill="1" applyBorder="1" applyAlignment="1">
      <alignment wrapText="1"/>
    </xf>
    <xf numFmtId="2" fontId="8" fillId="0" borderId="0" xfId="3" applyNumberFormat="1" applyFont="1" applyAlignment="1">
      <alignment horizontal="center" vertical="center"/>
    </xf>
    <xf numFmtId="2" fontId="8" fillId="0" borderId="0" xfId="11" applyNumberFormat="1" applyFont="1"/>
    <xf numFmtId="2" fontId="8" fillId="0" borderId="0" xfId="5" applyNumberFormat="1" applyAlignment="1">
      <alignment vertical="center"/>
    </xf>
    <xf numFmtId="0" fontId="8" fillId="0" borderId="14" xfId="0" applyFont="1" applyBorder="1" applyAlignment="1">
      <alignment vertical="center" wrapText="1"/>
    </xf>
    <xf numFmtId="0" fontId="8" fillId="0" borderId="122" xfId="14" applyFont="1" applyBorder="1" applyAlignment="1">
      <alignment vertical="center"/>
    </xf>
    <xf numFmtId="0" fontId="35" fillId="47" borderId="39" xfId="5" applyFont="1" applyFill="1" applyBorder="1" applyAlignment="1">
      <alignment vertical="center" wrapText="1"/>
    </xf>
    <xf numFmtId="49" fontId="8" fillId="0" borderId="147" xfId="3" applyNumberFormat="1" applyFont="1" applyBorder="1" applyAlignment="1" applyProtection="1">
      <alignment horizontal="center" vertical="center"/>
      <protection hidden="1"/>
    </xf>
    <xf numFmtId="167" fontId="8" fillId="7" borderId="39" xfId="3" applyNumberFormat="1" applyFont="1" applyFill="1" applyBorder="1" applyAlignment="1">
      <alignment horizontal="center" vertical="center" wrapText="1"/>
    </xf>
    <xf numFmtId="167" fontId="8" fillId="7" borderId="38" xfId="3" applyNumberFormat="1" applyFont="1" applyFill="1" applyBorder="1" applyAlignment="1">
      <alignment horizontal="center" vertical="center" wrapText="1"/>
    </xf>
    <xf numFmtId="0" fontId="148" fillId="2" borderId="0" xfId="3" applyFont="1" applyFill="1"/>
    <xf numFmtId="0" fontId="8" fillId="36" borderId="51" xfId="0" applyFont="1" applyFill="1" applyBorder="1" applyAlignment="1">
      <alignment vertical="center" wrapText="1"/>
    </xf>
    <xf numFmtId="0" fontId="8" fillId="36" borderId="51" xfId="0" applyFont="1" applyFill="1" applyBorder="1" applyAlignment="1">
      <alignment wrapText="1"/>
    </xf>
    <xf numFmtId="0" fontId="8" fillId="36" borderId="51" xfId="0" applyFont="1" applyFill="1" applyBorder="1" applyAlignment="1">
      <alignment horizontal="center" vertical="center" wrapText="1"/>
    </xf>
    <xf numFmtId="0" fontId="8" fillId="0" borderId="36" xfId="6" applyFont="1" applyBorder="1" applyAlignment="1">
      <alignment horizontal="left" vertical="center"/>
    </xf>
    <xf numFmtId="49" fontId="77" fillId="7" borderId="18" xfId="4" applyNumberFormat="1" applyFont="1" applyFill="1" applyBorder="1" applyAlignment="1">
      <alignment vertical="top" wrapText="1"/>
    </xf>
    <xf numFmtId="49" fontId="11" fillId="7" borderId="110" xfId="4" applyNumberFormat="1" applyFont="1" applyFill="1" applyBorder="1" applyAlignment="1">
      <alignment vertical="top" wrapText="1"/>
    </xf>
    <xf numFmtId="0" fontId="0" fillId="0" borderId="110" xfId="0" applyBorder="1"/>
    <xf numFmtId="0" fontId="8" fillId="0" borderId="157" xfId="14" applyFont="1" applyBorder="1" applyAlignment="1">
      <alignment horizontal="left" vertical="center" wrapText="1"/>
    </xf>
    <xf numFmtId="49" fontId="8" fillId="7" borderId="122" xfId="4" applyNumberFormat="1" applyFill="1" applyBorder="1" applyAlignment="1">
      <alignment horizontal="center" vertical="center" wrapText="1"/>
    </xf>
    <xf numFmtId="49" fontId="8" fillId="0" borderId="7" xfId="21" applyNumberFormat="1" applyBorder="1" applyAlignment="1">
      <alignment horizontal="center" vertical="center" wrapText="1"/>
    </xf>
    <xf numFmtId="49" fontId="11" fillId="6" borderId="7" xfId="4" applyNumberFormat="1" applyFont="1" applyFill="1" applyBorder="1" applyAlignment="1">
      <alignment horizontal="center" vertical="center" wrapText="1"/>
    </xf>
    <xf numFmtId="49" fontId="11" fillId="6" borderId="73" xfId="4" applyNumberFormat="1" applyFont="1" applyFill="1" applyBorder="1" applyAlignment="1">
      <alignment horizontal="center" vertical="center" wrapText="1"/>
    </xf>
    <xf numFmtId="49" fontId="11" fillId="6" borderId="46" xfId="4" applyNumberFormat="1" applyFont="1" applyFill="1" applyBorder="1" applyAlignment="1">
      <alignment horizontal="center" vertical="center" wrapText="1"/>
    </xf>
    <xf numFmtId="0" fontId="10" fillId="32" borderId="46" xfId="0" applyFont="1" applyFill="1" applyBorder="1" applyAlignment="1">
      <alignment horizontal="left" vertical="center" wrapText="1"/>
    </xf>
    <xf numFmtId="0" fontId="10" fillId="32" borderId="57" xfId="0" applyFont="1" applyFill="1" applyBorder="1" applyAlignment="1">
      <alignment horizontal="left" vertical="center" wrapText="1"/>
    </xf>
    <xf numFmtId="0" fontId="21" fillId="10" borderId="74" xfId="7" applyFont="1" applyFill="1" applyBorder="1" applyAlignment="1" applyProtection="1">
      <alignment horizontal="left" vertical="center" wrapText="1"/>
      <protection hidden="1"/>
    </xf>
    <xf numFmtId="49" fontId="8" fillId="6" borderId="60" xfId="4" applyNumberFormat="1" applyFill="1" applyBorder="1" applyAlignment="1">
      <alignment horizontal="center" vertical="center" wrapText="1"/>
    </xf>
    <xf numFmtId="49" fontId="11" fillId="6" borderId="140" xfId="4" applyNumberFormat="1" applyFont="1" applyFill="1" applyBorder="1" applyAlignment="1">
      <alignment horizontal="center" vertical="center" wrapText="1"/>
    </xf>
    <xf numFmtId="49" fontId="11" fillId="6" borderId="42" xfId="4" applyNumberFormat="1" applyFont="1" applyFill="1" applyBorder="1" applyAlignment="1">
      <alignment horizontal="center" vertical="center" wrapText="1"/>
    </xf>
    <xf numFmtId="49" fontId="8" fillId="6" borderId="160" xfId="4" applyNumberFormat="1" applyFill="1" applyBorder="1" applyAlignment="1">
      <alignment horizontal="center" vertical="center" wrapText="1"/>
    </xf>
    <xf numFmtId="0" fontId="21" fillId="10" borderId="144" xfId="7" applyFont="1" applyFill="1" applyBorder="1" applyAlignment="1" applyProtection="1">
      <alignment horizontal="center" vertical="center" wrapText="1"/>
      <protection hidden="1"/>
    </xf>
    <xf numFmtId="0" fontId="21" fillId="10" borderId="80" xfId="7" applyFont="1" applyFill="1" applyBorder="1" applyAlignment="1" applyProtection="1">
      <alignment horizontal="center" vertical="center" wrapText="1"/>
      <protection hidden="1"/>
    </xf>
    <xf numFmtId="49" fontId="8" fillId="0" borderId="6" xfId="21" applyNumberFormat="1" applyBorder="1" applyAlignment="1">
      <alignment horizontal="center" vertical="center" wrapText="1"/>
    </xf>
    <xf numFmtId="49" fontId="8" fillId="0" borderId="158" xfId="21" applyNumberFormat="1" applyBorder="1" applyAlignment="1">
      <alignment horizontal="center" vertical="center" wrapText="1"/>
    </xf>
    <xf numFmtId="0" fontId="8" fillId="0" borderId="158" xfId="6" applyFont="1" applyBorder="1" applyAlignment="1">
      <alignment horizontal="center" vertical="center"/>
    </xf>
    <xf numFmtId="49" fontId="8" fillId="0" borderId="158" xfId="4" applyNumberFormat="1" applyBorder="1" applyAlignment="1">
      <alignment horizontal="center" vertical="center" wrapText="1"/>
    </xf>
    <xf numFmtId="0" fontId="82" fillId="32" borderId="158" xfId="0" applyFont="1" applyFill="1" applyBorder="1" applyAlignment="1">
      <alignment horizontal="left" vertical="center" wrapText="1"/>
    </xf>
    <xf numFmtId="0" fontId="8" fillId="0" borderId="161" xfId="6" applyFont="1" applyBorder="1" applyAlignment="1">
      <alignment horizontal="center" vertical="center"/>
    </xf>
    <xf numFmtId="49" fontId="8" fillId="0" borderId="161" xfId="4" applyNumberFormat="1" applyBorder="1" applyAlignment="1">
      <alignment horizontal="center" vertical="center" wrapText="1"/>
    </xf>
    <xf numFmtId="0" fontId="82" fillId="32" borderId="161" xfId="0" applyFont="1" applyFill="1" applyBorder="1" applyAlignment="1">
      <alignment horizontal="left" vertical="center" wrapText="1"/>
    </xf>
    <xf numFmtId="0" fontId="8" fillId="0" borderId="158" xfId="6" applyFont="1" applyBorder="1" applyAlignment="1">
      <alignment horizontal="left" vertical="center" wrapText="1"/>
    </xf>
    <xf numFmtId="49" fontId="8" fillId="0" borderId="158" xfId="0" applyNumberFormat="1" applyFont="1" applyBorder="1" applyAlignment="1">
      <alignment horizontal="center" vertical="center" wrapText="1"/>
    </xf>
    <xf numFmtId="0" fontId="30" fillId="0" borderId="158" xfId="0" applyFont="1" applyBorder="1" applyAlignment="1">
      <alignment horizontal="left" vertical="center" wrapText="1"/>
    </xf>
    <xf numFmtId="49" fontId="11" fillId="6" borderId="158" xfId="4" applyNumberFormat="1" applyFont="1" applyFill="1" applyBorder="1" applyAlignment="1">
      <alignment horizontal="center" vertical="center" wrapText="1"/>
    </xf>
    <xf numFmtId="0" fontId="10" fillId="32" borderId="158" xfId="0" applyFont="1" applyFill="1" applyBorder="1" applyAlignment="1">
      <alignment horizontal="left" vertical="center" wrapText="1"/>
    </xf>
    <xf numFmtId="166" fontId="8" fillId="0" borderId="5" xfId="2" applyNumberFormat="1" applyFont="1" applyBorder="1" applyAlignment="1">
      <alignment vertical="center"/>
    </xf>
    <xf numFmtId="166" fontId="8" fillId="0" borderId="13" xfId="2" applyNumberFormat="1" applyFont="1" applyBorder="1" applyAlignment="1">
      <alignment vertical="center"/>
    </xf>
    <xf numFmtId="167" fontId="11" fillId="0" borderId="10" xfId="1" applyNumberFormat="1" applyFont="1" applyBorder="1" applyAlignment="1" applyProtection="1">
      <alignment vertical="center"/>
    </xf>
    <xf numFmtId="166" fontId="130" fillId="0" borderId="13" xfId="2" applyNumberFormat="1" applyFont="1" applyBorder="1" applyAlignment="1">
      <alignment vertical="center"/>
    </xf>
    <xf numFmtId="166" fontId="6" fillId="0" borderId="13" xfId="2" applyNumberFormat="1" applyFont="1" applyBorder="1" applyAlignment="1">
      <alignment vertical="center"/>
    </xf>
    <xf numFmtId="166" fontId="6" fillId="0" borderId="5" xfId="2" applyNumberFormat="1" applyFont="1" applyBorder="1" applyAlignment="1">
      <alignment vertical="center"/>
    </xf>
    <xf numFmtId="0" fontId="107" fillId="0" borderId="14" xfId="0" applyFont="1" applyBorder="1" applyAlignment="1">
      <alignment wrapText="1"/>
    </xf>
    <xf numFmtId="0" fontId="75" fillId="9" borderId="49" xfId="11" applyFont="1" applyFill="1" applyBorder="1"/>
    <xf numFmtId="0" fontId="75" fillId="25" borderId="49" xfId="11" applyFont="1" applyFill="1" applyBorder="1"/>
    <xf numFmtId="0" fontId="8" fillId="0" borderId="20" xfId="0" applyFont="1" applyBorder="1" applyAlignment="1">
      <alignment horizontal="center" vertical="center" wrapText="1"/>
    </xf>
    <xf numFmtId="0" fontId="8" fillId="0" borderId="60" xfId="0" applyFont="1" applyBorder="1" applyAlignment="1">
      <alignment horizontal="center" vertical="center" wrapText="1"/>
    </xf>
    <xf numFmtId="0" fontId="8" fillId="0" borderId="74" xfId="0" applyFont="1" applyBorder="1" applyAlignment="1">
      <alignment wrapText="1"/>
    </xf>
    <xf numFmtId="0" fontId="8" fillId="0" borderId="80" xfId="0" applyFont="1" applyBorder="1" applyAlignment="1">
      <alignment wrapText="1"/>
    </xf>
    <xf numFmtId="0" fontId="8" fillId="7" borderId="158" xfId="0" applyFont="1" applyFill="1" applyBorder="1" applyAlignment="1">
      <alignment horizontal="left" vertical="center" wrapText="1"/>
    </xf>
    <xf numFmtId="49" fontId="11" fillId="5" borderId="28" xfId="5" applyNumberFormat="1" applyFont="1" applyFill="1" applyBorder="1" applyAlignment="1">
      <alignment horizontal="center" vertical="center" wrapText="1"/>
    </xf>
    <xf numFmtId="49" fontId="11" fillId="5" borderId="51" xfId="5" applyNumberFormat="1" applyFont="1" applyFill="1" applyBorder="1" applyAlignment="1">
      <alignment horizontal="center" vertical="center" wrapText="1"/>
    </xf>
    <xf numFmtId="49" fontId="11" fillId="5" borderId="49" xfId="5" applyNumberFormat="1" applyFont="1" applyFill="1" applyBorder="1" applyAlignment="1">
      <alignment horizontal="center" vertical="center" wrapText="1"/>
    </xf>
    <xf numFmtId="0" fontId="11" fillId="35" borderId="14" xfId="0" applyFont="1" applyFill="1" applyBorder="1" applyAlignment="1">
      <alignment vertical="center" wrapText="1"/>
    </xf>
    <xf numFmtId="0" fontId="33" fillId="35" borderId="14" xfId="0" applyFont="1" applyFill="1" applyBorder="1" applyAlignment="1">
      <alignment vertical="center" wrapText="1"/>
    </xf>
    <xf numFmtId="0" fontId="11" fillId="36" borderId="49" xfId="0" applyFont="1" applyFill="1" applyBorder="1" applyAlignment="1">
      <alignment vertical="center" wrapText="1"/>
    </xf>
    <xf numFmtId="0" fontId="25" fillId="0" borderId="110" xfId="14" applyFont="1" applyBorder="1" applyAlignment="1">
      <alignment horizontal="center" vertical="center"/>
    </xf>
    <xf numFmtId="0" fontId="25" fillId="0" borderId="14" xfId="14" applyFont="1" applyBorder="1" applyAlignment="1">
      <alignment horizontal="center" vertical="center" wrapText="1"/>
    </xf>
    <xf numFmtId="166" fontId="35" fillId="0" borderId="13" xfId="2" applyNumberFormat="1" applyFont="1" applyBorder="1" applyAlignment="1">
      <alignment vertical="center"/>
    </xf>
    <xf numFmtId="0" fontId="137" fillId="18" borderId="11" xfId="2" applyFont="1" applyFill="1" applyBorder="1" applyAlignment="1">
      <alignment horizontal="left" vertical="center" wrapText="1"/>
    </xf>
    <xf numFmtId="0" fontId="49" fillId="18" borderId="12" xfId="2" applyFont="1" applyFill="1" applyBorder="1" applyAlignment="1">
      <alignment vertical="center"/>
    </xf>
    <xf numFmtId="166" fontId="35" fillId="18" borderId="13" xfId="2" applyNumberFormat="1" applyFont="1" applyFill="1" applyBorder="1" applyAlignment="1">
      <alignment vertical="center"/>
    </xf>
    <xf numFmtId="0" fontId="86" fillId="0" borderId="0" xfId="2" applyFont="1"/>
    <xf numFmtId="49" fontId="8" fillId="0" borderId="146" xfId="3" applyNumberFormat="1" applyFont="1" applyBorder="1" applyAlignment="1" applyProtection="1">
      <alignment horizontal="left" vertical="center" wrapText="1"/>
      <protection hidden="1"/>
    </xf>
    <xf numFmtId="0" fontId="35" fillId="0" borderId="146" xfId="5" applyFont="1" applyBorder="1" applyAlignment="1">
      <alignment vertical="center" wrapText="1"/>
    </xf>
    <xf numFmtId="2" fontId="41" fillId="3" borderId="109" xfId="3" applyNumberFormat="1" applyFont="1" applyFill="1" applyBorder="1" applyAlignment="1">
      <alignment horizontal="center" vertical="top" wrapText="1"/>
    </xf>
    <xf numFmtId="0" fontId="35" fillId="0" borderId="36" xfId="6" applyFont="1" applyBorder="1" applyAlignment="1">
      <alignment horizontal="left" vertical="center" wrapText="1"/>
    </xf>
    <xf numFmtId="0" fontId="8" fillId="0" borderId="36" xfId="3" applyFont="1" applyBorder="1" applyAlignment="1" applyProtection="1">
      <alignment horizontal="center" vertical="center" wrapText="1"/>
      <protection hidden="1"/>
    </xf>
    <xf numFmtId="167" fontId="8" fillId="7" borderId="36" xfId="3" applyNumberFormat="1" applyFont="1" applyFill="1" applyBorder="1" applyAlignment="1">
      <alignment horizontal="center" vertical="center" wrapText="1"/>
    </xf>
    <xf numFmtId="49" fontId="8" fillId="0" borderId="162" xfId="3" applyNumberFormat="1" applyFont="1" applyBorder="1" applyAlignment="1" applyProtection="1">
      <alignment horizontal="center" vertical="center"/>
      <protection hidden="1"/>
    </xf>
    <xf numFmtId="0" fontId="35" fillId="0" borderId="162" xfId="6" applyFont="1" applyBorder="1" applyAlignment="1">
      <alignment horizontal="left" vertical="center" wrapText="1"/>
    </xf>
    <xf numFmtId="0" fontId="8" fillId="0" borderId="162" xfId="6" applyFont="1" applyBorder="1" applyAlignment="1">
      <alignment horizontal="center" vertical="center"/>
    </xf>
    <xf numFmtId="0" fontId="8" fillId="0" borderId="162" xfId="6" applyFont="1" applyBorder="1" applyAlignment="1">
      <alignment horizontal="left" vertical="center" wrapText="1"/>
    </xf>
    <xf numFmtId="0" fontId="8" fillId="0" borderId="162" xfId="3" applyFont="1" applyBorder="1" applyAlignment="1" applyProtection="1">
      <alignment horizontal="center" vertical="center" wrapText="1"/>
      <protection hidden="1"/>
    </xf>
    <xf numFmtId="2" fontId="8" fillId="0" borderId="162" xfId="3" applyNumberFormat="1" applyFont="1" applyBorder="1" applyAlignment="1">
      <alignment horizontal="center" vertical="center"/>
    </xf>
    <xf numFmtId="167" fontId="8" fillId="15" borderId="162" xfId="12" applyNumberFormat="1" applyFont="1" applyFill="1" applyBorder="1" applyAlignment="1" applyProtection="1">
      <alignment horizontal="center" vertical="center"/>
    </xf>
    <xf numFmtId="0" fontId="35" fillId="0" borderId="162" xfId="5" applyFont="1" applyBorder="1" applyAlignment="1">
      <alignment vertical="center"/>
    </xf>
    <xf numFmtId="0" fontId="35" fillId="0" borderId="146" xfId="6" applyFont="1" applyBorder="1" applyAlignment="1">
      <alignment horizontal="left" vertical="center" wrapText="1"/>
    </xf>
    <xf numFmtId="0" fontId="8" fillId="0" borderId="146" xfId="3" applyFont="1" applyBorder="1" applyAlignment="1" applyProtection="1">
      <alignment horizontal="center" vertical="center" wrapText="1"/>
      <protection hidden="1"/>
    </xf>
    <xf numFmtId="167" fontId="8" fillId="7" borderId="146" xfId="3" applyNumberFormat="1" applyFont="1" applyFill="1" applyBorder="1" applyAlignment="1">
      <alignment horizontal="center" vertical="center" wrapText="1"/>
    </xf>
    <xf numFmtId="0" fontId="11" fillId="0" borderId="0" xfId="5" applyFont="1" applyAlignment="1">
      <alignment vertical="center"/>
    </xf>
    <xf numFmtId="49" fontId="6" fillId="4" borderId="27" xfId="5" applyNumberFormat="1" applyFont="1" applyFill="1" applyBorder="1" applyAlignment="1">
      <alignment horizontal="center" vertical="center" wrapText="1"/>
    </xf>
    <xf numFmtId="49" fontId="11" fillId="5" borderId="28" xfId="5" applyNumberFormat="1" applyFont="1" applyFill="1" applyBorder="1" applyAlignment="1">
      <alignment horizontal="left" vertical="center" wrapText="1"/>
    </xf>
    <xf numFmtId="0" fontId="8" fillId="0" borderId="39" xfId="3" applyFont="1" applyBorder="1" applyAlignment="1" applyProtection="1">
      <alignment horizontal="center" vertical="center" wrapText="1"/>
      <protection hidden="1"/>
    </xf>
    <xf numFmtId="0" fontId="11" fillId="9" borderId="14" xfId="5" applyFont="1" applyFill="1" applyBorder="1" applyAlignment="1">
      <alignment vertical="center"/>
    </xf>
    <xf numFmtId="0" fontId="6" fillId="9" borderId="28" xfId="5" applyFont="1" applyFill="1" applyBorder="1" applyAlignment="1">
      <alignment horizontal="center" vertical="center"/>
    </xf>
    <xf numFmtId="49" fontId="5" fillId="9" borderId="28" xfId="5" quotePrefix="1" applyNumberFormat="1" applyFont="1" applyFill="1" applyBorder="1" applyAlignment="1">
      <alignment horizontal="left" vertical="center"/>
    </xf>
    <xf numFmtId="0" fontId="5" fillId="9" borderId="51" xfId="5" applyFont="1" applyFill="1" applyBorder="1" applyAlignment="1">
      <alignment vertical="center" wrapText="1"/>
    </xf>
    <xf numFmtId="0" fontId="5" fillId="9" borderId="49" xfId="5" applyFont="1" applyFill="1" applyBorder="1" applyAlignment="1">
      <alignment vertical="center" wrapText="1"/>
    </xf>
    <xf numFmtId="0" fontId="11" fillId="0" borderId="14" xfId="5" applyFont="1" applyBorder="1" applyAlignment="1">
      <alignment vertical="center"/>
    </xf>
    <xf numFmtId="0" fontId="2" fillId="0" borderId="52" xfId="10" applyFont="1" applyBorder="1" applyAlignment="1">
      <alignment horizontal="left" vertical="center" wrapText="1"/>
    </xf>
    <xf numFmtId="0" fontId="8" fillId="0" borderId="52" xfId="5" applyBorder="1" applyAlignment="1">
      <alignment horizontal="center" vertical="center" wrapText="1"/>
    </xf>
    <xf numFmtId="0" fontId="2" fillId="0" borderId="26" xfId="10" applyFont="1" applyBorder="1" applyAlignment="1">
      <alignment horizontal="center" vertical="center"/>
    </xf>
    <xf numFmtId="0" fontId="5" fillId="0" borderId="49" xfId="5" applyFont="1" applyBorder="1" applyAlignment="1">
      <alignment vertical="center" wrapText="1"/>
    </xf>
    <xf numFmtId="0" fontId="8" fillId="11" borderId="36" xfId="6" applyFont="1" applyFill="1" applyBorder="1" applyAlignment="1">
      <alignment horizontal="left" vertical="center" wrapText="1"/>
    </xf>
    <xf numFmtId="0" fontId="33" fillId="4" borderId="14" xfId="14" applyFont="1" applyFill="1" applyBorder="1" applyAlignment="1">
      <alignment horizontal="center" vertical="center"/>
    </xf>
    <xf numFmtId="0" fontId="8" fillId="14" borderId="39" xfId="6" applyFont="1" applyFill="1" applyBorder="1" applyAlignment="1">
      <alignment horizontal="center" vertical="center"/>
    </xf>
    <xf numFmtId="49" fontId="11" fillId="6" borderId="161" xfId="4" applyNumberFormat="1" applyFont="1" applyFill="1" applyBorder="1" applyAlignment="1">
      <alignment horizontal="center" vertical="center" wrapText="1"/>
    </xf>
    <xf numFmtId="0" fontId="10" fillId="32" borderId="161" xfId="0" applyFont="1" applyFill="1" applyBorder="1" applyAlignment="1">
      <alignment horizontal="left" vertical="center" wrapText="1"/>
    </xf>
    <xf numFmtId="3" fontId="11" fillId="7" borderId="20" xfId="4" applyNumberFormat="1" applyFont="1" applyFill="1" applyBorder="1" applyAlignment="1">
      <alignment horizontal="center" vertical="center" wrapText="1"/>
    </xf>
    <xf numFmtId="3" fontId="11" fillId="7" borderId="18" xfId="4" applyNumberFormat="1" applyFont="1" applyFill="1" applyBorder="1" applyAlignment="1">
      <alignment horizontal="center" vertical="center" wrapText="1"/>
    </xf>
    <xf numFmtId="3" fontId="8" fillId="7" borderId="48" xfId="4" applyNumberFormat="1" applyFill="1" applyBorder="1" applyAlignment="1">
      <alignment horizontal="center" vertical="center" wrapText="1"/>
    </xf>
    <xf numFmtId="3" fontId="8" fillId="7" borderId="72" xfId="4" applyNumberFormat="1" applyFill="1" applyBorder="1" applyAlignment="1">
      <alignment horizontal="center" vertical="center" wrapText="1"/>
    </xf>
    <xf numFmtId="0" fontId="149" fillId="7" borderId="14" xfId="0" applyFont="1" applyFill="1" applyBorder="1" applyAlignment="1">
      <alignment horizontal="left" vertical="center" indent="1"/>
    </xf>
    <xf numFmtId="0" fontId="85" fillId="7" borderId="14" xfId="0" applyFont="1" applyFill="1" applyBorder="1" applyAlignment="1">
      <alignment horizontal="center" vertical="center"/>
    </xf>
    <xf numFmtId="0" fontId="149" fillId="7" borderId="14" xfId="0" applyFont="1" applyFill="1" applyBorder="1" applyAlignment="1">
      <alignment horizontal="left" vertical="center" wrapText="1" indent="1"/>
    </xf>
    <xf numFmtId="0" fontId="85" fillId="0" borderId="14" xfId="0" applyFont="1" applyBorder="1" applyAlignment="1" applyProtection="1">
      <alignment horizontal="center" vertical="center"/>
      <protection locked="0"/>
    </xf>
    <xf numFmtId="0" fontId="85" fillId="7" borderId="14" xfId="0" applyFont="1" applyFill="1" applyBorder="1" applyAlignment="1">
      <alignment horizontal="left" vertical="center"/>
    </xf>
    <xf numFmtId="0" fontId="85" fillId="7" borderId="14" xfId="0" applyFont="1" applyFill="1" applyBorder="1" applyAlignment="1">
      <alignment vertical="center"/>
    </xf>
    <xf numFmtId="0" fontId="150" fillId="7" borderId="14" xfId="0" applyFont="1" applyFill="1" applyBorder="1" applyAlignment="1">
      <alignment vertical="center" wrapText="1"/>
    </xf>
    <xf numFmtId="0" fontId="85" fillId="14" borderId="14" xfId="0" applyFont="1" applyFill="1" applyBorder="1" applyAlignment="1">
      <alignment horizontal="center" vertical="center"/>
    </xf>
    <xf numFmtId="0" fontId="85" fillId="24" borderId="14" xfId="0" applyFont="1" applyFill="1" applyBorder="1" applyAlignment="1" applyProtection="1">
      <alignment horizontal="center" vertical="center"/>
      <protection locked="0"/>
    </xf>
    <xf numFmtId="0" fontId="149" fillId="7" borderId="14" xfId="0" applyFont="1" applyFill="1" applyBorder="1" applyAlignment="1" applyProtection="1">
      <alignment horizontal="left" vertical="center" indent="1"/>
      <protection locked="0"/>
    </xf>
    <xf numFmtId="0" fontId="151" fillId="0" borderId="14" xfId="0" applyFont="1" applyBorder="1" applyAlignment="1">
      <alignment horizontal="center" vertical="center" wrapText="1"/>
    </xf>
    <xf numFmtId="1" fontId="85" fillId="24" borderId="14" xfId="0" applyNumberFormat="1" applyFont="1" applyFill="1" applyBorder="1" applyAlignment="1" applyProtection="1">
      <alignment horizontal="center" vertical="center"/>
      <protection locked="0"/>
    </xf>
    <xf numFmtId="0" fontId="85" fillId="7" borderId="14" xfId="0" applyFont="1" applyFill="1" applyBorder="1" applyAlignment="1" applyProtection="1">
      <alignment horizontal="center" vertical="center"/>
      <protection locked="0"/>
    </xf>
    <xf numFmtId="0" fontId="149" fillId="7" borderId="14" xfId="0" applyFont="1" applyFill="1" applyBorder="1" applyAlignment="1" applyProtection="1">
      <alignment horizontal="left" vertical="center" wrapText="1" indent="1"/>
      <protection locked="0"/>
    </xf>
    <xf numFmtId="0" fontId="85" fillId="7" borderId="14" xfId="0" applyFont="1" applyFill="1" applyBorder="1" applyAlignment="1">
      <alignment horizontal="left" vertical="center" indent="1"/>
    </xf>
    <xf numFmtId="0" fontId="107" fillId="0" borderId="26" xfId="0" quotePrefix="1" applyFont="1" applyBorder="1" applyAlignment="1">
      <alignment vertical="center" wrapText="1"/>
    </xf>
    <xf numFmtId="0" fontId="11" fillId="35" borderId="49" xfId="0" applyFont="1" applyFill="1" applyBorder="1" applyAlignment="1">
      <alignment horizontal="center" wrapText="1"/>
    </xf>
    <xf numFmtId="0" fontId="5" fillId="0" borderId="110" xfId="0" applyFont="1" applyBorder="1" applyAlignment="1">
      <alignment vertical="center"/>
    </xf>
    <xf numFmtId="0" fontId="8" fillId="0" borderId="49" xfId="11" applyFont="1" applyBorder="1" applyAlignment="1">
      <alignment vertical="center" wrapText="1"/>
    </xf>
    <xf numFmtId="0" fontId="85" fillId="0" borderId="14" xfId="0" applyFont="1" applyBorder="1" applyAlignment="1">
      <alignment horizontal="left" vertical="center"/>
    </xf>
    <xf numFmtId="0" fontId="85" fillId="0" borderId="14" xfId="0" applyFont="1" applyBorder="1" applyAlignment="1" applyProtection="1">
      <alignment horizontal="left" vertical="center"/>
      <protection locked="0"/>
    </xf>
    <xf numFmtId="0" fontId="85" fillId="0" borderId="14" xfId="0" applyFont="1" applyBorder="1" applyAlignment="1">
      <alignment vertical="center"/>
    </xf>
    <xf numFmtId="0" fontId="85" fillId="0" borderId="14" xfId="0" applyFont="1" applyBorder="1" applyAlignment="1">
      <alignment horizontal="left" vertical="center" indent="2"/>
    </xf>
    <xf numFmtId="0" fontId="85" fillId="0" borderId="14" xfId="0" applyFont="1" applyBorder="1" applyAlignment="1" applyProtection="1">
      <alignment vertical="center"/>
      <protection locked="0"/>
    </xf>
    <xf numFmtId="0" fontId="134" fillId="0" borderId="14" xfId="14" applyFont="1" applyBorder="1" applyAlignment="1">
      <alignment horizontal="left" vertical="center" wrapText="1" indent="3"/>
    </xf>
    <xf numFmtId="43" fontId="115" fillId="0" borderId="14" xfId="26" applyFont="1" applyBorder="1" applyAlignment="1" applyProtection="1">
      <alignment horizontal="center" vertical="center"/>
      <protection locked="0"/>
    </xf>
    <xf numFmtId="176" fontId="149" fillId="14" borderId="14" xfId="24" applyNumberFormat="1" applyFont="1" applyFill="1" applyBorder="1" applyAlignment="1">
      <alignment vertical="center"/>
    </xf>
    <xf numFmtId="177" fontId="85" fillId="14" borderId="14" xfId="22" applyNumberFormat="1" applyFont="1" applyFill="1" applyBorder="1" applyAlignment="1">
      <alignment vertical="center"/>
    </xf>
    <xf numFmtId="0" fontId="9" fillId="0" borderId="50" xfId="0" applyFont="1" applyBorder="1" applyAlignment="1">
      <alignment textRotation="90" wrapText="1"/>
    </xf>
    <xf numFmtId="0" fontId="66" fillId="23" borderId="30" xfId="14" applyFont="1" applyFill="1" applyBorder="1" applyAlignment="1">
      <alignment vertical="center" wrapText="1"/>
    </xf>
    <xf numFmtId="0" fontId="66" fillId="23" borderId="0" xfId="14" applyFont="1" applyFill="1" applyAlignment="1">
      <alignment vertical="center" wrapText="1"/>
    </xf>
    <xf numFmtId="0" fontId="149" fillId="0" borderId="14" xfId="0" applyFont="1" applyBorder="1" applyAlignment="1">
      <alignment horizontal="left" vertical="center" wrapText="1"/>
    </xf>
    <xf numFmtId="167" fontId="11" fillId="0" borderId="38" xfId="3" applyNumberFormat="1" applyFont="1" applyBorder="1" applyAlignment="1">
      <alignment vertical="center" wrapText="1"/>
    </xf>
    <xf numFmtId="3" fontId="8" fillId="7" borderId="50" xfId="3" applyNumberFormat="1" applyFont="1" applyFill="1" applyBorder="1" applyAlignment="1">
      <alignment horizontal="center" vertical="center" wrapText="1"/>
    </xf>
    <xf numFmtId="0" fontId="85" fillId="0" borderId="26" xfId="0" applyFont="1" applyBorder="1" applyAlignment="1">
      <alignment horizontal="left" vertical="center"/>
    </xf>
    <xf numFmtId="0" fontId="134" fillId="0" borderId="14" xfId="0" applyFont="1" applyBorder="1" applyAlignment="1">
      <alignment vertical="center"/>
    </xf>
    <xf numFmtId="167" fontId="8" fillId="7" borderId="38" xfId="3" applyNumberFormat="1" applyFont="1" applyFill="1" applyBorder="1" applyAlignment="1">
      <alignment horizontal="left" vertical="center" wrapText="1"/>
    </xf>
    <xf numFmtId="0" fontId="8" fillId="0" borderId="0" xfId="14" applyFont="1" applyAlignment="1">
      <alignment horizontal="center" vertical="center"/>
    </xf>
    <xf numFmtId="0" fontId="8" fillId="29" borderId="0" xfId="14" applyFont="1" applyFill="1" applyAlignment="1">
      <alignment horizontal="center" vertical="center" wrapText="1"/>
    </xf>
    <xf numFmtId="0" fontId="8" fillId="0" borderId="11" xfId="2" applyFont="1" applyBorder="1" applyAlignment="1">
      <alignment horizontal="left" vertical="center" wrapText="1"/>
    </xf>
    <xf numFmtId="3" fontId="8" fillId="7" borderId="115" xfId="3" applyNumberFormat="1" applyFont="1" applyFill="1" applyBorder="1" applyAlignment="1">
      <alignment horizontal="center" vertical="center" wrapText="1"/>
    </xf>
    <xf numFmtId="0" fontId="8" fillId="0" borderId="14" xfId="14" applyFont="1" applyBorder="1" applyAlignment="1">
      <alignment vertical="center" wrapText="1"/>
    </xf>
    <xf numFmtId="0" fontId="137" fillId="18" borderId="20" xfId="0" applyFont="1" applyFill="1" applyBorder="1" applyAlignment="1">
      <alignment vertical="center"/>
    </xf>
    <xf numFmtId="0" fontId="137" fillId="18" borderId="140" xfId="0" applyFont="1" applyFill="1" applyBorder="1" applyAlignment="1">
      <alignment vertical="center"/>
    </xf>
    <xf numFmtId="0" fontId="8" fillId="0" borderId="51" xfId="0" applyFont="1" applyBorder="1" applyAlignment="1">
      <alignment vertical="center" wrapText="1"/>
    </xf>
    <xf numFmtId="49" fontId="8" fillId="0" borderId="26" xfId="3" applyNumberFormat="1" applyFont="1" applyBorder="1" applyAlignment="1" applyProtection="1">
      <alignment horizontal="center" vertical="center"/>
      <protection hidden="1"/>
    </xf>
    <xf numFmtId="0" fontId="8" fillId="0" borderId="26" xfId="6" applyFont="1" applyBorder="1" applyAlignment="1">
      <alignment horizontal="center" vertical="center"/>
    </xf>
    <xf numFmtId="0" fontId="8" fillId="0" borderId="26" xfId="6" applyFont="1" applyBorder="1" applyAlignment="1">
      <alignment horizontal="left" vertical="center" wrapText="1"/>
    </xf>
    <xf numFmtId="0" fontId="8" fillId="0" borderId="26" xfId="6" applyFont="1" applyBorder="1" applyAlignment="1">
      <alignment horizontal="center" vertical="center" wrapText="1"/>
    </xf>
    <xf numFmtId="4" fontId="8" fillId="0" borderId="26" xfId="3" applyNumberFormat="1" applyFont="1" applyBorder="1" applyAlignment="1">
      <alignment horizontal="center" vertical="center"/>
    </xf>
    <xf numFmtId="0" fontId="35" fillId="0" borderId="26" xfId="5" applyFont="1" applyBorder="1" applyAlignment="1">
      <alignment vertical="center" wrapText="1"/>
    </xf>
    <xf numFmtId="0" fontId="8" fillId="0" borderId="39" xfId="6" applyFont="1" applyBorder="1" applyAlignment="1">
      <alignment horizontal="left" vertical="top" wrapText="1"/>
    </xf>
    <xf numFmtId="0" fontId="130" fillId="0" borderId="39" xfId="6" applyFont="1" applyBorder="1" applyAlignment="1">
      <alignment horizontal="left" vertical="center" wrapText="1"/>
    </xf>
    <xf numFmtId="0" fontId="107" fillId="0" borderId="14" xfId="0" quotePrefix="1" applyFont="1" applyBorder="1" applyAlignment="1">
      <alignment vertical="center" wrapText="1"/>
    </xf>
    <xf numFmtId="0" fontId="107" fillId="0" borderId="14" xfId="0" applyFont="1" applyBorder="1" applyAlignment="1">
      <alignment vertical="center" wrapText="1"/>
    </xf>
    <xf numFmtId="0" fontId="107" fillId="0" borderId="38" xfId="0" quotePrefix="1" applyFont="1" applyBorder="1" applyAlignment="1">
      <alignment vertical="center" wrapText="1"/>
    </xf>
    <xf numFmtId="0" fontId="107" fillId="0" borderId="14" xfId="0" applyFont="1" applyBorder="1" applyAlignment="1">
      <alignment horizontal="left" vertical="center" wrapText="1"/>
    </xf>
    <xf numFmtId="0" fontId="107" fillId="0" borderId="91" xfId="0" quotePrefix="1" applyFont="1" applyBorder="1" applyAlignment="1">
      <alignment vertical="center" wrapText="1"/>
    </xf>
    <xf numFmtId="49" fontId="8" fillId="0" borderId="91" xfId="3" applyNumberFormat="1" applyFont="1" applyBorder="1" applyAlignment="1" applyProtection="1">
      <alignment horizontal="center" vertical="center"/>
      <protection hidden="1"/>
    </xf>
    <xf numFmtId="0" fontId="107" fillId="0" borderId="162" xfId="0" quotePrefix="1" applyFont="1" applyBorder="1" applyAlignment="1">
      <alignment vertical="center" wrapText="1"/>
    </xf>
    <xf numFmtId="0" fontId="107" fillId="0" borderId="36" xfId="0" quotePrefix="1" applyFont="1" applyBorder="1" applyAlignment="1">
      <alignment vertical="center" wrapText="1"/>
    </xf>
    <xf numFmtId="4" fontId="7" fillId="27" borderId="162" xfId="0" applyNumberFormat="1" applyFont="1" applyFill="1" applyBorder="1" applyAlignment="1" applyProtection="1">
      <alignment vertical="center"/>
      <protection locked="0"/>
    </xf>
    <xf numFmtId="167" fontId="11" fillId="0" borderId="162" xfId="3" applyNumberFormat="1" applyFont="1" applyBorder="1" applyAlignment="1">
      <alignment vertical="center" wrapText="1"/>
    </xf>
    <xf numFmtId="167" fontId="8" fillId="7" borderId="162" xfId="3" applyNumberFormat="1" applyFont="1" applyFill="1" applyBorder="1" applyAlignment="1">
      <alignment horizontal="center" vertical="center" wrapText="1"/>
    </xf>
    <xf numFmtId="4" fontId="7" fillId="27" borderId="39" xfId="0" applyNumberFormat="1" applyFont="1" applyFill="1" applyBorder="1" applyAlignment="1" applyProtection="1">
      <alignment vertical="center"/>
      <protection locked="0"/>
    </xf>
    <xf numFmtId="167" fontId="11" fillId="0" borderId="39" xfId="3" applyNumberFormat="1" applyFont="1" applyBorder="1" applyAlignment="1">
      <alignment vertical="center" wrapText="1"/>
    </xf>
    <xf numFmtId="4" fontId="7" fillId="0" borderId="39" xfId="0" applyNumberFormat="1" applyFont="1" applyBorder="1" applyAlignment="1">
      <alignment vertical="center"/>
    </xf>
    <xf numFmtId="0" fontId="7" fillId="27" borderId="39" xfId="0" applyFont="1" applyFill="1" applyBorder="1" applyAlignment="1" applyProtection="1">
      <alignment vertical="center" wrapText="1"/>
      <protection locked="0"/>
    </xf>
    <xf numFmtId="4" fontId="7" fillId="0" borderId="162" xfId="0" applyNumberFormat="1" applyFont="1" applyBorder="1" applyAlignment="1">
      <alignment vertical="center"/>
    </xf>
    <xf numFmtId="0" fontId="7" fillId="27" borderId="162" xfId="0" applyFont="1" applyFill="1" applyBorder="1" applyAlignment="1" applyProtection="1">
      <alignment vertical="center" wrapText="1"/>
      <protection locked="0"/>
    </xf>
    <xf numFmtId="0" fontId="11" fillId="35" borderId="52" xfId="0" applyFont="1" applyFill="1" applyBorder="1" applyAlignment="1">
      <alignment horizontal="center" wrapText="1"/>
    </xf>
    <xf numFmtId="4" fontId="7" fillId="27" borderId="146" xfId="0" applyNumberFormat="1" applyFont="1" applyFill="1" applyBorder="1" applyAlignment="1" applyProtection="1">
      <alignment vertical="center"/>
      <protection locked="0"/>
    </xf>
    <xf numFmtId="4" fontId="7" fillId="0" borderId="146" xfId="0" applyNumberFormat="1" applyFont="1" applyBorder="1" applyAlignment="1">
      <alignment vertical="center"/>
    </xf>
    <xf numFmtId="0" fontId="7" fillId="27" borderId="146" xfId="0" applyFont="1" applyFill="1" applyBorder="1" applyAlignment="1" applyProtection="1">
      <alignment vertical="center" wrapText="1"/>
      <protection locked="0"/>
    </xf>
    <xf numFmtId="167" fontId="11" fillId="0" borderId="146" xfId="3" applyNumberFormat="1" applyFont="1" applyBorder="1" applyAlignment="1">
      <alignment vertical="center" wrapText="1"/>
    </xf>
    <xf numFmtId="2" fontId="85" fillId="7" borderId="14" xfId="0" applyNumberFormat="1" applyFont="1" applyFill="1" applyBorder="1" applyAlignment="1">
      <alignment horizontal="center" vertical="center"/>
    </xf>
    <xf numFmtId="2" fontId="85" fillId="0" borderId="14" xfId="0" applyNumberFormat="1" applyFont="1" applyBorder="1" applyAlignment="1" applyProtection="1">
      <alignment horizontal="center" vertical="center"/>
      <protection locked="0"/>
    </xf>
    <xf numFmtId="2" fontId="60" fillId="0" borderId="0" xfId="14" applyNumberFormat="1" applyFont="1" applyAlignment="1">
      <alignment horizontal="center" vertical="center"/>
    </xf>
    <xf numFmtId="2" fontId="8" fillId="0" borderId="91" xfId="14" applyNumberFormat="1" applyFont="1" applyBorder="1" applyAlignment="1">
      <alignment horizontal="center" vertical="center" wrapText="1"/>
    </xf>
    <xf numFmtId="2" fontId="8" fillId="0" borderId="28" xfId="14" applyNumberFormat="1" applyFont="1" applyBorder="1" applyAlignment="1">
      <alignment horizontal="center" vertical="center" wrapText="1"/>
    </xf>
    <xf numFmtId="2" fontId="8" fillId="0" borderId="28" xfId="15" applyNumberFormat="1" applyFont="1" applyBorder="1" applyAlignment="1">
      <alignment horizontal="center" vertical="center"/>
    </xf>
    <xf numFmtId="2" fontId="8" fillId="0" borderId="28" xfId="15" applyNumberFormat="1" applyFont="1" applyFill="1" applyBorder="1" applyAlignment="1" applyProtection="1">
      <alignment horizontal="center" vertical="center"/>
    </xf>
    <xf numFmtId="2" fontId="8" fillId="0" borderId="28" xfId="15" applyNumberFormat="1" applyFont="1" applyFill="1" applyBorder="1" applyAlignment="1" applyProtection="1">
      <alignment horizontal="center" vertical="center"/>
      <protection locked="0"/>
    </xf>
    <xf numFmtId="2" fontId="147" fillId="23" borderId="51" xfId="14" applyNumberFormat="1" applyFont="1" applyFill="1" applyBorder="1" applyAlignment="1">
      <alignment horizontal="center" vertical="center" wrapText="1"/>
    </xf>
    <xf numFmtId="2" fontId="8" fillId="0" borderId="29" xfId="15" applyNumberFormat="1" applyFont="1" applyFill="1" applyBorder="1" applyAlignment="1" applyProtection="1">
      <alignment horizontal="center" vertical="center"/>
      <protection locked="0"/>
    </xf>
    <xf numFmtId="0" fontId="8" fillId="0" borderId="12" xfId="5" applyBorder="1" applyAlignment="1">
      <alignment vertical="center"/>
    </xf>
    <xf numFmtId="4" fontId="7" fillId="27" borderId="36" xfId="0" applyNumberFormat="1" applyFont="1" applyFill="1" applyBorder="1" applyAlignment="1" applyProtection="1">
      <alignment vertical="center"/>
      <protection locked="0"/>
    </xf>
    <xf numFmtId="4" fontId="7" fillId="0" borderId="36" xfId="0" applyNumberFormat="1" applyFont="1" applyBorder="1" applyAlignment="1">
      <alignment vertical="center"/>
    </xf>
    <xf numFmtId="0" fontId="7" fillId="27" borderId="36" xfId="0" applyFont="1" applyFill="1" applyBorder="1" applyAlignment="1" applyProtection="1">
      <alignment vertical="center" wrapText="1"/>
      <protection locked="0"/>
    </xf>
    <xf numFmtId="167" fontId="11" fillId="0" borderId="36" xfId="3" applyNumberFormat="1" applyFont="1" applyBorder="1" applyAlignment="1">
      <alignment vertical="center" wrapText="1"/>
    </xf>
    <xf numFmtId="4" fontId="8" fillId="0" borderId="36" xfId="3" applyNumberFormat="1" applyFont="1" applyBorder="1" applyAlignment="1">
      <alignment horizontal="center" vertical="center"/>
    </xf>
    <xf numFmtId="4" fontId="8" fillId="0" borderId="162" xfId="3" applyNumberFormat="1" applyFont="1" applyBorder="1" applyAlignment="1">
      <alignment horizontal="center" vertical="center"/>
    </xf>
    <xf numFmtId="0" fontId="8" fillId="0" borderId="38" xfId="6" applyFont="1" applyBorder="1" applyAlignment="1">
      <alignment horizontal="left" vertical="center" wrapText="1"/>
    </xf>
    <xf numFmtId="49" fontId="8" fillId="0" borderId="164" xfId="3" applyNumberFormat="1" applyFont="1" applyBorder="1" applyAlignment="1" applyProtection="1">
      <alignment horizontal="center" vertical="center"/>
      <protection hidden="1"/>
    </xf>
    <xf numFmtId="0" fontId="35" fillId="0" borderId="36" xfId="5" applyFont="1" applyBorder="1" applyAlignment="1">
      <alignment vertical="center" wrapText="1"/>
    </xf>
    <xf numFmtId="0" fontId="8" fillId="0" borderId="7" xfId="5" applyBorder="1" applyAlignment="1">
      <alignment vertical="center"/>
    </xf>
    <xf numFmtId="0" fontId="60" fillId="0" borderId="12" xfId="14" applyFont="1" applyBorder="1" applyAlignment="1">
      <alignment vertical="center"/>
    </xf>
    <xf numFmtId="0" fontId="25" fillId="0" borderId="165" xfId="14" applyFont="1" applyBorder="1" applyAlignment="1">
      <alignment horizontal="center" vertical="center" wrapText="1"/>
    </xf>
    <xf numFmtId="0" fontId="17" fillId="0" borderId="162" xfId="0" quotePrefix="1" applyFont="1" applyBorder="1" applyAlignment="1">
      <alignment horizontal="center" vertical="center"/>
    </xf>
    <xf numFmtId="0" fontId="7" fillId="0" borderId="162" xfId="0" applyFont="1" applyBorder="1" applyAlignment="1">
      <alignment vertical="center" wrapText="1"/>
    </xf>
    <xf numFmtId="0" fontId="150" fillId="0" borderId="14" xfId="0" applyFont="1" applyBorder="1" applyAlignment="1">
      <alignment horizontal="left" vertical="center"/>
    </xf>
    <xf numFmtId="0" fontId="107" fillId="11" borderId="147" xfId="0" quotePrefix="1" applyFont="1" applyFill="1" applyBorder="1" applyAlignment="1">
      <alignment vertical="center" wrapText="1"/>
    </xf>
    <xf numFmtId="0" fontId="107" fillId="11" borderId="146" xfId="0" quotePrefix="1" applyFont="1" applyFill="1" applyBorder="1" applyAlignment="1">
      <alignment vertical="center" wrapText="1"/>
    </xf>
    <xf numFmtId="0" fontId="116" fillId="0" borderId="49" xfId="14" applyFont="1" applyBorder="1" applyAlignment="1">
      <alignment horizontal="left" vertical="center" wrapText="1"/>
    </xf>
    <xf numFmtId="0" fontId="107" fillId="0" borderId="14" xfId="0" applyFont="1" applyBorder="1" applyAlignment="1">
      <alignment horizontal="left" vertical="center"/>
    </xf>
    <xf numFmtId="0" fontId="107" fillId="0" borderId="146" xfId="0" applyFont="1" applyBorder="1" applyAlignment="1">
      <alignment vertical="center" wrapText="1"/>
    </xf>
    <xf numFmtId="0" fontId="8" fillId="0" borderId="60" xfId="21" applyBorder="1" applyAlignment="1">
      <alignment horizontal="center" vertical="center" wrapText="1"/>
    </xf>
    <xf numFmtId="0" fontId="149" fillId="7" borderId="14" xfId="0" applyFont="1" applyFill="1" applyBorder="1" applyAlignment="1">
      <alignment horizontal="left" vertical="center"/>
    </xf>
    <xf numFmtId="0" fontId="149" fillId="7" borderId="14" xfId="0" applyFont="1" applyFill="1" applyBorder="1" applyAlignment="1">
      <alignment horizontal="left" vertical="center" wrapText="1"/>
    </xf>
    <xf numFmtId="0" fontId="150" fillId="7" borderId="14" xfId="0" applyFont="1" applyFill="1" applyBorder="1" applyAlignment="1">
      <alignment horizontal="left" vertical="center" wrapText="1"/>
    </xf>
    <xf numFmtId="0" fontId="152" fillId="0" borderId="14" xfId="0" applyFont="1" applyBorder="1" applyAlignment="1">
      <alignment horizontal="left" vertical="center"/>
    </xf>
    <xf numFmtId="2" fontId="49" fillId="3" borderId="163" xfId="3" applyNumberFormat="1" applyFont="1" applyFill="1" applyBorder="1" applyAlignment="1">
      <alignment horizontal="center" vertical="top" wrapText="1"/>
    </xf>
    <xf numFmtId="2" fontId="11" fillId="3" borderId="148" xfId="3" applyNumberFormat="1" applyFont="1" applyFill="1" applyBorder="1" applyAlignment="1">
      <alignment horizontal="center" vertical="center" wrapText="1"/>
    </xf>
    <xf numFmtId="167" fontId="11" fillId="20" borderId="14" xfId="3" applyNumberFormat="1" applyFont="1" applyFill="1" applyBorder="1" applyAlignment="1">
      <alignment vertical="center" wrapText="1"/>
    </xf>
    <xf numFmtId="3" fontId="11" fillId="20" borderId="56" xfId="3" applyNumberFormat="1" applyFont="1" applyFill="1" applyBorder="1" applyAlignment="1">
      <alignment horizontal="center" vertical="center" wrapText="1"/>
    </xf>
    <xf numFmtId="3" fontId="11" fillId="20" borderId="155" xfId="3" applyNumberFormat="1" applyFont="1" applyFill="1" applyBorder="1" applyAlignment="1">
      <alignment horizontal="center" vertical="center" wrapText="1"/>
    </xf>
    <xf numFmtId="0" fontId="8" fillId="0" borderId="162" xfId="6" applyFont="1" applyBorder="1" applyAlignment="1">
      <alignment horizontal="center" vertical="center" wrapText="1"/>
    </xf>
    <xf numFmtId="167" fontId="8" fillId="15" borderId="162" xfId="12" applyNumberFormat="1" applyFont="1" applyFill="1" applyBorder="1" applyAlignment="1">
      <alignment horizontal="center" vertical="center"/>
    </xf>
    <xf numFmtId="167" fontId="8" fillId="15" borderId="36" xfId="12" applyNumberFormat="1" applyFont="1" applyFill="1" applyBorder="1" applyAlignment="1">
      <alignment horizontal="center" vertical="center"/>
    </xf>
    <xf numFmtId="167" fontId="8" fillId="15" borderId="146" xfId="12" applyNumberFormat="1" applyFont="1" applyFill="1" applyBorder="1" applyAlignment="1">
      <alignment horizontal="center" vertical="center"/>
    </xf>
    <xf numFmtId="0" fontId="8" fillId="0" borderId="0" xfId="5" quotePrefix="1" applyAlignment="1">
      <alignment vertical="center"/>
    </xf>
    <xf numFmtId="0" fontId="107" fillId="0" borderId="26" xfId="0" applyFont="1" applyBorder="1" applyAlignment="1">
      <alignment vertical="center" wrapText="1"/>
    </xf>
    <xf numFmtId="0" fontId="107" fillId="0" borderId="91" xfId="0" applyFont="1" applyBorder="1" applyAlignment="1">
      <alignment vertical="center" wrapText="1"/>
    </xf>
    <xf numFmtId="0" fontId="44" fillId="0" borderId="91" xfId="0" applyFont="1" applyBorder="1" applyAlignment="1">
      <alignment horizontal="left" vertical="center" wrapText="1"/>
    </xf>
    <xf numFmtId="0" fontId="8" fillId="0" borderId="0" xfId="4" applyAlignment="1">
      <alignment horizontal="left" wrapText="1"/>
    </xf>
    <xf numFmtId="0" fontId="2" fillId="0" borderId="0" xfId="3" applyFont="1" applyAlignment="1">
      <alignment horizontal="left" vertical="center" wrapText="1"/>
    </xf>
    <xf numFmtId="0" fontId="42" fillId="0" borderId="0" xfId="3" applyFont="1" applyAlignment="1">
      <alignment horizontal="left" vertical="center" wrapText="1"/>
    </xf>
    <xf numFmtId="2" fontId="11" fillId="18" borderId="68" xfId="3" applyNumberFormat="1" applyFont="1" applyFill="1" applyBorder="1" applyAlignment="1">
      <alignment horizontal="left" vertical="center" wrapText="1"/>
    </xf>
    <xf numFmtId="49" fontId="21" fillId="2" borderId="18" xfId="4" applyNumberFormat="1" applyFont="1" applyFill="1" applyBorder="1" applyAlignment="1">
      <alignment horizontal="left" vertical="top" wrapText="1"/>
    </xf>
    <xf numFmtId="49" fontId="11" fillId="6" borderId="18" xfId="4" applyNumberFormat="1" applyFont="1" applyFill="1" applyBorder="1" applyAlignment="1">
      <alignment horizontal="left" vertical="top" wrapText="1"/>
    </xf>
    <xf numFmtId="49" fontId="11" fillId="7" borderId="18" xfId="0" applyNumberFormat="1" applyFont="1" applyFill="1" applyBorder="1" applyAlignment="1">
      <alignment horizontal="left" vertical="top" wrapText="1"/>
    </xf>
    <xf numFmtId="49" fontId="11" fillId="0" borderId="18" xfId="0" applyNumberFormat="1" applyFont="1" applyBorder="1" applyAlignment="1">
      <alignment horizontal="left" vertical="top" wrapText="1"/>
    </xf>
    <xf numFmtId="49" fontId="11" fillId="6" borderId="18" xfId="6" applyNumberFormat="1" applyFont="1" applyFill="1" applyBorder="1" applyAlignment="1">
      <alignment horizontal="left" vertical="top" wrapText="1"/>
    </xf>
    <xf numFmtId="49" fontId="11" fillId="0" borderId="18" xfId="4" applyNumberFormat="1" applyFont="1" applyBorder="1" applyAlignment="1">
      <alignment horizontal="left" vertical="top" wrapText="1"/>
    </xf>
    <xf numFmtId="0" fontId="11" fillId="0" borderId="18" xfId="0" applyFont="1" applyBorder="1" applyAlignment="1">
      <alignment horizontal="left" vertical="top" wrapText="1"/>
    </xf>
    <xf numFmtId="0" fontId="11" fillId="0" borderId="18" xfId="4" applyFont="1" applyBorder="1" applyAlignment="1">
      <alignment horizontal="left" vertical="top" wrapText="1"/>
    </xf>
    <xf numFmtId="0" fontId="8" fillId="0" borderId="18" xfId="4" applyBorder="1" applyAlignment="1">
      <alignment horizontal="left" vertical="top" wrapText="1"/>
    </xf>
    <xf numFmtId="0" fontId="8" fillId="0" borderId="18" xfId="0" applyFont="1" applyBorder="1" applyAlignment="1">
      <alignment horizontal="left" vertical="top" wrapText="1"/>
    </xf>
    <xf numFmtId="49" fontId="11" fillId="6" borderId="46" xfId="4" applyNumberFormat="1" applyFont="1" applyFill="1" applyBorder="1" applyAlignment="1">
      <alignment horizontal="left" vertical="center" wrapText="1"/>
    </xf>
    <xf numFmtId="49" fontId="11" fillId="6" borderId="158" xfId="4" applyNumberFormat="1" applyFont="1" applyFill="1" applyBorder="1" applyAlignment="1">
      <alignment horizontal="left" vertical="center" wrapText="1"/>
    </xf>
    <xf numFmtId="0" fontId="8" fillId="7" borderId="161" xfId="0" applyFont="1" applyFill="1" applyBorder="1" applyAlignment="1">
      <alignment horizontal="left" vertical="center" wrapText="1"/>
    </xf>
    <xf numFmtId="0" fontId="8" fillId="7" borderId="39" xfId="6" applyFont="1" applyFill="1" applyBorder="1" applyAlignment="1">
      <alignment horizontal="left" vertical="center" wrapText="1"/>
    </xf>
    <xf numFmtId="49" fontId="21" fillId="2" borderId="159" xfId="4" applyNumberFormat="1" applyFont="1" applyFill="1" applyBorder="1" applyAlignment="1">
      <alignment horizontal="left" vertical="top" wrapText="1"/>
    </xf>
    <xf numFmtId="0" fontId="4" fillId="12" borderId="25" xfId="4" applyFont="1" applyFill="1" applyBorder="1" applyAlignment="1">
      <alignment horizontal="left" vertical="center" wrapText="1"/>
    </xf>
    <xf numFmtId="0" fontId="8" fillId="0" borderId="0" xfId="4" quotePrefix="1" applyAlignment="1">
      <alignment horizontal="left" wrapText="1"/>
    </xf>
    <xf numFmtId="0" fontId="7" fillId="0" borderId="39" xfId="6" applyFont="1" applyBorder="1" applyAlignment="1">
      <alignment horizontal="left" vertical="center" wrapText="1"/>
    </xf>
    <xf numFmtId="0" fontId="8" fillId="7" borderId="39" xfId="6" applyFont="1" applyFill="1" applyBorder="1" applyAlignment="1">
      <alignment horizontal="center" vertical="center"/>
    </xf>
    <xf numFmtId="0" fontId="8" fillId="7" borderId="39" xfId="6" applyFont="1" applyFill="1" applyBorder="1" applyAlignment="1">
      <alignment horizontal="center" vertical="center" wrapText="1"/>
    </xf>
    <xf numFmtId="167" fontId="23" fillId="48" borderId="22" xfId="4" applyNumberFormat="1" applyFont="1" applyFill="1" applyBorder="1" applyAlignment="1">
      <alignment horizontal="center" vertical="center" wrapText="1"/>
    </xf>
    <xf numFmtId="167" fontId="23" fillId="48" borderId="18" xfId="4" applyNumberFormat="1" applyFont="1" applyFill="1" applyBorder="1" applyAlignment="1">
      <alignment horizontal="center" vertical="center" wrapText="1"/>
    </xf>
    <xf numFmtId="167" fontId="15" fillId="49" borderId="81" xfId="6" applyNumberFormat="1" applyFont="1" applyFill="1" applyBorder="1" applyAlignment="1">
      <alignment horizontal="center" vertical="center" wrapText="1"/>
    </xf>
    <xf numFmtId="0" fontId="37" fillId="36" borderId="14" xfId="0" applyFont="1" applyFill="1" applyBorder="1" applyAlignment="1">
      <alignment vertical="center" wrapText="1"/>
    </xf>
    <xf numFmtId="0" fontId="59" fillId="0" borderId="0" xfId="15" applyNumberFormat="1" applyFont="1" applyFill="1" applyBorder="1" applyAlignment="1" applyProtection="1">
      <alignment horizontal="right" vertical="center"/>
    </xf>
    <xf numFmtId="4" fontId="8" fillId="0" borderId="146" xfId="3" applyNumberFormat="1" applyFont="1" applyBorder="1" applyAlignment="1">
      <alignment horizontal="center" vertical="center"/>
    </xf>
    <xf numFmtId="0" fontId="70" fillId="0" borderId="14" xfId="15" applyNumberFormat="1" applyFont="1" applyFill="1" applyBorder="1" applyAlignment="1" applyProtection="1">
      <alignment horizontal="center" vertical="center"/>
    </xf>
    <xf numFmtId="14" fontId="89" fillId="0" borderId="14" xfId="0" applyNumberFormat="1" applyFont="1" applyBorder="1" applyAlignment="1">
      <alignment horizontal="center"/>
    </xf>
    <xf numFmtId="0" fontId="57" fillId="0" borderId="29" xfId="15" applyNumberFormat="1" applyFont="1" applyFill="1" applyBorder="1" applyAlignment="1" applyProtection="1">
      <alignment vertical="center"/>
    </xf>
    <xf numFmtId="165" fontId="57" fillId="0" borderId="29" xfId="19" applyFont="1" applyFill="1" applyBorder="1" applyAlignment="1" applyProtection="1">
      <alignment vertical="center"/>
    </xf>
    <xf numFmtId="0" fontId="59" fillId="0" borderId="166" xfId="15" applyNumberFormat="1" applyFont="1" applyFill="1" applyBorder="1" applyAlignment="1" applyProtection="1">
      <alignment horizontal="right" vertical="center"/>
    </xf>
    <xf numFmtId="0" fontId="0" fillId="0" borderId="108" xfId="0" applyBorder="1"/>
    <xf numFmtId="165" fontId="0" fillId="0" borderId="108" xfId="19" applyFont="1" applyBorder="1"/>
    <xf numFmtId="165" fontId="0" fillId="0" borderId="167" xfId="19" applyFont="1" applyBorder="1"/>
    <xf numFmtId="0" fontId="59" fillId="39" borderId="104" xfId="15" applyNumberFormat="1" applyFont="1" applyFill="1" applyBorder="1" applyAlignment="1" applyProtection="1">
      <alignment horizontal="center" vertical="center"/>
    </xf>
    <xf numFmtId="0" fontId="59" fillId="39" borderId="148" xfId="15" applyNumberFormat="1" applyFont="1" applyFill="1" applyBorder="1" applyAlignment="1" applyProtection="1">
      <alignment vertical="center"/>
    </xf>
    <xf numFmtId="0" fontId="59" fillId="39" borderId="148" xfId="15" applyNumberFormat="1" applyFont="1" applyFill="1" applyBorder="1" applyAlignment="1" applyProtection="1">
      <alignment horizontal="center" vertical="center"/>
    </xf>
    <xf numFmtId="0" fontId="59" fillId="39" borderId="3" xfId="15" applyNumberFormat="1" applyFont="1" applyFill="1" applyBorder="1" applyAlignment="1" applyProtection="1">
      <alignment horizontal="center" vertical="center"/>
    </xf>
    <xf numFmtId="0" fontId="59" fillId="0" borderId="168" xfId="15" applyNumberFormat="1" applyFont="1" applyFill="1" applyBorder="1" applyAlignment="1" applyProtection="1">
      <alignment horizontal="right" vertical="center"/>
    </xf>
    <xf numFmtId="165" fontId="57" fillId="0" borderId="169" xfId="19" applyFont="1" applyFill="1" applyBorder="1" applyAlignment="1" applyProtection="1">
      <alignment vertical="center"/>
    </xf>
    <xf numFmtId="0" fontId="59" fillId="0" borderId="78" xfId="15" applyNumberFormat="1" applyFont="1" applyFill="1" applyBorder="1" applyAlignment="1" applyProtection="1">
      <alignment horizontal="right" vertical="center"/>
    </xf>
    <xf numFmtId="165" fontId="57" fillId="0" borderId="170" xfId="19" applyFont="1" applyFill="1" applyBorder="1" applyAlignment="1" applyProtection="1">
      <alignment vertical="center"/>
    </xf>
    <xf numFmtId="0" fontId="8" fillId="0" borderId="117" xfId="0" applyFont="1" applyBorder="1" applyAlignment="1">
      <alignment vertical="center"/>
    </xf>
    <xf numFmtId="0" fontId="8" fillId="0" borderId="52" xfId="0" applyFont="1" applyBorder="1" applyAlignment="1">
      <alignment horizontal="left" vertical="center" wrapText="1"/>
    </xf>
    <xf numFmtId="0" fontId="8" fillId="0" borderId="26" xfId="0" applyFont="1" applyBorder="1" applyAlignment="1">
      <alignment horizontal="center" vertical="center"/>
    </xf>
    <xf numFmtId="0" fontId="8" fillId="0" borderId="26" xfId="0" applyFont="1" applyBorder="1" applyAlignment="1">
      <alignment horizontal="left" vertical="center" wrapText="1"/>
    </xf>
    <xf numFmtId="0" fontId="8" fillId="34" borderId="154" xfId="0" applyFont="1" applyFill="1" applyBorder="1" applyAlignment="1">
      <alignment horizontal="center" vertical="center" wrapText="1"/>
    </xf>
    <xf numFmtId="0" fontId="8" fillId="0" borderId="26" xfId="0" applyFont="1" applyBorder="1" applyAlignment="1">
      <alignment horizontal="center" vertical="center" wrapText="1"/>
    </xf>
    <xf numFmtId="0" fontId="7" fillId="50" borderId="26" xfId="0" applyFont="1" applyFill="1" applyBorder="1" applyAlignment="1">
      <alignment vertical="center"/>
    </xf>
    <xf numFmtId="0" fontId="7" fillId="50" borderId="26" xfId="0" applyFont="1" applyFill="1" applyBorder="1" applyAlignment="1">
      <alignment vertical="center" wrapText="1"/>
    </xf>
    <xf numFmtId="0" fontId="107" fillId="51" borderId="14" xfId="0" quotePrefix="1" applyFont="1" applyFill="1" applyBorder="1" applyAlignment="1">
      <alignment vertical="center" wrapText="1"/>
    </xf>
    <xf numFmtId="0" fontId="8" fillId="51" borderId="39" xfId="6" applyFont="1" applyFill="1" applyBorder="1" applyAlignment="1">
      <alignment horizontal="center" vertical="center"/>
    </xf>
    <xf numFmtId="0" fontId="8" fillId="51" borderId="39" xfId="6" applyFont="1" applyFill="1" applyBorder="1" applyAlignment="1">
      <alignment horizontal="left" vertical="center" wrapText="1"/>
    </xf>
    <xf numFmtId="0" fontId="107" fillId="51" borderId="26" xfId="0" quotePrefix="1" applyFont="1" applyFill="1" applyBorder="1" applyAlignment="1">
      <alignment vertical="center" wrapText="1"/>
    </xf>
    <xf numFmtId="0" fontId="8" fillId="51" borderId="39" xfId="6" applyFont="1" applyFill="1" applyBorder="1" applyAlignment="1">
      <alignment horizontal="center" vertical="center" wrapText="1"/>
    </xf>
    <xf numFmtId="4" fontId="8" fillId="51" borderId="39" xfId="3" applyNumberFormat="1" applyFont="1" applyFill="1" applyBorder="1" applyAlignment="1">
      <alignment horizontal="center" vertical="center"/>
    </xf>
    <xf numFmtId="4" fontId="8" fillId="51" borderId="36" xfId="3" applyNumberFormat="1" applyFont="1" applyFill="1" applyBorder="1" applyAlignment="1">
      <alignment horizontal="center" vertical="center"/>
    </xf>
    <xf numFmtId="0" fontId="116" fillId="0" borderId="18" xfId="4" applyFont="1" applyBorder="1" applyAlignment="1">
      <alignment horizontal="left" vertical="top" wrapText="1"/>
    </xf>
    <xf numFmtId="167" fontId="8" fillId="0" borderId="162" xfId="3" applyNumberFormat="1" applyFont="1" applyBorder="1" applyAlignment="1">
      <alignment horizontal="center" vertical="center" wrapText="1"/>
    </xf>
    <xf numFmtId="0" fontId="107" fillId="0" borderId="39" xfId="0" quotePrefix="1" applyFont="1" applyBorder="1" applyAlignment="1">
      <alignment vertical="center" wrapText="1"/>
    </xf>
    <xf numFmtId="0" fontId="0" fillId="0" borderId="38" xfId="0" applyBorder="1"/>
    <xf numFmtId="2" fontId="8" fillId="0" borderId="26" xfId="3" applyNumberFormat="1" applyFont="1" applyBorder="1" applyAlignment="1">
      <alignment horizontal="center" vertical="center"/>
    </xf>
    <xf numFmtId="4" fontId="8" fillId="14" borderId="39" xfId="3" applyNumberFormat="1" applyFont="1" applyFill="1" applyBorder="1" applyAlignment="1">
      <alignment horizontal="center" vertical="center"/>
    </xf>
    <xf numFmtId="0" fontId="8" fillId="14" borderId="146" xfId="6" applyFont="1" applyFill="1" applyBorder="1" applyAlignment="1">
      <alignment horizontal="left" vertical="center" wrapText="1"/>
    </xf>
    <xf numFmtId="0" fontId="0" fillId="0" borderId="49" xfId="0" applyBorder="1" applyAlignment="1">
      <alignment horizontal="center"/>
    </xf>
    <xf numFmtId="0" fontId="8" fillId="14" borderId="26" xfId="14" applyFont="1" applyFill="1" applyBorder="1" applyAlignment="1">
      <alignment horizontal="left" vertical="center" wrapText="1"/>
    </xf>
    <xf numFmtId="3" fontId="8" fillId="14" borderId="18" xfId="3" applyNumberFormat="1" applyFont="1" applyFill="1" applyBorder="1" applyAlignment="1">
      <alignment horizontal="center" vertical="center" wrapText="1"/>
    </xf>
    <xf numFmtId="3" fontId="8" fillId="14" borderId="26" xfId="15" applyNumberFormat="1" applyFont="1" applyFill="1" applyBorder="1" applyAlignment="1" applyProtection="1">
      <alignment horizontal="center" vertical="center"/>
    </xf>
    <xf numFmtId="167" fontId="4" fillId="49" borderId="22" xfId="4" applyNumberFormat="1" applyFont="1" applyFill="1" applyBorder="1" applyAlignment="1">
      <alignment horizontal="center" vertical="center" wrapText="1"/>
    </xf>
    <xf numFmtId="0" fontId="8" fillId="44" borderId="39" xfId="6" applyFont="1" applyFill="1" applyBorder="1" applyAlignment="1">
      <alignment horizontal="center" vertical="center" wrapText="1"/>
    </xf>
    <xf numFmtId="0" fontId="8" fillId="14" borderId="36" xfId="6" applyFont="1" applyFill="1" applyBorder="1" applyAlignment="1">
      <alignment horizontal="left" vertical="center" wrapText="1"/>
    </xf>
    <xf numFmtId="0" fontId="44" fillId="0" borderId="39" xfId="6" applyFont="1" applyBorder="1" applyAlignment="1">
      <alignment horizontal="left" vertical="center" wrapText="1"/>
    </xf>
    <xf numFmtId="0" fontId="116" fillId="0" borderId="39" xfId="6" applyFont="1" applyBorder="1" applyAlignment="1">
      <alignment horizontal="left" vertical="center" wrapText="1"/>
    </xf>
    <xf numFmtId="4" fontId="8" fillId="44" borderId="14" xfId="15" applyNumberFormat="1" applyFont="1" applyFill="1" applyBorder="1" applyAlignment="1">
      <alignment vertical="center"/>
    </xf>
    <xf numFmtId="3" fontId="130" fillId="8" borderId="18" xfId="3" applyNumberFormat="1" applyFont="1" applyFill="1" applyBorder="1" applyAlignment="1">
      <alignment horizontal="center" vertical="center" wrapText="1"/>
    </xf>
    <xf numFmtId="3" fontId="8" fillId="44" borderId="39" xfId="3" applyNumberFormat="1" applyFont="1" applyFill="1" applyBorder="1" applyAlignment="1">
      <alignment horizontal="center" vertical="center"/>
    </xf>
    <xf numFmtId="0" fontId="35" fillId="44" borderId="19" xfId="6" applyFont="1" applyFill="1" applyBorder="1" applyAlignment="1">
      <alignment vertical="center" wrapText="1"/>
    </xf>
    <xf numFmtId="0" fontId="8" fillId="0" borderId="165" xfId="6" applyFont="1" applyBorder="1" applyAlignment="1">
      <alignment horizontal="center" vertical="center"/>
    </xf>
    <xf numFmtId="0" fontId="8" fillId="0" borderId="171" xfId="6" applyFont="1" applyBorder="1" applyAlignment="1">
      <alignment horizontal="center" vertical="center"/>
    </xf>
    <xf numFmtId="167" fontId="136" fillId="7" borderId="162" xfId="3" applyNumberFormat="1" applyFont="1" applyFill="1" applyBorder="1" applyAlignment="1">
      <alignment horizontal="center" vertical="center" wrapText="1"/>
    </xf>
    <xf numFmtId="167" fontId="8" fillId="0" borderId="14" xfId="11" applyNumberFormat="1" applyFont="1" applyBorder="1"/>
    <xf numFmtId="43" fontId="153" fillId="2" borderId="0" xfId="13" applyFont="1" applyFill="1"/>
    <xf numFmtId="167" fontId="61" fillId="0" borderId="0" xfId="14" applyNumberFormat="1" applyFont="1" applyAlignment="1">
      <alignment vertical="center"/>
    </xf>
    <xf numFmtId="0" fontId="4" fillId="12" borderId="0" xfId="6" applyFont="1" applyFill="1" applyAlignment="1">
      <alignment horizontal="center" vertical="center"/>
    </xf>
    <xf numFmtId="49" fontId="85" fillId="10" borderId="0" xfId="6" applyNumberFormat="1" applyFont="1" applyFill="1" applyAlignment="1">
      <alignment horizontal="center" vertical="center" wrapText="1"/>
    </xf>
    <xf numFmtId="0" fontId="20" fillId="10" borderId="0" xfId="7" quotePrefix="1" applyFont="1" applyFill="1" applyAlignment="1" applyProtection="1">
      <alignment horizontal="center" vertical="center" wrapText="1"/>
      <protection hidden="1"/>
    </xf>
    <xf numFmtId="0" fontId="21" fillId="10" borderId="0" xfId="7" applyFont="1" applyFill="1" applyAlignment="1" applyProtection="1">
      <alignment horizontal="left" vertical="center" wrapText="1"/>
      <protection hidden="1"/>
    </xf>
    <xf numFmtId="0" fontId="21" fillId="10" borderId="0" xfId="7" applyFont="1" applyFill="1" applyAlignment="1" applyProtection="1">
      <alignment horizontal="center" vertical="center" wrapText="1"/>
      <protection hidden="1"/>
    </xf>
    <xf numFmtId="0" fontId="85" fillId="10" borderId="0" xfId="6" applyFont="1" applyFill="1" applyAlignment="1">
      <alignment horizontal="center" vertical="center" wrapText="1"/>
    </xf>
    <xf numFmtId="167" fontId="23" fillId="10" borderId="0" xfId="6" applyNumberFormat="1" applyFont="1" applyFill="1" applyAlignment="1">
      <alignment horizontal="center" vertical="center" wrapText="1"/>
    </xf>
    <xf numFmtId="0" fontId="86" fillId="10" borderId="0" xfId="6" applyFont="1" applyFill="1" applyAlignment="1">
      <alignment vertical="center" wrapText="1"/>
    </xf>
    <xf numFmtId="1" fontId="8" fillId="44" borderId="39" xfId="3" applyNumberFormat="1" applyFont="1" applyFill="1" applyBorder="1" applyAlignment="1">
      <alignment horizontal="center" vertical="center"/>
    </xf>
    <xf numFmtId="167" fontId="60" fillId="0" borderId="0" xfId="14" applyNumberFormat="1" applyFont="1" applyAlignment="1">
      <alignment vertical="center"/>
    </xf>
    <xf numFmtId="167" fontId="25" fillId="0" borderId="0" xfId="14" applyNumberFormat="1" applyFont="1" applyAlignment="1">
      <alignment vertical="center"/>
    </xf>
    <xf numFmtId="0" fontId="154" fillId="0" borderId="39" xfId="5" applyFont="1" applyBorder="1" applyAlignment="1">
      <alignment horizontal="center" vertical="center" wrapText="1"/>
    </xf>
    <xf numFmtId="0" fontId="155" fillId="0" borderId="39" xfId="5" applyFont="1" applyBorder="1" applyAlignment="1">
      <alignment horizontal="center" vertical="center" wrapText="1"/>
    </xf>
    <xf numFmtId="165" fontId="0" fillId="0" borderId="0" xfId="0" applyNumberFormat="1"/>
    <xf numFmtId="175" fontId="0" fillId="0" borderId="0" xfId="19" applyNumberFormat="1" applyFont="1"/>
    <xf numFmtId="178" fontId="0" fillId="0" borderId="0" xfId="0" applyNumberFormat="1"/>
    <xf numFmtId="179" fontId="0" fillId="0" borderId="0" xfId="0" applyNumberFormat="1"/>
    <xf numFmtId="180" fontId="0" fillId="0" borderId="0" xfId="0" applyNumberFormat="1"/>
    <xf numFmtId="174" fontId="57" fillId="7" borderId="28" xfId="15" applyNumberFormat="1" applyFont="1" applyFill="1" applyBorder="1" applyAlignment="1" applyProtection="1">
      <alignment horizontal="left" vertical="center"/>
    </xf>
    <xf numFmtId="174" fontId="57" fillId="7" borderId="49" xfId="15" applyNumberFormat="1" applyFont="1" applyFill="1" applyBorder="1" applyAlignment="1" applyProtection="1">
      <alignment horizontal="left" vertical="center"/>
    </xf>
    <xf numFmtId="174" fontId="57" fillId="7" borderId="29" xfId="15" applyNumberFormat="1" applyFont="1" applyFill="1" applyBorder="1" applyAlignment="1" applyProtection="1">
      <alignment horizontal="center" vertical="center"/>
    </xf>
    <xf numFmtId="174" fontId="57" fillId="7" borderId="53" xfId="15" applyNumberFormat="1" applyFont="1" applyFill="1" applyBorder="1" applyAlignment="1" applyProtection="1">
      <alignment horizontal="center" vertical="center"/>
    </xf>
    <xf numFmtId="174" fontId="57" fillId="7" borderId="30" xfId="15" applyNumberFormat="1" applyFont="1" applyFill="1" applyBorder="1" applyAlignment="1" applyProtection="1">
      <alignment horizontal="center" vertical="center"/>
    </xf>
    <xf numFmtId="174" fontId="57" fillId="7" borderId="40" xfId="15" applyNumberFormat="1" applyFont="1" applyFill="1" applyBorder="1" applyAlignment="1" applyProtection="1">
      <alignment horizontal="center" vertical="center"/>
    </xf>
    <xf numFmtId="174" fontId="57" fillId="7" borderId="91" xfId="15" applyNumberFormat="1" applyFont="1" applyFill="1" applyBorder="1" applyAlignment="1" applyProtection="1">
      <alignment horizontal="center" vertical="center"/>
    </xf>
    <xf numFmtId="174" fontId="57" fillId="7" borderId="52" xfId="15" applyNumberFormat="1" applyFont="1" applyFill="1" applyBorder="1" applyAlignment="1" applyProtection="1">
      <alignment horizontal="center" vertical="center"/>
    </xf>
    <xf numFmtId="174" fontId="57" fillId="7" borderId="28" xfId="15" applyNumberFormat="1" applyFont="1" applyFill="1" applyBorder="1" applyAlignment="1" applyProtection="1">
      <alignment horizontal="center" vertical="center"/>
    </xf>
    <xf numFmtId="174" fontId="57" fillId="7" borderId="49" xfId="15" applyNumberFormat="1" applyFont="1" applyFill="1" applyBorder="1" applyAlignment="1" applyProtection="1">
      <alignment horizontal="center" vertical="center"/>
    </xf>
    <xf numFmtId="0" fontId="57" fillId="7" borderId="28" xfId="15" applyNumberFormat="1" applyFont="1" applyFill="1" applyBorder="1" applyAlignment="1" applyProtection="1">
      <alignment horizontal="left" vertical="center"/>
    </xf>
    <xf numFmtId="0" fontId="57" fillId="7" borderId="49" xfId="15" applyNumberFormat="1" applyFont="1" applyFill="1" applyBorder="1" applyAlignment="1" applyProtection="1">
      <alignment horizontal="left" vertical="center"/>
    </xf>
    <xf numFmtId="0" fontId="57" fillId="0" borderId="28" xfId="15" applyNumberFormat="1" applyFont="1" applyFill="1" applyBorder="1" applyAlignment="1" applyProtection="1">
      <alignment horizontal="left" vertical="center"/>
      <protection locked="0"/>
    </xf>
    <xf numFmtId="0" fontId="57" fillId="0" borderId="49" xfId="15" applyNumberFormat="1" applyFont="1" applyFill="1" applyBorder="1" applyAlignment="1" applyProtection="1">
      <alignment horizontal="left" vertical="center"/>
      <protection locked="0"/>
    </xf>
    <xf numFmtId="0" fontId="92" fillId="15" borderId="29" xfId="0" applyFont="1" applyFill="1" applyBorder="1" applyAlignment="1">
      <alignment horizontal="center" vertical="center" wrapText="1"/>
    </xf>
    <xf numFmtId="0" fontId="92" fillId="15" borderId="50" xfId="0" applyFont="1" applyFill="1" applyBorder="1" applyAlignment="1">
      <alignment horizontal="center" vertical="center" wrapText="1"/>
    </xf>
    <xf numFmtId="0" fontId="92" fillId="15" borderId="53" xfId="0" applyFont="1" applyFill="1" applyBorder="1" applyAlignment="1">
      <alignment horizontal="center" vertical="center" wrapText="1"/>
    </xf>
    <xf numFmtId="0" fontId="92" fillId="15" borderId="91" xfId="0" applyFont="1" applyFill="1" applyBorder="1" applyAlignment="1">
      <alignment horizontal="center" vertical="center" wrapText="1"/>
    </xf>
    <xf numFmtId="0" fontId="92" fillId="15" borderId="89" xfId="0" applyFont="1" applyFill="1" applyBorder="1" applyAlignment="1">
      <alignment horizontal="center" vertical="center" wrapText="1"/>
    </xf>
    <xf numFmtId="0" fontId="92" fillId="15" borderId="52" xfId="0" applyFont="1" applyFill="1" applyBorder="1" applyAlignment="1">
      <alignment horizontal="center" vertical="center" wrapText="1"/>
    </xf>
    <xf numFmtId="0" fontId="93" fillId="7" borderId="29" xfId="15" applyNumberFormat="1" applyFont="1" applyFill="1" applyBorder="1" applyAlignment="1" applyProtection="1">
      <alignment horizontal="center" vertical="center" wrapText="1"/>
    </xf>
    <xf numFmtId="0" fontId="93" fillId="7" borderId="50" xfId="15" applyNumberFormat="1" applyFont="1" applyFill="1" applyBorder="1" applyAlignment="1" applyProtection="1">
      <alignment horizontal="center" vertical="center" wrapText="1"/>
    </xf>
    <xf numFmtId="0" fontId="93" fillId="7" borderId="53" xfId="15" applyNumberFormat="1" applyFont="1" applyFill="1" applyBorder="1" applyAlignment="1" applyProtection="1">
      <alignment horizontal="center" vertical="center" wrapText="1"/>
    </xf>
    <xf numFmtId="0" fontId="93" fillId="7" borderId="30" xfId="15" applyNumberFormat="1" applyFont="1" applyFill="1" applyBorder="1" applyAlignment="1" applyProtection="1">
      <alignment horizontal="center" vertical="center" wrapText="1"/>
    </xf>
    <xf numFmtId="0" fontId="93" fillId="7" borderId="0" xfId="15" applyNumberFormat="1" applyFont="1" applyFill="1" applyBorder="1" applyAlignment="1" applyProtection="1">
      <alignment horizontal="center" vertical="center" wrapText="1"/>
    </xf>
    <xf numFmtId="0" fontId="93" fillId="7" borderId="40" xfId="15" applyNumberFormat="1" applyFont="1" applyFill="1" applyBorder="1" applyAlignment="1" applyProtection="1">
      <alignment horizontal="center" vertical="center" wrapText="1"/>
    </xf>
    <xf numFmtId="0" fontId="93" fillId="7" borderId="91" xfId="15" applyNumberFormat="1" applyFont="1" applyFill="1" applyBorder="1" applyAlignment="1" applyProtection="1">
      <alignment horizontal="center" vertical="center" wrapText="1"/>
    </xf>
    <xf numFmtId="0" fontId="93" fillId="7" borderId="89" xfId="15" applyNumberFormat="1" applyFont="1" applyFill="1" applyBorder="1" applyAlignment="1" applyProtection="1">
      <alignment horizontal="center" vertical="center" wrapText="1"/>
    </xf>
    <xf numFmtId="0" fontId="93" fillId="7" borderId="52" xfId="15" applyNumberFormat="1" applyFont="1" applyFill="1" applyBorder="1" applyAlignment="1" applyProtection="1">
      <alignment horizontal="center" vertical="center" wrapText="1"/>
    </xf>
    <xf numFmtId="0" fontId="57" fillId="24" borderId="28" xfId="15" applyNumberFormat="1" applyFont="1" applyFill="1" applyBorder="1" applyAlignment="1" applyProtection="1">
      <alignment horizontal="left" vertical="center"/>
      <protection locked="0"/>
    </xf>
    <xf numFmtId="0" fontId="57" fillId="24" borderId="49" xfId="15" applyNumberFormat="1" applyFont="1" applyFill="1" applyBorder="1" applyAlignment="1" applyProtection="1">
      <alignment horizontal="left" vertical="center"/>
      <protection locked="0"/>
    </xf>
    <xf numFmtId="0" fontId="70" fillId="24" borderId="28" xfId="15" applyNumberFormat="1" applyFont="1" applyFill="1" applyBorder="1" applyAlignment="1" applyProtection="1">
      <alignment horizontal="left" vertical="center"/>
      <protection locked="0"/>
    </xf>
    <xf numFmtId="0" fontId="70" fillId="24" borderId="49" xfId="15" applyNumberFormat="1" applyFont="1" applyFill="1" applyBorder="1" applyAlignment="1" applyProtection="1">
      <alignment horizontal="left" vertical="center"/>
      <protection locked="0"/>
    </xf>
    <xf numFmtId="0" fontId="97" fillId="7" borderId="14" xfId="15" applyNumberFormat="1" applyFont="1" applyFill="1" applyBorder="1" applyAlignment="1" applyProtection="1">
      <alignment horizontal="center" vertical="center" wrapText="1"/>
    </xf>
    <xf numFmtId="0" fontId="3" fillId="0" borderId="0" xfId="2" applyFont="1" applyAlignment="1">
      <alignment horizontal="center" vertical="center"/>
    </xf>
    <xf numFmtId="0" fontId="4" fillId="2" borderId="0" xfId="2" applyFont="1" applyFill="1" applyAlignment="1">
      <alignment horizontal="center" vertical="center"/>
    </xf>
    <xf numFmtId="0" fontId="11" fillId="36" borderId="28" xfId="0" applyFont="1" applyFill="1" applyBorder="1" applyAlignment="1">
      <alignment horizontal="center" vertical="center" wrapText="1"/>
    </xf>
    <xf numFmtId="0" fontId="11" fillId="36" borderId="51" xfId="0" applyFont="1" applyFill="1" applyBorder="1" applyAlignment="1">
      <alignment horizontal="center" vertical="center" wrapText="1"/>
    </xf>
    <xf numFmtId="0" fontId="11" fillId="4" borderId="29" xfId="3" applyFont="1" applyFill="1" applyBorder="1" applyAlignment="1" applyProtection="1">
      <alignment horizontal="center" vertical="center" wrapText="1"/>
      <protection hidden="1"/>
    </xf>
    <xf numFmtId="0" fontId="11" fillId="4" borderId="50" xfId="3" applyFont="1" applyFill="1" applyBorder="1" applyAlignment="1" applyProtection="1">
      <alignment horizontal="center" vertical="center" wrapText="1"/>
      <protection hidden="1"/>
    </xf>
    <xf numFmtId="0" fontId="11" fillId="4" borderId="53" xfId="3" applyFont="1" applyFill="1" applyBorder="1" applyAlignment="1" applyProtection="1">
      <alignment horizontal="center" vertical="center" wrapText="1"/>
      <protection hidden="1"/>
    </xf>
    <xf numFmtId="0" fontId="11" fillId="4" borderId="91" xfId="3" applyFont="1" applyFill="1" applyBorder="1" applyAlignment="1" applyProtection="1">
      <alignment horizontal="center" vertical="center" wrapText="1"/>
      <protection hidden="1"/>
    </xf>
    <xf numFmtId="0" fontId="11" fillId="4" borderId="89" xfId="3" applyFont="1" applyFill="1" applyBorder="1" applyAlignment="1" applyProtection="1">
      <alignment horizontal="center" vertical="center" wrapText="1"/>
      <protection hidden="1"/>
    </xf>
    <xf numFmtId="0" fontId="11" fillId="4" borderId="52" xfId="3" applyFont="1" applyFill="1" applyBorder="1" applyAlignment="1" applyProtection="1">
      <alignment horizontal="center" vertical="center" wrapText="1"/>
      <protection hidden="1"/>
    </xf>
    <xf numFmtId="0" fontId="11" fillId="4" borderId="28" xfId="3" applyFont="1" applyFill="1" applyBorder="1" applyAlignment="1" applyProtection="1">
      <alignment horizontal="center" vertical="center" wrapText="1"/>
      <protection hidden="1"/>
    </xf>
    <xf numFmtId="0" fontId="11" fillId="4" borderId="51" xfId="3" applyFont="1" applyFill="1" applyBorder="1" applyAlignment="1" applyProtection="1">
      <alignment horizontal="center" vertical="center" wrapText="1"/>
      <protection hidden="1"/>
    </xf>
    <xf numFmtId="0" fontId="11" fillId="4" borderId="49" xfId="3" applyFont="1" applyFill="1" applyBorder="1" applyAlignment="1" applyProtection="1">
      <alignment horizontal="center" vertical="center" wrapText="1"/>
      <protection hidden="1"/>
    </xf>
    <xf numFmtId="0" fontId="10" fillId="35" borderId="26" xfId="0" applyFont="1" applyFill="1" applyBorder="1" applyAlignment="1">
      <alignment horizontal="center" vertical="center" wrapText="1"/>
    </xf>
    <xf numFmtId="0" fontId="10" fillId="35" borderId="28" xfId="0" applyFont="1" applyFill="1" applyBorder="1" applyAlignment="1">
      <alignment horizontal="center" vertical="center" wrapText="1"/>
    </xf>
    <xf numFmtId="0" fontId="10" fillId="35" borderId="51" xfId="0" applyFont="1" applyFill="1" applyBorder="1" applyAlignment="1">
      <alignment horizontal="center" vertical="center" wrapText="1"/>
    </xf>
    <xf numFmtId="0" fontId="10" fillId="35" borderId="49" xfId="0" applyFont="1" applyFill="1" applyBorder="1" applyAlignment="1">
      <alignment horizontal="center" vertical="center" wrapText="1"/>
    </xf>
    <xf numFmtId="0" fontId="141" fillId="35" borderId="26" xfId="0" applyFont="1" applyFill="1" applyBorder="1" applyAlignment="1">
      <alignment horizontal="center" vertical="center" wrapText="1"/>
    </xf>
    <xf numFmtId="0" fontId="141" fillId="35" borderId="14" xfId="0" applyFont="1" applyFill="1" applyBorder="1" applyAlignment="1">
      <alignment horizontal="center" vertical="center" wrapText="1"/>
    </xf>
    <xf numFmtId="0" fontId="4" fillId="2" borderId="0" xfId="3" applyFont="1" applyFill="1" applyAlignment="1">
      <alignment horizontal="center" vertical="center" wrapText="1"/>
    </xf>
    <xf numFmtId="2" fontId="6" fillId="3" borderId="163" xfId="5" applyNumberFormat="1" applyFont="1" applyFill="1" applyBorder="1" applyAlignment="1">
      <alignment horizontal="center" vertical="center" wrapText="1"/>
    </xf>
    <xf numFmtId="2" fontId="6" fillId="3" borderId="91" xfId="5" applyNumberFormat="1" applyFont="1" applyFill="1" applyBorder="1" applyAlignment="1">
      <alignment horizontal="center" vertical="center" wrapText="1"/>
    </xf>
    <xf numFmtId="2" fontId="11" fillId="3" borderId="24" xfId="5" applyNumberFormat="1" applyFont="1" applyFill="1" applyBorder="1" applyAlignment="1">
      <alignment horizontal="center" vertical="center" wrapText="1"/>
    </xf>
    <xf numFmtId="2" fontId="11" fillId="3" borderId="89" xfId="5" applyNumberFormat="1" applyFont="1" applyFill="1" applyBorder="1" applyAlignment="1">
      <alignment horizontal="center" vertical="center" wrapText="1"/>
    </xf>
    <xf numFmtId="2" fontId="11" fillId="3" borderId="153" xfId="3" applyNumberFormat="1" applyFont="1" applyFill="1" applyBorder="1" applyAlignment="1">
      <alignment horizontal="center" vertical="center" wrapText="1"/>
    </xf>
    <xf numFmtId="2" fontId="11" fillId="3" borderId="52" xfId="3" applyNumberFormat="1" applyFont="1" applyFill="1" applyBorder="1" applyAlignment="1">
      <alignment horizontal="center" vertical="center" wrapText="1"/>
    </xf>
    <xf numFmtId="2" fontId="11" fillId="3" borderId="163" xfId="3" applyNumberFormat="1" applyFont="1" applyFill="1" applyBorder="1" applyAlignment="1" applyProtection="1">
      <alignment horizontal="center" vertical="center" wrapText="1"/>
      <protection locked="0"/>
    </xf>
    <xf numFmtId="2" fontId="11" fillId="3" borderId="91" xfId="3" applyNumberFormat="1" applyFont="1" applyFill="1" applyBorder="1" applyAlignment="1" applyProtection="1">
      <alignment horizontal="center" vertical="center" wrapText="1"/>
      <protection locked="0"/>
    </xf>
    <xf numFmtId="2" fontId="11" fillId="3" borderId="24" xfId="6" applyNumberFormat="1" applyFont="1" applyFill="1" applyBorder="1" applyAlignment="1">
      <alignment horizontal="center" vertical="center" wrapText="1"/>
    </xf>
    <xf numFmtId="2" fontId="11" fillId="3" borderId="89" xfId="6" applyNumberFormat="1" applyFont="1" applyFill="1" applyBorder="1" applyAlignment="1">
      <alignment horizontal="center" vertical="center" wrapText="1"/>
    </xf>
    <xf numFmtId="2" fontId="11" fillId="3" borderId="153" xfId="6" applyNumberFormat="1" applyFont="1" applyFill="1" applyBorder="1" applyAlignment="1">
      <alignment horizontal="center" vertical="center" wrapText="1"/>
    </xf>
    <xf numFmtId="2" fontId="11" fillId="3" borderId="52" xfId="6" applyNumberFormat="1" applyFont="1" applyFill="1" applyBorder="1" applyAlignment="1">
      <alignment horizontal="center" vertical="center" wrapText="1"/>
    </xf>
    <xf numFmtId="2" fontId="11" fillId="3" borderId="109" xfId="6" applyNumberFormat="1" applyFont="1" applyFill="1" applyBorder="1" applyAlignment="1">
      <alignment horizontal="center" vertical="center" wrapText="1"/>
    </xf>
    <xf numFmtId="2" fontId="11" fillId="3" borderId="26" xfId="6" applyNumberFormat="1" applyFont="1" applyFill="1" applyBorder="1" applyAlignment="1">
      <alignment horizontal="center" vertical="center" wrapText="1"/>
    </xf>
    <xf numFmtId="168" fontId="11" fillId="3" borderId="163" xfId="5" applyNumberFormat="1" applyFont="1" applyFill="1" applyBorder="1" applyAlignment="1" applyProtection="1">
      <alignment horizontal="center" vertical="center" wrapText="1"/>
      <protection locked="0"/>
    </xf>
    <xf numFmtId="168" fontId="11" fillId="3" borderId="91" xfId="5" applyNumberFormat="1" applyFont="1" applyFill="1" applyBorder="1" applyAlignment="1" applyProtection="1">
      <alignment horizontal="center" vertical="center" wrapText="1"/>
      <protection locked="0"/>
    </xf>
    <xf numFmtId="2" fontId="11" fillId="3" borderId="16" xfId="6" applyNumberFormat="1" applyFont="1" applyFill="1" applyBorder="1" applyAlignment="1">
      <alignment horizontal="center" vertical="center" wrapText="1"/>
    </xf>
    <xf numFmtId="0" fontId="35" fillId="0" borderId="27" xfId="5" applyFont="1" applyBorder="1" applyAlignment="1">
      <alignment horizontal="left" vertical="center" wrapText="1"/>
    </xf>
    <xf numFmtId="0" fontId="35" fillId="0" borderId="38" xfId="5" applyFont="1" applyBorder="1" applyAlignment="1">
      <alignment horizontal="left" vertical="center"/>
    </xf>
    <xf numFmtId="0" fontId="35" fillId="0" borderId="26" xfId="5" applyFont="1" applyBorder="1" applyAlignment="1">
      <alignment horizontal="left" vertical="center"/>
    </xf>
    <xf numFmtId="0" fontId="11" fillId="4" borderId="30" xfId="3" applyFont="1" applyFill="1" applyBorder="1" applyAlignment="1" applyProtection="1">
      <alignment horizontal="center" vertical="center" wrapText="1"/>
      <protection hidden="1"/>
    </xf>
    <xf numFmtId="0" fontId="11" fillId="4" borderId="0" xfId="3" applyFont="1" applyFill="1" applyAlignment="1" applyProtection="1">
      <alignment horizontal="center" vertical="center" wrapText="1"/>
      <protection hidden="1"/>
    </xf>
    <xf numFmtId="0" fontId="11" fillId="35" borderId="29" xfId="0" applyFont="1" applyFill="1" applyBorder="1" applyAlignment="1">
      <alignment horizontal="center" wrapText="1"/>
    </xf>
    <xf numFmtId="0" fontId="11" fillId="35" borderId="50" xfId="0" applyFont="1" applyFill="1" applyBorder="1" applyAlignment="1">
      <alignment horizontal="center" wrapText="1"/>
    </xf>
    <xf numFmtId="0" fontId="11" fillId="35" borderId="53" xfId="0" applyFont="1" applyFill="1" applyBorder="1" applyAlignment="1">
      <alignment horizontal="center" wrapText="1"/>
    </xf>
    <xf numFmtId="0" fontId="11" fillId="35" borderId="28" xfId="0" applyFont="1" applyFill="1" applyBorder="1" applyAlignment="1">
      <alignment horizontal="center" wrapText="1"/>
    </xf>
    <xf numFmtId="0" fontId="11" fillId="35" borderId="51" xfId="0" applyFont="1" applyFill="1" applyBorder="1" applyAlignment="1">
      <alignment horizontal="center" wrapText="1"/>
    </xf>
    <xf numFmtId="0" fontId="11" fillId="35" borderId="49" xfId="0" applyFont="1" applyFill="1" applyBorder="1" applyAlignment="1">
      <alignment horizontal="center" wrapText="1"/>
    </xf>
    <xf numFmtId="2" fontId="11" fillId="3" borderId="109" xfId="3" applyNumberFormat="1" applyFont="1" applyFill="1" applyBorder="1" applyAlignment="1">
      <alignment horizontal="center" vertical="center" wrapText="1"/>
    </xf>
    <xf numFmtId="2" fontId="11" fillId="3" borderId="26" xfId="3" applyNumberFormat="1" applyFont="1" applyFill="1" applyBorder="1" applyAlignment="1">
      <alignment horizontal="center" vertical="center" wrapText="1"/>
    </xf>
    <xf numFmtId="49" fontId="6" fillId="4" borderId="29" xfId="5" applyNumberFormat="1" applyFont="1" applyFill="1" applyBorder="1" applyAlignment="1">
      <alignment horizontal="center" vertical="center" wrapText="1"/>
    </xf>
    <xf numFmtId="49" fontId="6" fillId="4" borderId="50" xfId="5" applyNumberFormat="1" applyFont="1" applyFill="1" applyBorder="1" applyAlignment="1">
      <alignment horizontal="center" vertical="center" wrapText="1"/>
    </xf>
    <xf numFmtId="49" fontId="6" fillId="4" borderId="91" xfId="5" applyNumberFormat="1" applyFont="1" applyFill="1" applyBorder="1" applyAlignment="1">
      <alignment horizontal="center" vertical="center" wrapText="1"/>
    </xf>
    <xf numFmtId="49" fontId="6" fillId="4" borderId="89" xfId="5" applyNumberFormat="1" applyFont="1" applyFill="1" applyBorder="1" applyAlignment="1">
      <alignment horizontal="center" vertical="center" wrapText="1"/>
    </xf>
    <xf numFmtId="2" fontId="11" fillId="3" borderId="109" xfId="3" applyNumberFormat="1" applyFont="1" applyFill="1" applyBorder="1" applyAlignment="1" applyProtection="1">
      <alignment horizontal="center" vertical="center" wrapText="1"/>
      <protection locked="0"/>
    </xf>
    <xf numFmtId="2" fontId="11" fillId="3" borderId="26" xfId="3" applyNumberFormat="1" applyFont="1" applyFill="1" applyBorder="1" applyAlignment="1" applyProtection="1">
      <alignment horizontal="center" vertical="center" wrapText="1"/>
      <protection locked="0"/>
    </xf>
    <xf numFmtId="49" fontId="6" fillId="4" borderId="53" xfId="5" applyNumberFormat="1" applyFont="1" applyFill="1" applyBorder="1" applyAlignment="1">
      <alignment horizontal="center" vertical="center" wrapText="1"/>
    </xf>
    <xf numFmtId="49" fontId="6" fillId="4" borderId="52" xfId="5" applyNumberFormat="1" applyFont="1" applyFill="1" applyBorder="1" applyAlignment="1">
      <alignment horizontal="center" vertical="center" wrapText="1"/>
    </xf>
    <xf numFmtId="0" fontId="11" fillId="4" borderId="40" xfId="3" applyFont="1" applyFill="1" applyBorder="1" applyAlignment="1" applyProtection="1">
      <alignment horizontal="center" vertical="center" wrapText="1"/>
      <protection hidden="1"/>
    </xf>
    <xf numFmtId="0" fontId="0" fillId="0" borderId="0" xfId="0" applyAlignment="1">
      <alignment horizontal="left" vertical="center"/>
    </xf>
    <xf numFmtId="0" fontId="0" fillId="0" borderId="0" xfId="0" applyAlignment="1">
      <alignment horizontal="left" vertical="center" wrapText="1"/>
    </xf>
    <xf numFmtId="0" fontId="101" fillId="0" borderId="0" xfId="0" applyFont="1" applyAlignment="1">
      <alignment horizontal="center"/>
    </xf>
    <xf numFmtId="0" fontId="8" fillId="0" borderId="0" xfId="11" applyFont="1" applyAlignment="1">
      <alignment horizontal="center" vertical="center" wrapText="1"/>
    </xf>
    <xf numFmtId="0" fontId="11" fillId="4" borderId="41" xfId="3" applyFont="1" applyFill="1" applyBorder="1" applyAlignment="1" applyProtection="1">
      <alignment horizontal="center" vertical="center" wrapText="1"/>
      <protection hidden="1"/>
    </xf>
    <xf numFmtId="0" fontId="11" fillId="4" borderId="42" xfId="3" applyFont="1" applyFill="1" applyBorder="1" applyAlignment="1" applyProtection="1">
      <alignment horizontal="center" vertical="center" wrapText="1"/>
      <protection hidden="1"/>
    </xf>
    <xf numFmtId="0" fontId="11" fillId="4" borderId="43" xfId="3" applyFont="1" applyFill="1" applyBorder="1" applyAlignment="1" applyProtection="1">
      <alignment horizontal="center" vertical="center" wrapText="1"/>
      <protection hidden="1"/>
    </xf>
    <xf numFmtId="0" fontId="11" fillId="4" borderId="11" xfId="3" applyFont="1" applyFill="1" applyBorder="1" applyAlignment="1" applyProtection="1">
      <alignment horizontal="center" vertical="center" wrapText="1"/>
      <protection hidden="1"/>
    </xf>
    <xf numFmtId="0" fontId="11" fillId="4" borderId="12" xfId="3" applyFont="1" applyFill="1" applyBorder="1" applyAlignment="1" applyProtection="1">
      <alignment horizontal="center" vertical="center" wrapText="1"/>
      <protection hidden="1"/>
    </xf>
    <xf numFmtId="0" fontId="11" fillId="4" borderId="44" xfId="3" applyFont="1" applyFill="1" applyBorder="1" applyAlignment="1" applyProtection="1">
      <alignment horizontal="center" vertical="center" wrapText="1"/>
      <protection hidden="1"/>
    </xf>
    <xf numFmtId="0" fontId="11" fillId="4" borderId="32" xfId="3" applyFont="1" applyFill="1" applyBorder="1" applyAlignment="1" applyProtection="1">
      <alignment horizontal="center" vertical="center" wrapText="1"/>
      <protection hidden="1"/>
    </xf>
    <xf numFmtId="0" fontId="76" fillId="20" borderId="50" xfId="14" applyFont="1" applyFill="1" applyBorder="1" applyAlignment="1">
      <alignment horizontal="center" vertical="center" wrapText="1"/>
    </xf>
    <xf numFmtId="0" fontId="76" fillId="20" borderId="126" xfId="14" applyFont="1" applyFill="1" applyBorder="1" applyAlignment="1">
      <alignment horizontal="center" vertical="center" wrapText="1"/>
    </xf>
    <xf numFmtId="0" fontId="76" fillId="20" borderId="89" xfId="14" applyFont="1" applyFill="1" applyBorder="1" applyAlignment="1">
      <alignment horizontal="center" vertical="center" wrapText="1"/>
    </xf>
    <xf numFmtId="0" fontId="76" fillId="20" borderId="130" xfId="14" applyFont="1" applyFill="1" applyBorder="1" applyAlignment="1">
      <alignment horizontal="center" vertical="center" wrapText="1"/>
    </xf>
    <xf numFmtId="0" fontId="11" fillId="20" borderId="127" xfId="3" applyFont="1" applyFill="1" applyBorder="1" applyAlignment="1">
      <alignment horizontal="center" vertical="center" wrapText="1"/>
    </xf>
    <xf numFmtId="0" fontId="11" fillId="20" borderId="128" xfId="3" applyFont="1" applyFill="1" applyBorder="1" applyAlignment="1">
      <alignment horizontal="center" vertical="center" wrapText="1"/>
    </xf>
    <xf numFmtId="0" fontId="11" fillId="20" borderId="129" xfId="3" applyFont="1" applyFill="1" applyBorder="1" applyAlignment="1">
      <alignment horizontal="center" vertical="center" wrapText="1"/>
    </xf>
    <xf numFmtId="0" fontId="11" fillId="20" borderId="123" xfId="3" applyFont="1" applyFill="1" applyBorder="1" applyAlignment="1">
      <alignment horizontal="center" vertical="center" wrapText="1"/>
    </xf>
    <xf numFmtId="0" fontId="11" fillId="20" borderId="124" xfId="3" applyFont="1" applyFill="1" applyBorder="1" applyAlignment="1">
      <alignment horizontal="center" vertical="center" wrapText="1"/>
    </xf>
    <xf numFmtId="0" fontId="11" fillId="20" borderId="125" xfId="3" applyFont="1" applyFill="1" applyBorder="1" applyAlignment="1">
      <alignment horizontal="center" vertical="center" wrapText="1"/>
    </xf>
    <xf numFmtId="0" fontId="11" fillId="20" borderId="134" xfId="3" applyFont="1" applyFill="1" applyBorder="1" applyAlignment="1">
      <alignment horizontal="center" vertical="center" wrapText="1"/>
    </xf>
    <xf numFmtId="0" fontId="11" fillId="20" borderId="135" xfId="3" applyFont="1" applyFill="1" applyBorder="1" applyAlignment="1">
      <alignment horizontal="center" vertical="center" wrapText="1"/>
    </xf>
    <xf numFmtId="0" fontId="11" fillId="20" borderId="136" xfId="3" applyFont="1" applyFill="1" applyBorder="1" applyAlignment="1">
      <alignment horizontal="center" vertical="center" wrapText="1"/>
    </xf>
    <xf numFmtId="0" fontId="11" fillId="20" borderId="137" xfId="3" applyFont="1" applyFill="1" applyBorder="1" applyAlignment="1">
      <alignment horizontal="center" vertical="center" wrapText="1"/>
    </xf>
    <xf numFmtId="0" fontId="11" fillId="20" borderId="138" xfId="3" applyFont="1" applyFill="1" applyBorder="1" applyAlignment="1">
      <alignment horizontal="center" vertical="center" wrapText="1"/>
    </xf>
    <xf numFmtId="0" fontId="11" fillId="20" borderId="139" xfId="3" applyFont="1" applyFill="1" applyBorder="1" applyAlignment="1">
      <alignment horizontal="center" vertical="center" wrapText="1"/>
    </xf>
    <xf numFmtId="0" fontId="57" fillId="43" borderId="14" xfId="14" applyFont="1" applyFill="1" applyBorder="1" applyAlignment="1">
      <alignment horizontal="center" vertical="center" wrapText="1"/>
    </xf>
    <xf numFmtId="0" fontId="76" fillId="20" borderId="0" xfId="14" applyFont="1" applyFill="1" applyAlignment="1">
      <alignment horizontal="center" vertical="center" wrapText="1"/>
    </xf>
    <xf numFmtId="0" fontId="76" fillId="20" borderId="32" xfId="14" applyFont="1" applyFill="1" applyBorder="1" applyAlignment="1">
      <alignment horizontal="center" vertical="center" wrapText="1"/>
    </xf>
    <xf numFmtId="0" fontId="11" fillId="20" borderId="131" xfId="3" applyFont="1" applyFill="1" applyBorder="1" applyAlignment="1">
      <alignment horizontal="center" vertical="center" wrapText="1"/>
    </xf>
    <xf numFmtId="0" fontId="11" fillId="20" borderId="132" xfId="3" applyFont="1" applyFill="1" applyBorder="1" applyAlignment="1">
      <alignment horizontal="center" vertical="center" wrapText="1"/>
    </xf>
    <xf numFmtId="0" fontId="11" fillId="20" borderId="133" xfId="3" applyFont="1" applyFill="1" applyBorder="1" applyAlignment="1">
      <alignment horizontal="center" vertical="center" wrapText="1"/>
    </xf>
    <xf numFmtId="0" fontId="57" fillId="0" borderId="27" xfId="14" applyFont="1" applyBorder="1" applyAlignment="1">
      <alignment horizontal="center" vertical="center" wrapText="1"/>
    </xf>
    <xf numFmtId="0" fontId="57" fillId="0" borderId="38" xfId="14" applyFont="1" applyBorder="1" applyAlignment="1">
      <alignment horizontal="center" vertical="center" wrapText="1"/>
    </xf>
    <xf numFmtId="0" fontId="57" fillId="0" borderId="26" xfId="14" applyFont="1" applyBorder="1" applyAlignment="1">
      <alignment horizontal="center" vertical="center" wrapText="1"/>
    </xf>
    <xf numFmtId="49" fontId="49" fillId="7" borderId="27" xfId="11" applyNumberFormat="1" applyFont="1" applyFill="1" applyBorder="1" applyAlignment="1">
      <alignment horizontal="center" vertical="center" wrapText="1"/>
    </xf>
    <xf numFmtId="49" fontId="49" fillId="7" borderId="38" xfId="11" applyNumberFormat="1" applyFont="1" applyFill="1" applyBorder="1" applyAlignment="1">
      <alignment horizontal="center" vertical="center" wrapText="1"/>
    </xf>
    <xf numFmtId="49" fontId="49" fillId="7" borderId="26" xfId="11" applyNumberFormat="1" applyFont="1" applyFill="1" applyBorder="1" applyAlignment="1">
      <alignment horizontal="center" vertical="center" wrapText="1"/>
    </xf>
    <xf numFmtId="0" fontId="11" fillId="4" borderId="14" xfId="3" applyFont="1" applyFill="1" applyBorder="1" applyAlignment="1" applyProtection="1">
      <alignment horizontal="center" vertical="center" wrapText="1"/>
      <protection hidden="1"/>
    </xf>
    <xf numFmtId="49" fontId="10" fillId="16" borderId="29" xfId="5" applyNumberFormat="1" applyFont="1" applyFill="1" applyBorder="1" applyAlignment="1">
      <alignment horizontal="center" vertical="center" wrapText="1"/>
    </xf>
    <xf numFmtId="49" fontId="10" fillId="16" borderId="50" xfId="5" applyNumberFormat="1" applyFont="1" applyFill="1" applyBorder="1" applyAlignment="1">
      <alignment horizontal="center" vertical="center" wrapText="1"/>
    </xf>
    <xf numFmtId="49" fontId="10" fillId="16" borderId="91" xfId="5" applyNumberFormat="1" applyFont="1" applyFill="1" applyBorder="1" applyAlignment="1">
      <alignment horizontal="center" vertical="center" wrapText="1"/>
    </xf>
    <xf numFmtId="49" fontId="10" fillId="16" borderId="89" xfId="5" applyNumberFormat="1" applyFont="1" applyFill="1" applyBorder="1" applyAlignment="1">
      <alignment horizontal="center" vertical="center" wrapText="1"/>
    </xf>
    <xf numFmtId="3" fontId="11" fillId="17" borderId="14" xfId="3" applyNumberFormat="1" applyFont="1" applyFill="1" applyBorder="1" applyAlignment="1">
      <alignment horizontal="center" vertical="center" wrapText="1"/>
    </xf>
    <xf numFmtId="0" fontId="35" fillId="14" borderId="147" xfId="5" applyFont="1" applyFill="1" applyBorder="1" applyAlignment="1">
      <alignment horizontal="center" vertical="center" wrapText="1"/>
    </xf>
    <xf numFmtId="0" fontId="35" fillId="14" borderId="38" xfId="5" applyFont="1" applyFill="1" applyBorder="1" applyAlignment="1">
      <alignment horizontal="center" vertical="center" wrapText="1"/>
    </xf>
    <xf numFmtId="0" fontId="35" fillId="14" borderId="26" xfId="5" applyFont="1" applyFill="1" applyBorder="1" applyAlignment="1">
      <alignment horizontal="center" vertical="center" wrapText="1"/>
    </xf>
    <xf numFmtId="0" fontId="33" fillId="4" borderId="29" xfId="14" applyFont="1" applyFill="1" applyBorder="1" applyAlignment="1">
      <alignment horizontal="center" vertical="center" wrapText="1"/>
    </xf>
    <xf numFmtId="0" fontId="33" fillId="4" borderId="50" xfId="14" applyFont="1" applyFill="1" applyBorder="1" applyAlignment="1">
      <alignment horizontal="center" vertical="center" wrapText="1"/>
    </xf>
    <xf numFmtId="0" fontId="33" fillId="4" borderId="53" xfId="14" applyFont="1" applyFill="1" applyBorder="1" applyAlignment="1">
      <alignment horizontal="center" vertical="center" wrapText="1"/>
    </xf>
    <xf numFmtId="0" fontId="33" fillId="4" borderId="91" xfId="14" applyFont="1" applyFill="1" applyBorder="1" applyAlignment="1">
      <alignment horizontal="center" vertical="center" wrapText="1"/>
    </xf>
    <xf numFmtId="0" fontId="33" fillId="4" borderId="89" xfId="14" applyFont="1" applyFill="1" applyBorder="1" applyAlignment="1">
      <alignment horizontal="center" vertical="center" wrapText="1"/>
    </xf>
    <xf numFmtId="0" fontId="33" fillId="4" borderId="52" xfId="14" applyFont="1" applyFill="1" applyBorder="1" applyAlignment="1">
      <alignment horizontal="center" vertical="center" wrapText="1"/>
    </xf>
    <xf numFmtId="0" fontId="11" fillId="4" borderId="28" xfId="3" applyFont="1" applyFill="1" applyBorder="1" applyAlignment="1">
      <alignment horizontal="center" vertical="center" wrapText="1"/>
    </xf>
    <xf numFmtId="0" fontId="11" fillId="4" borderId="51" xfId="3" applyFont="1" applyFill="1" applyBorder="1" applyAlignment="1">
      <alignment horizontal="center" vertical="center" wrapText="1"/>
    </xf>
    <xf numFmtId="0" fontId="11" fillId="4" borderId="49" xfId="3" applyFont="1" applyFill="1" applyBorder="1" applyAlignment="1">
      <alignment horizontal="center" vertical="center" wrapText="1"/>
    </xf>
    <xf numFmtId="0" fontId="33" fillId="4" borderId="14" xfId="14" applyFont="1" applyFill="1" applyBorder="1" applyAlignment="1">
      <alignment horizontal="center" vertical="center" wrapText="1"/>
    </xf>
    <xf numFmtId="0" fontId="11" fillId="4" borderId="14" xfId="3" applyFont="1" applyFill="1" applyBorder="1" applyAlignment="1">
      <alignment horizontal="center" vertical="center" wrapText="1"/>
    </xf>
    <xf numFmtId="0" fontId="8" fillId="0" borderId="27" xfId="6" applyFont="1" applyBorder="1" applyAlignment="1">
      <alignment horizontal="left" vertical="center" wrapText="1"/>
    </xf>
    <xf numFmtId="0" fontId="8" fillId="0" borderId="38" xfId="6" applyFont="1" applyBorder="1" applyAlignment="1">
      <alignment horizontal="left" vertical="center" wrapText="1"/>
    </xf>
    <xf numFmtId="0" fontId="8" fillId="0" borderId="39" xfId="6" applyFont="1" applyBorder="1" applyAlignment="1">
      <alignment horizontal="left" vertical="center" wrapText="1"/>
    </xf>
    <xf numFmtId="0" fontId="8" fillId="0" borderId="147" xfId="6" applyFont="1" applyBorder="1" applyAlignment="1">
      <alignment horizontal="left" vertical="center" wrapText="1"/>
    </xf>
    <xf numFmtId="0" fontId="8" fillId="0" borderId="26" xfId="6" applyFont="1" applyBorder="1" applyAlignment="1">
      <alignment horizontal="left" vertical="center" wrapText="1"/>
    </xf>
    <xf numFmtId="171" fontId="59" fillId="21" borderId="27" xfId="16" applyNumberFormat="1" applyFont="1" applyFill="1" applyBorder="1" applyAlignment="1" applyProtection="1">
      <alignment horizontal="center" vertical="center" wrapText="1"/>
    </xf>
    <xf numFmtId="171" fontId="59" fillId="21" borderId="26" xfId="16" applyNumberFormat="1" applyFont="1" applyFill="1" applyBorder="1" applyAlignment="1" applyProtection="1">
      <alignment horizontal="center" vertical="center" wrapText="1"/>
    </xf>
    <xf numFmtId="0" fontId="107" fillId="0" borderId="27" xfId="14" quotePrefix="1" applyFont="1" applyBorder="1" applyAlignment="1">
      <alignment horizontal="left" vertical="center" wrapText="1"/>
    </xf>
    <xf numFmtId="0" fontId="107" fillId="0" borderId="38" xfId="14" applyFont="1" applyBorder="1" applyAlignment="1">
      <alignment horizontal="left" vertical="center" wrapText="1"/>
    </xf>
    <xf numFmtId="0" fontId="107" fillId="0" borderId="26" xfId="14" applyFont="1" applyBorder="1" applyAlignment="1">
      <alignment horizontal="left" vertical="center" wrapText="1"/>
    </xf>
    <xf numFmtId="0" fontId="107" fillId="0" borderId="38" xfId="14" quotePrefix="1" applyFont="1" applyBorder="1" applyAlignment="1">
      <alignment horizontal="left" vertical="center" wrapText="1"/>
    </xf>
    <xf numFmtId="0" fontId="107" fillId="0" borderId="26" xfId="14" quotePrefix="1" applyFont="1" applyBorder="1" applyAlignment="1">
      <alignment horizontal="left" vertical="center" wrapText="1"/>
    </xf>
    <xf numFmtId="0" fontId="64" fillId="22" borderId="14" xfId="14" applyFont="1" applyFill="1" applyBorder="1" applyAlignment="1">
      <alignment horizontal="center" vertical="center" wrapText="1"/>
    </xf>
    <xf numFmtId="0" fontId="107" fillId="0" borderId="14" xfId="14" quotePrefix="1" applyFont="1" applyBorder="1" applyAlignment="1">
      <alignment horizontal="left" vertical="center" wrapText="1"/>
    </xf>
    <xf numFmtId="0" fontId="107" fillId="0" borderId="14" xfId="14" applyFont="1" applyBorder="1" applyAlignment="1">
      <alignment horizontal="left" vertical="center" wrapText="1"/>
    </xf>
    <xf numFmtId="0" fontId="69" fillId="0" borderId="0" xfId="14" applyFont="1" applyAlignment="1">
      <alignment horizontal="right" vertical="center"/>
    </xf>
    <xf numFmtId="169" fontId="68" fillId="18" borderId="28" xfId="14" applyNumberFormat="1" applyFont="1" applyFill="1" applyBorder="1" applyAlignment="1">
      <alignment horizontal="center" vertical="center" wrapText="1"/>
    </xf>
    <xf numFmtId="169" fontId="68" fillId="18" borderId="51" xfId="14" applyNumberFormat="1" applyFont="1" applyFill="1" applyBorder="1" applyAlignment="1">
      <alignment horizontal="center" vertical="center" wrapText="1"/>
    </xf>
    <xf numFmtId="169" fontId="68" fillId="18" borderId="49" xfId="14" applyNumberFormat="1" applyFont="1" applyFill="1" applyBorder="1" applyAlignment="1">
      <alignment horizontal="center" vertical="center" wrapText="1"/>
    </xf>
    <xf numFmtId="0" fontId="107" fillId="0" borderId="27" xfId="14" applyFont="1" applyBorder="1" applyAlignment="1">
      <alignment horizontal="left" vertical="center" wrapText="1"/>
    </xf>
    <xf numFmtId="172" fontId="57" fillId="0" borderId="27" xfId="15" applyNumberFormat="1" applyFont="1" applyFill="1" applyBorder="1" applyAlignment="1" applyProtection="1">
      <alignment horizontal="center" vertical="center"/>
    </xf>
    <xf numFmtId="172" fontId="57" fillId="0" borderId="38" xfId="15" applyNumberFormat="1" applyFont="1" applyFill="1" applyBorder="1" applyAlignment="1" applyProtection="1">
      <alignment horizontal="center" vertical="center"/>
    </xf>
    <xf numFmtId="172" fontId="57" fillId="0" borderId="26" xfId="15" applyNumberFormat="1" applyFont="1" applyFill="1" applyBorder="1" applyAlignment="1" applyProtection="1">
      <alignment horizontal="center" vertical="center"/>
    </xf>
    <xf numFmtId="0" fontId="57" fillId="0" borderId="27" xfId="14" quotePrefix="1" applyFont="1" applyBorder="1" applyAlignment="1">
      <alignment horizontal="left" vertical="center" wrapText="1"/>
    </xf>
    <xf numFmtId="0" fontId="57" fillId="0" borderId="26" xfId="14" quotePrefix="1" applyFont="1" applyBorder="1" applyAlignment="1">
      <alignment horizontal="left" vertical="center" wrapText="1"/>
    </xf>
    <xf numFmtId="0" fontId="57" fillId="0" borderId="14" xfId="14" quotePrefix="1" applyFont="1" applyBorder="1" applyAlignment="1">
      <alignment horizontal="left" vertical="center" wrapText="1"/>
    </xf>
    <xf numFmtId="0" fontId="57" fillId="0" borderId="27" xfId="14" applyFont="1" applyBorder="1" applyAlignment="1">
      <alignment horizontal="left" vertical="center" wrapText="1"/>
    </xf>
    <xf numFmtId="0" fontId="57" fillId="0" borderId="26" xfId="14" applyFont="1" applyBorder="1" applyAlignment="1">
      <alignment horizontal="left" vertical="center" wrapText="1"/>
    </xf>
    <xf numFmtId="0" fontId="107" fillId="43" borderId="27" xfId="14" quotePrefix="1" applyFont="1" applyFill="1" applyBorder="1" applyAlignment="1">
      <alignment horizontal="left" vertical="center" wrapText="1"/>
    </xf>
    <xf numFmtId="0" fontId="107" fillId="43" borderId="26" xfId="14" applyFont="1" applyFill="1" applyBorder="1" applyAlignment="1">
      <alignment horizontal="left" vertical="center" wrapText="1"/>
    </xf>
    <xf numFmtId="169" fontId="68" fillId="14" borderId="28" xfId="14" applyNumberFormat="1" applyFont="1" applyFill="1" applyBorder="1" applyAlignment="1">
      <alignment horizontal="center" vertical="center" wrapText="1"/>
    </xf>
    <xf numFmtId="169" fontId="68" fillId="14" borderId="51" xfId="14" applyNumberFormat="1" applyFont="1" applyFill="1" applyBorder="1" applyAlignment="1">
      <alignment horizontal="center" vertical="center" wrapText="1"/>
    </xf>
    <xf numFmtId="169" fontId="68" fillId="14" borderId="49" xfId="14" applyNumberFormat="1" applyFont="1" applyFill="1" applyBorder="1" applyAlignment="1">
      <alignment horizontal="center" vertical="center" wrapText="1"/>
    </xf>
    <xf numFmtId="0" fontId="4" fillId="2" borderId="92" xfId="3" applyFont="1" applyFill="1" applyBorder="1" applyAlignment="1">
      <alignment horizontal="center" vertical="center" wrapText="1"/>
    </xf>
    <xf numFmtId="0" fontId="4" fillId="2" borderId="24" xfId="3" applyFont="1" applyFill="1" applyBorder="1" applyAlignment="1">
      <alignment horizontal="center" vertical="center" wrapText="1"/>
    </xf>
    <xf numFmtId="0" fontId="4" fillId="2" borderId="93" xfId="3" applyFont="1" applyFill="1" applyBorder="1" applyAlignment="1">
      <alignment horizontal="center" vertical="center" wrapText="1"/>
    </xf>
    <xf numFmtId="0" fontId="21" fillId="12" borderId="45" xfId="0" applyFont="1" applyFill="1" applyBorder="1" applyAlignment="1">
      <alignment horizontal="center" vertical="center"/>
    </xf>
    <xf numFmtId="0" fontId="21" fillId="12" borderId="65" xfId="0" applyFont="1" applyFill="1" applyBorder="1" applyAlignment="1">
      <alignment horizontal="center" vertical="center"/>
    </xf>
    <xf numFmtId="0" fontId="21" fillId="12" borderId="66" xfId="0" applyFont="1" applyFill="1" applyBorder="1" applyAlignment="1">
      <alignment horizontal="center" vertical="center"/>
    </xf>
    <xf numFmtId="0" fontId="21" fillId="10" borderId="73" xfId="7" applyFont="1" applyFill="1" applyBorder="1" applyAlignment="1" applyProtection="1">
      <alignment horizontal="left" vertical="center" wrapText="1"/>
      <protection hidden="1"/>
    </xf>
    <xf numFmtId="0" fontId="21" fillId="10" borderId="74" xfId="7" applyFont="1" applyFill="1" applyBorder="1" applyAlignment="1" applyProtection="1">
      <alignment horizontal="left" vertical="center" wrapText="1"/>
      <protection hidden="1"/>
    </xf>
    <xf numFmtId="4" fontId="21" fillId="10" borderId="42" xfId="7" applyNumberFormat="1" applyFont="1" applyFill="1" applyBorder="1" applyAlignment="1" applyProtection="1">
      <alignment horizontal="center" vertical="center" wrapText="1"/>
      <protection hidden="1"/>
    </xf>
    <xf numFmtId="4" fontId="21" fillId="10" borderId="48" xfId="7" applyNumberFormat="1" applyFont="1" applyFill="1" applyBorder="1" applyAlignment="1" applyProtection="1">
      <alignment horizontal="center" vertical="center" wrapText="1"/>
      <protection hidden="1"/>
    </xf>
    <xf numFmtId="4" fontId="21" fillId="10" borderId="7" xfId="7" applyNumberFormat="1" applyFont="1" applyFill="1" applyBorder="1" applyAlignment="1" applyProtection="1">
      <alignment horizontal="center" vertical="center" wrapText="1"/>
      <protection hidden="1"/>
    </xf>
    <xf numFmtId="4" fontId="21" fillId="10" borderId="60" xfId="7" applyNumberFormat="1" applyFont="1" applyFill="1" applyBorder="1" applyAlignment="1" applyProtection="1">
      <alignment horizontal="center" vertical="center" wrapText="1"/>
      <protection hidden="1"/>
    </xf>
    <xf numFmtId="0" fontId="21" fillId="10" borderId="42" xfId="7" applyFont="1" applyFill="1" applyBorder="1" applyAlignment="1" applyProtection="1">
      <alignment horizontal="left" vertical="center" wrapText="1"/>
      <protection hidden="1"/>
    </xf>
    <xf numFmtId="0" fontId="21" fillId="10" borderId="55" xfId="7" applyFont="1" applyFill="1" applyBorder="1" applyAlignment="1" applyProtection="1">
      <alignment horizontal="left" vertical="center" wrapText="1"/>
      <protection hidden="1"/>
    </xf>
    <xf numFmtId="0" fontId="21" fillId="10" borderId="0" xfId="7" applyFont="1" applyFill="1" applyAlignment="1" applyProtection="1">
      <alignment horizontal="left" vertical="center" wrapText="1"/>
      <protection hidden="1"/>
    </xf>
    <xf numFmtId="0" fontId="4" fillId="2" borderId="92" xfId="3" applyFont="1" applyFill="1" applyBorder="1" applyAlignment="1">
      <alignment horizontal="left" vertical="center" wrapText="1" indent="31"/>
    </xf>
    <xf numFmtId="0" fontId="4" fillId="2" borderId="24" xfId="3" applyFont="1" applyFill="1" applyBorder="1" applyAlignment="1">
      <alignment horizontal="left" vertical="center" wrapText="1" indent="31"/>
    </xf>
    <xf numFmtId="0" fontId="4" fillId="2" borderId="93" xfId="3" applyFont="1" applyFill="1" applyBorder="1" applyAlignment="1">
      <alignment horizontal="left" vertical="center" wrapText="1" indent="31"/>
    </xf>
    <xf numFmtId="0" fontId="141" fillId="36" borderId="28" xfId="0" applyFont="1" applyFill="1" applyBorder="1" applyAlignment="1">
      <alignment horizontal="center" vertical="center" wrapText="1"/>
    </xf>
    <xf numFmtId="0" fontId="141" fillId="36" borderId="51" xfId="0" applyFont="1" applyFill="1" applyBorder="1" applyAlignment="1">
      <alignment horizontal="center" vertical="center" wrapText="1"/>
    </xf>
    <xf numFmtId="0" fontId="142" fillId="35" borderId="26" xfId="0" applyFont="1" applyFill="1" applyBorder="1" applyAlignment="1">
      <alignment horizontal="center" vertical="center" wrapText="1"/>
    </xf>
    <xf numFmtId="0" fontId="142" fillId="35" borderId="14" xfId="0" applyFont="1" applyFill="1" applyBorder="1" applyAlignment="1">
      <alignment horizontal="center" vertical="center" wrapText="1"/>
    </xf>
    <xf numFmtId="167" fontId="11" fillId="20" borderId="14" xfId="3" applyNumberFormat="1" applyFont="1" applyFill="1" applyBorder="1" applyAlignment="1">
      <alignment horizontal="center" vertical="center" wrapText="1"/>
    </xf>
    <xf numFmtId="0" fontId="11" fillId="20" borderId="27" xfId="3" applyFont="1" applyFill="1" applyBorder="1" applyAlignment="1">
      <alignment horizontal="center" vertical="center" wrapText="1"/>
    </xf>
    <xf numFmtId="0" fontId="142" fillId="35" borderId="29" xfId="0" applyFont="1" applyFill="1" applyBorder="1" applyAlignment="1">
      <alignment horizontal="center" vertical="center" wrapText="1"/>
    </xf>
    <xf numFmtId="0" fontId="142" fillId="35" borderId="50" xfId="0" applyFont="1" applyFill="1" applyBorder="1" applyAlignment="1">
      <alignment horizontal="center" vertical="center" wrapText="1"/>
    </xf>
    <xf numFmtId="0" fontId="142" fillId="35" borderId="53" xfId="0" applyFont="1" applyFill="1" applyBorder="1" applyAlignment="1">
      <alignment horizontal="center" vertical="center" wrapText="1"/>
    </xf>
    <xf numFmtId="0" fontId="142" fillId="35" borderId="30" xfId="0" applyFont="1" applyFill="1" applyBorder="1" applyAlignment="1">
      <alignment horizontal="center" vertical="center" wrapText="1"/>
    </xf>
    <xf numFmtId="0" fontId="142" fillId="35" borderId="0" xfId="0" applyFont="1" applyFill="1" applyAlignment="1">
      <alignment horizontal="center" vertical="center" wrapText="1"/>
    </xf>
    <xf numFmtId="0" fontId="142" fillId="35" borderId="40" xfId="0" applyFont="1" applyFill="1" applyBorder="1" applyAlignment="1">
      <alignment horizontal="center" vertical="center" wrapText="1"/>
    </xf>
    <xf numFmtId="0" fontId="142" fillId="35" borderId="28" xfId="0" applyFont="1" applyFill="1" applyBorder="1" applyAlignment="1">
      <alignment horizontal="center" vertical="center" wrapText="1"/>
    </xf>
    <xf numFmtId="0" fontId="142" fillId="35" borderId="51" xfId="0" applyFont="1" applyFill="1" applyBorder="1" applyAlignment="1">
      <alignment horizontal="center" vertical="center" wrapText="1"/>
    </xf>
    <xf numFmtId="0" fontId="142" fillId="35" borderId="49" xfId="0" applyFont="1" applyFill="1" applyBorder="1" applyAlignment="1">
      <alignment horizontal="center" vertical="center" wrapText="1"/>
    </xf>
    <xf numFmtId="2" fontId="11" fillId="3" borderId="31" xfId="3" applyNumberFormat="1" applyFont="1" applyFill="1" applyBorder="1" applyAlignment="1">
      <alignment horizontal="center" vertical="center" wrapText="1"/>
    </xf>
    <xf numFmtId="2" fontId="11" fillId="3" borderId="0" xfId="3" applyNumberFormat="1" applyFont="1" applyFill="1" applyAlignment="1">
      <alignment horizontal="center" vertical="center" wrapText="1"/>
    </xf>
    <xf numFmtId="2" fontId="11" fillId="3" borderId="32" xfId="3" applyNumberFormat="1" applyFont="1" applyFill="1" applyBorder="1" applyAlignment="1">
      <alignment horizontal="center" vertical="center" wrapText="1"/>
    </xf>
    <xf numFmtId="2" fontId="11" fillId="3" borderId="30" xfId="3" applyNumberFormat="1" applyFont="1" applyFill="1" applyBorder="1" applyAlignment="1">
      <alignment horizontal="center" vertical="center" wrapText="1"/>
    </xf>
    <xf numFmtId="0" fontId="102" fillId="40" borderId="96" xfId="0" applyFont="1" applyFill="1" applyBorder="1" applyAlignment="1">
      <alignment horizontal="center" vertical="center"/>
    </xf>
    <xf numFmtId="0" fontId="102" fillId="40" borderId="0" xfId="0" applyFont="1" applyFill="1" applyAlignment="1">
      <alignment horizontal="center" vertical="center"/>
    </xf>
    <xf numFmtId="0" fontId="102" fillId="40" borderId="97" xfId="0" applyFont="1" applyFill="1" applyBorder="1" applyAlignment="1">
      <alignment horizontal="center" vertical="center"/>
    </xf>
    <xf numFmtId="0" fontId="102" fillId="40" borderId="32" xfId="0" applyFont="1" applyFill="1" applyBorder="1" applyAlignment="1">
      <alignment horizontal="center" vertical="center"/>
    </xf>
    <xf numFmtId="0" fontId="147" fillId="23" borderId="28" xfId="14" applyFont="1" applyFill="1" applyBorder="1" applyAlignment="1">
      <alignment horizontal="center" vertical="center" wrapText="1"/>
    </xf>
    <xf numFmtId="0" fontId="147" fillId="23" borderId="51" xfId="14" applyFont="1" applyFill="1" applyBorder="1" applyAlignment="1">
      <alignment horizontal="center" vertical="center" wrapText="1"/>
    </xf>
    <xf numFmtId="2" fontId="11" fillId="3" borderId="2" xfId="6" applyNumberFormat="1" applyFont="1" applyFill="1" applyBorder="1" applyAlignment="1">
      <alignment horizontal="center" vertical="center" wrapText="1"/>
    </xf>
    <xf numFmtId="0" fontId="66" fillId="23" borderId="30" xfId="14" applyFont="1" applyFill="1" applyBorder="1" applyAlignment="1">
      <alignment horizontal="left" vertical="center" wrapText="1"/>
    </xf>
    <xf numFmtId="0" fontId="66" fillId="23" borderId="0" xfId="14" applyFont="1" applyFill="1" applyAlignment="1">
      <alignment horizontal="left" vertical="center" wrapText="1"/>
    </xf>
    <xf numFmtId="0" fontId="66" fillId="23" borderId="40" xfId="14" applyFont="1" applyFill="1" applyBorder="1" applyAlignment="1">
      <alignment horizontal="left" vertical="center" wrapText="1"/>
    </xf>
    <xf numFmtId="2" fontId="11" fillId="3" borderId="102" xfId="6" applyNumberFormat="1" applyFont="1" applyFill="1" applyBorder="1" applyAlignment="1">
      <alignment horizontal="center" vertical="center" wrapText="1"/>
    </xf>
    <xf numFmtId="2" fontId="11" fillId="3" borderId="65" xfId="6" applyNumberFormat="1" applyFont="1" applyFill="1" applyBorder="1" applyAlignment="1">
      <alignment horizontal="center" vertical="center" wrapText="1"/>
    </xf>
    <xf numFmtId="2" fontId="11" fillId="3" borderId="103" xfId="6" applyNumberFormat="1" applyFont="1" applyFill="1" applyBorder="1" applyAlignment="1">
      <alignment horizontal="center" vertical="center" wrapText="1"/>
    </xf>
    <xf numFmtId="0" fontId="66" fillId="23" borderId="0" xfId="14" applyFont="1" applyFill="1" applyAlignment="1">
      <alignment horizontal="center" vertical="center" wrapText="1"/>
    </xf>
    <xf numFmtId="0" fontId="66" fillId="23" borderId="40" xfId="14" applyFont="1" applyFill="1" applyBorder="1" applyAlignment="1">
      <alignment horizontal="center" vertical="center" wrapText="1"/>
    </xf>
    <xf numFmtId="49" fontId="4" fillId="2" borderId="0" xfId="3" applyNumberFormat="1" applyFont="1" applyFill="1" applyAlignment="1">
      <alignment horizontal="center"/>
    </xf>
    <xf numFmtId="0" fontId="76" fillId="20" borderId="14" xfId="14" applyFont="1" applyFill="1" applyBorder="1" applyAlignment="1">
      <alignment horizontal="center" vertical="center" wrapText="1"/>
    </xf>
    <xf numFmtId="0" fontId="76" fillId="20" borderId="27" xfId="14" applyFont="1" applyFill="1" applyBorder="1" applyAlignment="1">
      <alignment horizontal="center" vertical="center" wrapText="1"/>
    </xf>
    <xf numFmtId="0" fontId="0" fillId="0" borderId="0" xfId="0" applyAlignment="1">
      <alignment horizontal="center" vertical="center" wrapText="1"/>
    </xf>
    <xf numFmtId="49" fontId="6" fillId="4" borderId="27" xfId="5" applyNumberFormat="1" applyFont="1" applyFill="1" applyBorder="1" applyAlignment="1">
      <alignment horizontal="center" vertical="center" wrapText="1"/>
    </xf>
    <xf numFmtId="49" fontId="6" fillId="4" borderId="26" xfId="5" applyNumberFormat="1" applyFont="1" applyFill="1" applyBorder="1" applyAlignment="1">
      <alignment horizontal="center" vertical="center" wrapText="1"/>
    </xf>
    <xf numFmtId="49" fontId="11" fillId="4" borderId="27" xfId="5" applyNumberFormat="1" applyFont="1" applyFill="1" applyBorder="1" applyAlignment="1">
      <alignment horizontal="center" vertical="center" wrapText="1"/>
    </xf>
    <xf numFmtId="49" fontId="11" fillId="4" borderId="26" xfId="5" applyNumberFormat="1" applyFont="1" applyFill="1" applyBorder="1" applyAlignment="1">
      <alignment horizontal="center" vertical="center" wrapText="1"/>
    </xf>
    <xf numFmtId="49" fontId="37" fillId="5" borderId="51" xfId="5" applyNumberFormat="1" applyFont="1" applyFill="1" applyBorder="1" applyAlignment="1">
      <alignment horizontal="center" vertical="center" wrapText="1"/>
    </xf>
    <xf numFmtId="49" fontId="37" fillId="5" borderId="49" xfId="5" applyNumberFormat="1" applyFont="1" applyFill="1" applyBorder="1" applyAlignment="1">
      <alignment horizontal="center" vertical="center" wrapText="1"/>
    </xf>
    <xf numFmtId="49" fontId="6" fillId="4" borderId="27" xfId="11" applyNumberFormat="1" applyFont="1" applyFill="1" applyBorder="1" applyAlignment="1">
      <alignment horizontal="center" vertical="center" wrapText="1"/>
    </xf>
    <xf numFmtId="49" fontId="6" fillId="4" borderId="26" xfId="11" applyNumberFormat="1" applyFont="1" applyFill="1" applyBorder="1" applyAlignment="1">
      <alignment horizontal="center" vertical="center" wrapText="1"/>
    </xf>
    <xf numFmtId="49" fontId="6" fillId="4" borderId="14" xfId="5" applyNumberFormat="1" applyFont="1" applyFill="1" applyBorder="1" applyAlignment="1">
      <alignment horizontal="center" vertical="center" wrapText="1"/>
    </xf>
    <xf numFmtId="0" fontId="11" fillId="4" borderId="26" xfId="5" applyFont="1" applyFill="1" applyBorder="1" applyAlignment="1">
      <alignment horizontal="center" vertical="center" wrapText="1"/>
    </xf>
    <xf numFmtId="0" fontId="11" fillId="4" borderId="27" xfId="3" applyFont="1" applyFill="1" applyBorder="1" applyAlignment="1" applyProtection="1">
      <alignment horizontal="center" vertical="center" wrapText="1"/>
      <protection hidden="1"/>
    </xf>
    <xf numFmtId="0" fontId="6" fillId="35" borderId="152" xfId="0" applyFont="1" applyFill="1" applyBorder="1" applyAlignment="1">
      <alignment horizontal="center" vertical="center" wrapText="1"/>
    </xf>
    <xf numFmtId="0" fontId="6" fillId="35" borderId="50" xfId="0" applyFont="1" applyFill="1" applyBorder="1" applyAlignment="1">
      <alignment horizontal="center" vertical="center" wrapText="1"/>
    </xf>
    <xf numFmtId="0" fontId="6" fillId="35" borderId="53" xfId="0" applyFont="1" applyFill="1" applyBorder="1" applyAlignment="1">
      <alignment horizontal="center" vertical="center" wrapText="1"/>
    </xf>
    <xf numFmtId="0" fontId="6" fillId="35" borderId="142" xfId="0" applyFont="1" applyFill="1" applyBorder="1" applyAlignment="1">
      <alignment horizontal="center" vertical="center" wrapText="1"/>
    </xf>
    <xf numFmtId="0" fontId="6" fillId="35" borderId="89" xfId="0" applyFont="1" applyFill="1" applyBorder="1" applyAlignment="1">
      <alignment horizontal="center" vertical="center" wrapText="1"/>
    </xf>
    <xf numFmtId="0" fontId="6" fillId="35" borderId="52" xfId="0" applyFont="1" applyFill="1" applyBorder="1" applyAlignment="1">
      <alignment horizontal="center" vertical="center" wrapText="1"/>
    </xf>
    <xf numFmtId="1" fontId="11" fillId="4" borderId="49" xfId="3" applyNumberFormat="1" applyFont="1" applyFill="1" applyBorder="1" applyAlignment="1" applyProtection="1">
      <alignment horizontal="center" vertical="center" wrapText="1"/>
      <protection hidden="1"/>
    </xf>
    <xf numFmtId="1" fontId="11" fillId="4" borderId="14" xfId="3" applyNumberFormat="1" applyFont="1" applyFill="1" applyBorder="1" applyAlignment="1" applyProtection="1">
      <alignment horizontal="center" vertical="center" wrapText="1"/>
      <protection hidden="1"/>
    </xf>
    <xf numFmtId="0" fontId="4" fillId="2" borderId="0" xfId="3" applyFont="1" applyFill="1" applyAlignment="1">
      <alignment horizontal="center" vertical="top" wrapText="1"/>
    </xf>
    <xf numFmtId="49" fontId="10" fillId="20" borderId="29" xfId="5" applyNumberFormat="1" applyFont="1" applyFill="1" applyBorder="1" applyAlignment="1">
      <alignment horizontal="center" vertical="center" wrapText="1"/>
    </xf>
    <xf numFmtId="49" fontId="10" fillId="20" borderId="50" xfId="5" applyNumberFormat="1" applyFont="1" applyFill="1" applyBorder="1" applyAlignment="1">
      <alignment horizontal="center" vertical="center" wrapText="1"/>
    </xf>
    <xf numFmtId="49" fontId="10" fillId="20" borderId="53" xfId="5" applyNumberFormat="1" applyFont="1" applyFill="1" applyBorder="1" applyAlignment="1">
      <alignment horizontal="center" vertical="center" wrapText="1"/>
    </xf>
    <xf numFmtId="49" fontId="10" fillId="20" borderId="30" xfId="5" applyNumberFormat="1" applyFont="1" applyFill="1" applyBorder="1" applyAlignment="1">
      <alignment horizontal="center" vertical="center" wrapText="1"/>
    </xf>
    <xf numFmtId="49" fontId="10" fillId="20" borderId="0" xfId="5" applyNumberFormat="1" applyFont="1" applyFill="1" applyAlignment="1">
      <alignment horizontal="center" vertical="center" wrapText="1"/>
    </xf>
    <xf numFmtId="49" fontId="10" fillId="20" borderId="40" xfId="5" applyNumberFormat="1" applyFont="1" applyFill="1" applyBorder="1" applyAlignment="1">
      <alignment horizontal="center" vertical="center" wrapText="1"/>
    </xf>
    <xf numFmtId="3" fontId="11" fillId="20" borderId="28" xfId="3" applyNumberFormat="1" applyFont="1" applyFill="1" applyBorder="1" applyAlignment="1">
      <alignment horizontal="center" vertical="center" wrapText="1"/>
    </xf>
    <xf numFmtId="3" fontId="11" fillId="20" borderId="51" xfId="3" applyNumberFormat="1" applyFont="1" applyFill="1" applyBorder="1" applyAlignment="1">
      <alignment horizontal="center" vertical="center" wrapText="1"/>
    </xf>
    <xf numFmtId="3" fontId="11" fillId="20" borderId="49" xfId="3" applyNumberFormat="1" applyFont="1" applyFill="1" applyBorder="1" applyAlignment="1">
      <alignment horizontal="center" vertical="center" wrapText="1"/>
    </xf>
    <xf numFmtId="3" fontId="11" fillId="20" borderId="29" xfId="3" applyNumberFormat="1" applyFont="1" applyFill="1" applyBorder="1" applyAlignment="1">
      <alignment horizontal="center" vertical="center" wrapText="1"/>
    </xf>
    <xf numFmtId="3" fontId="11" fillId="20" borderId="50" xfId="3" applyNumberFormat="1" applyFont="1" applyFill="1" applyBorder="1" applyAlignment="1">
      <alignment horizontal="center" vertical="center" wrapText="1"/>
    </xf>
    <xf numFmtId="3" fontId="11" fillId="20" borderId="53" xfId="3" applyNumberFormat="1" applyFont="1" applyFill="1" applyBorder="1" applyAlignment="1">
      <alignment horizontal="center" vertical="center" wrapText="1"/>
    </xf>
    <xf numFmtId="49" fontId="11" fillId="5" borderId="28" xfId="5" applyNumberFormat="1" applyFont="1" applyFill="1" applyBorder="1" applyAlignment="1">
      <alignment horizontal="center" vertical="center" wrapText="1"/>
    </xf>
    <xf numFmtId="49" fontId="11" fillId="5" borderId="51" xfId="5" applyNumberFormat="1" applyFont="1" applyFill="1" applyBorder="1" applyAlignment="1">
      <alignment horizontal="center" vertical="center" wrapText="1"/>
    </xf>
  </cellXfs>
  <cellStyles count="27">
    <cellStyle name="Comma 2 3" xfId="15" xr:uid="{928483EE-1F3C-493B-89FA-BF3B580CC31F}"/>
    <cellStyle name="Comma 2 3 2" xfId="26" xr:uid="{BAE47870-A798-412C-BD7F-32D7B27A8146}"/>
    <cellStyle name="Currency 2" xfId="24" xr:uid="{C12E36FD-ACA3-4C1F-AF33-44DC1022F666}"/>
    <cellStyle name="Migliaia" xfId="13" builtinId="3"/>
    <cellStyle name="Migliaia 2" xfId="19" xr:uid="{53CC6ED6-EE84-448E-B115-53D3584F0947}"/>
    <cellStyle name="Migliaia 23" xfId="18" xr:uid="{52F8E841-FD32-450D-B4B0-AA951F2D1009}"/>
    <cellStyle name="Normal 2" xfId="4" xr:uid="{AD43466F-C19F-43AE-BCE3-76E989AFA902}"/>
    <cellStyle name="Normal 2 2" xfId="6" xr:uid="{6EE98E0F-6FD9-4320-BD15-33631DE03CE5}"/>
    <cellStyle name="Normal 2 3" xfId="9" xr:uid="{D4E37E81-74B9-4317-9019-5BA23DE4F98F}"/>
    <cellStyle name="Normal 3" xfId="3" xr:uid="{74F13A0F-6C7D-476C-AABB-8A350B143865}"/>
    <cellStyle name="Normal 31" xfId="7" xr:uid="{9CDF179D-1D37-47F3-BC3C-52E62042BFCC}"/>
    <cellStyle name="Normal 4" xfId="2" xr:uid="{12B4F38B-FF83-4CA0-B6F2-8DEA5432CFCB}"/>
    <cellStyle name="Normal 4 3" xfId="14" xr:uid="{134C9E77-0E57-4566-ABC0-5F759286BE23}"/>
    <cellStyle name="Normale" xfId="0" builtinId="0"/>
    <cellStyle name="Normale 2" xfId="11" xr:uid="{9F03B411-5C8D-4E03-96F5-E5445469E6A7}"/>
    <cellStyle name="Normale 2 2" xfId="5" xr:uid="{ED974661-F055-49CC-89B3-C54395AF195C}"/>
    <cellStyle name="Normale 2 3" xfId="21" xr:uid="{4C3F4F37-6F93-46B5-8A40-7FF292BA9678}"/>
    <cellStyle name="Normale 3" xfId="10" xr:uid="{17241807-6BC3-49E8-8688-1A322B32E332}"/>
    <cellStyle name="Normale 4" xfId="20" xr:uid="{66670FF8-557D-4E78-831A-129EB014CFF6}"/>
    <cellStyle name="Normale 4 2" xfId="23" xr:uid="{B2DC2D2B-F92A-449E-BCC8-EBE9B2B1FA17}"/>
    <cellStyle name="Normale 5" xfId="8" xr:uid="{321B9689-CE23-4535-98D1-C8F001A1F9D1}"/>
    <cellStyle name="Normale 6" xfId="17" xr:uid="{F5FA9373-9986-473C-8092-DAB24BCF95EC}"/>
    <cellStyle name="Valuta" xfId="1" builtinId="4"/>
    <cellStyle name="Valuta 2" xfId="12" xr:uid="{2B2CA554-1681-4F14-B86E-8CE3D3B43AAA}"/>
    <cellStyle name="Valuta 3" xfId="22" xr:uid="{3AFDEFDA-88D8-4DFA-8E0B-CFAF0207732C}"/>
    <cellStyle name="Valuta 3 2" xfId="25" xr:uid="{4A7488DC-0205-4B4F-BAFB-E18949B0B100}"/>
    <cellStyle name="Vírgula 2" xfId="16" xr:uid="{AEAC9D26-256F-479C-9CE6-DCB9C40E5891}"/>
  </cellStyles>
  <dxfs count="31">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alignment vertical="center" textRotation="0" indent="0" justifyLastLine="0" shrinkToFit="0" readingOrder="0"/>
    </dxf>
    <dxf>
      <border outline="0">
        <left style="thin">
          <color rgb="FF000000"/>
        </left>
        <right style="hair">
          <color rgb="FF000000"/>
        </right>
        <bottom style="thin">
          <color rgb="FF000000"/>
        </bottom>
      </border>
    </dxf>
    <dxf>
      <font>
        <b/>
        <i val="0"/>
        <strike val="0"/>
        <condense val="0"/>
        <extend val="0"/>
        <outline val="0"/>
        <shadow val="0"/>
        <u val="none"/>
        <vertAlign val="baseline"/>
        <sz val="10"/>
        <color auto="1"/>
        <name val="Arial"/>
        <family val="2"/>
        <scheme val="none"/>
      </font>
      <numFmt numFmtId="2" formatCode="0.00"/>
      <fill>
        <patternFill patternType="solid">
          <fgColor indexed="64"/>
          <bgColor rgb="FFEDEEE8"/>
        </patternFill>
      </fill>
      <alignment horizontal="center" vertical="center" textRotation="0" wrapText="1" indent="0" justifyLastLine="0" shrinkToFit="0" readingOrder="0"/>
      <border diagonalUp="0" diagonalDown="0" outline="0">
        <left style="hair">
          <color indexed="64"/>
        </left>
        <right style="hair">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solid">
          <fgColor indexed="64"/>
          <bgColor theme="0"/>
        </patternFill>
      </fill>
      <alignment horizontal="center" vertical="center" textRotation="0" wrapText="1" indent="0" justifyLastLine="0" shrinkToFit="0" readingOrder="0"/>
      <border diagonalUp="0" diagonalDown="0">
        <left style="hair">
          <color indexed="64"/>
        </left>
        <right style="hair">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3" formatCode="#,##0"/>
      <fill>
        <patternFill patternType="solid">
          <fgColor indexed="64"/>
          <bgColor theme="0"/>
        </patternFill>
      </fill>
      <alignment horizontal="center" vertical="center" textRotation="0" wrapText="1" indent="0" justifyLastLine="0" shrinkToFit="0" readingOrder="0"/>
      <border diagonalUp="0" diagonalDown="0">
        <left style="hair">
          <color indexed="64"/>
        </left>
        <right/>
        <top style="thin">
          <color indexed="64"/>
        </top>
        <bottom style="thin">
          <color indexed="64"/>
        </bottom>
        <vertical/>
        <horizontal/>
      </border>
    </dxf>
    <dxf>
      <font>
        <b/>
        <i val="0"/>
        <strike val="0"/>
        <condense val="0"/>
        <extend val="0"/>
        <outline val="0"/>
        <shadow val="0"/>
        <u val="none"/>
        <vertAlign val="baseline"/>
        <sz val="10"/>
        <color auto="1"/>
        <name val="Arial"/>
        <family val="2"/>
        <scheme val="none"/>
      </font>
      <numFmt numFmtId="30" formatCode="@"/>
      <alignment horizontal="general" vertical="top" textRotation="0" wrapText="1" indent="0" justifyLastLine="0" shrinkToFit="0" readingOrder="0"/>
      <border diagonalUp="0" diagonalDown="0">
        <left style="hair">
          <color indexed="64"/>
        </left>
        <right style="hair">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1" indent="0" justifyLastLine="0" shrinkToFit="0" readingOrder="0"/>
      <border diagonalUp="0" diagonalDown="0">
        <left style="hair">
          <color indexed="64"/>
        </left>
        <right style="hair">
          <color indexed="64"/>
        </right>
        <top style="thin">
          <color indexed="64"/>
        </top>
        <bottom style="thin">
          <color indexed="64"/>
        </bottom>
        <vertical/>
        <horizontal/>
      </border>
    </dxf>
    <dxf>
      <border outline="0">
        <left style="thin">
          <color rgb="FF000000"/>
        </left>
        <right style="hair">
          <color rgb="FF000000"/>
        </right>
        <bottom style="thin">
          <color rgb="FF000000"/>
        </bottom>
      </border>
    </dxf>
    <dxf>
      <font>
        <b/>
        <i val="0"/>
        <strike val="0"/>
        <condense val="0"/>
        <extend val="0"/>
        <outline val="0"/>
        <shadow val="0"/>
        <u val="none"/>
        <vertAlign val="baseline"/>
        <sz val="10"/>
        <color auto="1"/>
        <name val="Arial"/>
        <family val="2"/>
        <scheme val="none"/>
      </font>
      <numFmt numFmtId="2" formatCode="0.00"/>
      <fill>
        <patternFill patternType="solid">
          <fgColor indexed="64"/>
          <bgColor rgb="FFEDEEE8"/>
        </patternFill>
      </fill>
      <alignment horizontal="center" vertical="center" textRotation="0" wrapText="1" indent="0" justifyLastLine="0" shrinkToFit="0" readingOrder="0"/>
      <border diagonalUp="0" diagonalDown="0" outline="0">
        <left style="hair">
          <color indexed="64"/>
        </left>
        <right style="hair">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solid">
          <fgColor indexed="64"/>
          <bgColor theme="0"/>
        </patternFill>
      </fill>
      <alignment horizontal="center" vertical="center" textRotation="0" wrapText="1" indent="0" justifyLastLine="0" shrinkToFit="0" readingOrder="0"/>
      <border diagonalUp="0" diagonalDown="0">
        <left style="hair">
          <color indexed="64"/>
        </left>
        <right style="hair">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3" formatCode="#,##0"/>
      <fill>
        <patternFill patternType="solid">
          <fgColor indexed="64"/>
          <bgColor theme="0"/>
        </patternFill>
      </fill>
      <alignment horizontal="center" vertical="center" textRotation="0" wrapText="1" indent="0" justifyLastLine="0" shrinkToFit="0" readingOrder="0"/>
      <border diagonalUp="0" diagonalDown="0">
        <left style="hair">
          <color indexed="64"/>
        </left>
        <right/>
        <top style="thin">
          <color indexed="64"/>
        </top>
        <bottom style="thin">
          <color indexed="64"/>
        </bottom>
        <vertical/>
        <horizontal/>
      </border>
    </dxf>
    <dxf>
      <font>
        <b/>
        <i val="0"/>
        <strike val="0"/>
        <condense val="0"/>
        <extend val="0"/>
        <outline val="0"/>
        <shadow val="0"/>
        <u val="none"/>
        <vertAlign val="baseline"/>
        <sz val="10"/>
        <color auto="1"/>
        <name val="Arial"/>
        <family val="2"/>
        <scheme val="none"/>
      </font>
      <numFmt numFmtId="30" formatCode="@"/>
      <alignment horizontal="general" vertical="top" textRotation="0" wrapText="1" indent="0" justifyLastLine="0" shrinkToFit="0" readingOrder="0"/>
      <border diagonalUp="0" diagonalDown="0">
        <left style="hair">
          <color indexed="64"/>
        </left>
        <right style="hair">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1" indent="0" justifyLastLine="0" shrinkToFit="0" readingOrder="0"/>
      <border diagonalUp="0" diagonalDown="0">
        <left style="hair">
          <color indexed="64"/>
        </left>
        <right style="hair">
          <color indexed="64"/>
        </right>
        <top style="thin">
          <color indexed="64"/>
        </top>
        <bottom style="thin">
          <color indexed="64"/>
        </bottom>
        <vertical/>
        <horizontal/>
      </border>
    </dxf>
    <dxf>
      <border outline="0">
        <left style="thin">
          <color rgb="FF000000"/>
        </left>
        <right style="hair">
          <color rgb="FF000000"/>
        </right>
        <bottom style="thin">
          <color rgb="FF000000"/>
        </bottom>
      </border>
    </dxf>
    <dxf>
      <font>
        <b/>
        <i val="0"/>
        <strike val="0"/>
        <condense val="0"/>
        <extend val="0"/>
        <outline val="0"/>
        <shadow val="0"/>
        <u val="none"/>
        <vertAlign val="baseline"/>
        <sz val="10"/>
        <color auto="1"/>
        <name val="Arial"/>
        <family val="2"/>
        <scheme val="none"/>
      </font>
      <numFmt numFmtId="2" formatCode="0.00"/>
      <fill>
        <patternFill patternType="solid">
          <fgColor indexed="64"/>
          <bgColor rgb="FFEDEEE8"/>
        </patternFill>
      </fill>
      <alignment horizontal="center" vertical="center" textRotation="0" wrapText="1" indent="0" justifyLastLine="0" shrinkToFit="0" readingOrder="0"/>
      <border diagonalUp="0" diagonalDown="0" outline="0">
        <left style="hair">
          <color indexed="64"/>
        </left>
        <right style="hair">
          <color indexed="64"/>
        </right>
        <top/>
        <bottom/>
      </border>
    </dxf>
    <dxf>
      <font>
        <b/>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30" formatCode="@"/>
      <fill>
        <patternFill patternType="solid">
          <fgColor indexed="64"/>
          <bgColor theme="0"/>
        </patternFill>
      </fill>
      <alignment horizontal="center" vertical="center" textRotation="0" wrapText="1" indent="0" justifyLastLine="0" shrinkToFit="0" readingOrder="0"/>
      <border diagonalUp="0" diagonalDown="0">
        <left style="hair">
          <color indexed="64"/>
        </left>
        <right style="hair">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3" formatCode="#,##0"/>
      <fill>
        <patternFill patternType="solid">
          <fgColor indexed="64"/>
          <bgColor theme="0"/>
        </patternFill>
      </fill>
      <alignment horizontal="center" vertical="center" textRotation="0" wrapText="1" indent="0" justifyLastLine="0" shrinkToFit="0" readingOrder="0"/>
      <border diagonalUp="0" diagonalDown="0">
        <left style="hair">
          <color indexed="64"/>
        </left>
        <right/>
        <top style="thin">
          <color indexed="64"/>
        </top>
        <bottom style="thin">
          <color indexed="64"/>
        </bottom>
        <vertical/>
        <horizontal/>
      </border>
    </dxf>
    <dxf>
      <font>
        <b/>
        <i val="0"/>
        <strike val="0"/>
        <condense val="0"/>
        <extend val="0"/>
        <outline val="0"/>
        <shadow val="0"/>
        <u val="none"/>
        <vertAlign val="baseline"/>
        <sz val="10"/>
        <color auto="1"/>
        <name val="Arial"/>
        <family val="2"/>
        <scheme val="none"/>
      </font>
      <numFmt numFmtId="30" formatCode="@"/>
      <alignment horizontal="general" vertical="top" textRotation="0" wrapText="1" indent="0" justifyLastLine="0" shrinkToFit="0" readingOrder="0"/>
      <border diagonalUp="0" diagonalDown="0">
        <left style="hair">
          <color indexed="64"/>
        </left>
        <right style="hair">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1" indent="0" justifyLastLine="0" shrinkToFit="0" readingOrder="0"/>
      <border diagonalUp="0" diagonalDown="0">
        <left style="hair">
          <color indexed="64"/>
        </left>
        <right style="hair">
          <color indexed="64"/>
        </right>
        <top style="thin">
          <color indexed="64"/>
        </top>
        <bottom style="thin">
          <color indexed="64"/>
        </bottom>
        <vertical/>
        <horizontal/>
      </border>
    </dxf>
    <dxf>
      <font>
        <b/>
        <i val="0"/>
        <strike val="0"/>
        <condense val="0"/>
        <extend val="0"/>
        <outline val="0"/>
        <shadow val="0"/>
        <u val="none"/>
        <vertAlign val="baseline"/>
        <sz val="11"/>
        <color rgb="FFFF0000"/>
        <name val="Arial"/>
        <family val="2"/>
        <scheme val="none"/>
      </font>
      <numFmt numFmtId="30" formatCode="@"/>
      <fill>
        <patternFill patternType="solid">
          <fgColor indexed="64"/>
          <bgColor theme="0"/>
        </patternFill>
      </fill>
      <alignment horizontal="general" vertical="center" textRotation="9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auto="1"/>
        <name val="Arial"/>
        <family val="2"/>
        <scheme val="none"/>
      </font>
      <fill>
        <patternFill patternType="none">
          <fgColor indexed="64"/>
          <bgColor auto="1"/>
        </patternFill>
      </fill>
      <border diagonalUp="0" diagonalDown="0" outline="0">
        <left/>
        <right style="thin">
          <color indexed="64"/>
        </right>
        <top style="thin">
          <color indexed="64"/>
        </top>
        <bottom style="thin">
          <color indexed="64"/>
        </bottom>
      </border>
    </dxf>
    <dxf>
      <border outline="0">
        <left style="thin">
          <color indexed="64"/>
        </left>
        <right style="hair">
          <color indexed="64"/>
        </right>
        <bottom style="thin">
          <color indexed="64"/>
        </bottom>
      </border>
    </dxf>
    <dxf>
      <font>
        <b/>
        <i val="0"/>
        <strike val="0"/>
        <condense val="0"/>
        <extend val="0"/>
        <outline val="0"/>
        <shadow val="0"/>
        <u val="none"/>
        <vertAlign val="baseline"/>
        <sz val="10"/>
        <color auto="1"/>
        <name val="Arial"/>
        <family val="2"/>
        <scheme val="none"/>
      </font>
      <numFmt numFmtId="2" formatCode="0.00"/>
      <fill>
        <patternFill patternType="solid">
          <fgColor indexed="64"/>
          <bgColor rgb="FFEDEEE8"/>
        </patternFill>
      </fill>
      <alignment horizontal="center" vertical="center" textRotation="0" wrapText="1" indent="0" justifyLastLine="0" shrinkToFit="0" readingOrder="0"/>
      <border diagonalUp="0" diagonalDown="0" outline="0">
        <left style="hair">
          <color indexed="64"/>
        </left>
        <right style="hair">
          <color indexed="64"/>
        </right>
        <top/>
        <bottom/>
      </border>
    </dxf>
  </dxfs>
  <tableStyles count="0" defaultTableStyle="TableStyleMedium2" defaultPivotStyle="PivotStyleLight16"/>
  <colors>
    <mruColors>
      <color rgb="FFFF99FF"/>
      <color rgb="FF008C5A"/>
      <color rgb="FF00FF00"/>
      <color rgb="FF41B9E6"/>
      <color rgb="FF55BE5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2.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3.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ctrlProps/ctrlProp1.xml><?xml version="1.0" encoding="utf-8"?>
<formControlPr xmlns="http://schemas.microsoft.com/office/spreadsheetml/2009/9/main" objectType="CheckBox" checked="Checked" fmlaLink="#REF!" lockText="1" noThreeD="1"/>
</file>

<file path=xl/ctrlProps/ctrlProp2.xml><?xml version="1.0" encoding="utf-8"?>
<formControlPr xmlns="http://schemas.microsoft.com/office/spreadsheetml/2009/9/main" objectType="CheckBox" checked="Checked" fmlaLink="$Z$3" lockText="1" noThreeD="1"/>
</file>

<file path=xl/ctrlProps/ctrlProp3.xml><?xml version="1.0" encoding="utf-8"?>
<formControlPr xmlns="http://schemas.microsoft.com/office/spreadsheetml/2009/9/main" objectType="CheckBox" checked="Checked" fmlaLink="$AA$3" lockText="1" noThreeD="1"/>
</file>

<file path=xl/ctrlProps/ctrlProp4.xml><?xml version="1.0" encoding="utf-8"?>
<formControlPr xmlns="http://schemas.microsoft.com/office/spreadsheetml/2009/9/main" objectType="CheckBox" checked="Checked" fmlaLink="$AB$3" lockText="1" noThreeD="1"/>
</file>

<file path=xl/ctrlProps/ctrlProp5.xml><?xml version="1.0" encoding="utf-8"?>
<formControlPr xmlns="http://schemas.microsoft.com/office/spreadsheetml/2009/9/main" objectType="CheckBox" checked="Checked" fmlaLink="$AC$3" lockText="1" noThreeD="1"/>
</file>

<file path=xl/ctrlProps/ctrlProp6.xml><?xml version="1.0" encoding="utf-8"?>
<formControlPr xmlns="http://schemas.microsoft.com/office/spreadsheetml/2009/9/main" objectType="CheckBox" checked="Checked" fmlaLink="#REF!" lockText="1" noThreeD="1"/>
</file>

<file path=xl/ctrlProps/ctrlProp7.xml><?xml version="1.0" encoding="utf-8"?>
<formControlPr xmlns="http://schemas.microsoft.com/office/spreadsheetml/2009/9/main" objectType="CheckBox" checked="Checked" fmlaLink="#REF!" lockText="1" noThreeD="1"/>
</file>

<file path=xl/ctrlProps/ctrlProp8.xml><?xml version="1.0" encoding="utf-8"?>
<formControlPr xmlns="http://schemas.microsoft.com/office/spreadsheetml/2009/9/main" objectType="CheckBox" checked="Checked" fmlaLink="$AD$3" lockText="1" noThreeD="1"/>
</file>

<file path=xl/ctrlProps/ctrlProp9.xml><?xml version="1.0" encoding="utf-8"?>
<formControlPr xmlns="http://schemas.microsoft.com/office/spreadsheetml/2009/9/main" objectType="CheckBox" checked="Checked" fmlaLink="$AE$3" lockText="1" noThreeD="1"/>
</file>

<file path=xl/ctrlProps/ctrlProp10.xml><?xml version="1.0" encoding="utf-8"?>
<formControlPr xmlns="http://schemas.microsoft.com/office/spreadsheetml/2009/9/main" objectType="CheckBox" checked="Checked" fmlaLink="$AF$3" lockText="1" noThreeD="1"/>
</file>

<file path=xl/ctrlProps/ctrlProp11.xml><?xml version="1.0" encoding="utf-8"?>
<formControlPr xmlns="http://schemas.microsoft.com/office/spreadsheetml/2009/9/main" objectType="CheckBox" checked="Checked" fmlaLink="$AG$3" lockText="1" noThreeD="1"/>
</file>

<file path=xl/ctrlProps/ctrlProp12.xml><?xml version="1.0" encoding="utf-8"?>
<formControlPr xmlns="http://schemas.microsoft.com/office/spreadsheetml/2009/9/main" objectType="CheckBox" checked="Checked" fmlaLink="$AH$3" lockText="1" noThreeD="1"/>
</file>

<file path=xl/ctrlProps/ctrlProp13.xml><?xml version="1.0" encoding="utf-8"?>
<formControlPr xmlns="http://schemas.microsoft.com/office/spreadsheetml/2009/9/main" objectType="CheckBox" checked="Checked" fmlaLink="$AI$3" lockText="1" noThreeD="1"/>
</file>

<file path=xl/ctrlProps/ctrlProp14.xml><?xml version="1.0" encoding="utf-8"?>
<formControlPr xmlns="http://schemas.microsoft.com/office/spreadsheetml/2009/9/main" objectType="CheckBox" checked="Checked" fmlaLink="$AJ$3" lockText="1" noThreeD="1"/>
</file>

<file path=xl/ctrlProps/ctrlProp15.xml><?xml version="1.0" encoding="utf-8"?>
<formControlPr xmlns="http://schemas.microsoft.com/office/spreadsheetml/2009/9/main" objectType="CheckBox" checked="Checked" fmlaLink="$AK$3" lockText="1" noThreeD="1"/>
</file>

<file path=xl/ctrlProps/ctrlProp16.xml><?xml version="1.0" encoding="utf-8"?>
<formControlPr xmlns="http://schemas.microsoft.com/office/spreadsheetml/2009/9/main" objectType="CheckBox" checked="Checked" fmlaLink="#REF!" lockText="1" noThreeD="1"/>
</file>

<file path=xl/ctrlProps/ctrlProp17.xml><?xml version="1.0" encoding="utf-8"?>
<formControlPr xmlns="http://schemas.microsoft.com/office/spreadsheetml/2009/9/main" objectType="CheckBox" checked="Checked" fmlaLink="#REF!" lockText="1" noThreeD="1"/>
</file>

<file path=xl/ctrlProps/ctrlProp18.xml><?xml version="1.0" encoding="utf-8"?>
<formControlPr xmlns="http://schemas.microsoft.com/office/spreadsheetml/2009/9/main" objectType="CheckBox" checked="Checked" fmlaLink="#REF!" lockText="1" noThreeD="1"/>
</file>

<file path=xl/ctrlProps/ctrlProp19.xml><?xml version="1.0" encoding="utf-8"?>
<formControlPr xmlns="http://schemas.microsoft.com/office/spreadsheetml/2009/9/main" objectType="CheckBox" checked="Checked" fmlaLink="#REF!" lockText="1" noThreeD="1"/>
</file>

<file path=xl/ctrlProps/ctrlProp20.xml><?xml version="1.0" encoding="utf-8"?>
<formControlPr xmlns="http://schemas.microsoft.com/office/spreadsheetml/2009/9/main" objectType="CheckBox" checked="Checked" fmlaLink="#REF!" lockText="1" noThreeD="1"/>
</file>

<file path=xl/ctrlProps/ctrlProp21.xml><?xml version="1.0" encoding="utf-8"?>
<formControlPr xmlns="http://schemas.microsoft.com/office/spreadsheetml/2009/9/main" objectType="CheckBox" checked="Checked" fmlaLink="#REF!" lockText="1" noThreeD="1"/>
</file>

<file path=xl/ctrlProps/ctrlProp22.xml><?xml version="1.0" encoding="utf-8"?>
<formControlPr xmlns="http://schemas.microsoft.com/office/spreadsheetml/2009/9/main" objectType="CheckBox" checked="Checked" fmlaLink="#REF!" lockText="1" noThreeD="1"/>
</file>

<file path=xl/ctrlProps/ctrlProp23.xml><?xml version="1.0" encoding="utf-8"?>
<formControlPr xmlns="http://schemas.microsoft.com/office/spreadsheetml/2009/9/main" objectType="CheckBox" checked="Checked" fmlaLink="#REF!" lockText="1" noThreeD="1"/>
</file>

<file path=xl/ctrlProps/ctrlProp24.xml><?xml version="1.0" encoding="utf-8"?>
<formControlPr xmlns="http://schemas.microsoft.com/office/spreadsheetml/2009/9/main" objectType="CheckBox" checked="Checked" fmlaLink="#REF!" lockText="1" noThreeD="1"/>
</file>

<file path=xl/ctrlProps/ctrlProp25.xml><?xml version="1.0" encoding="utf-8"?>
<formControlPr xmlns="http://schemas.microsoft.com/office/spreadsheetml/2009/9/main" objectType="CheckBox" checked="Checked" fmlaLink="#REF!" lockText="1" noThreeD="1"/>
</file>

<file path=xl/ctrlProps/ctrlProp26.xml><?xml version="1.0" encoding="utf-8"?>
<formControlPr xmlns="http://schemas.microsoft.com/office/spreadsheetml/2009/9/main" objectType="CheckBox" checked="Checked" fmlaLink="#REF!" lockText="1" noThreeD="1"/>
</file>

<file path=xl/ctrlProps/ctrlProp27.xml><?xml version="1.0" encoding="utf-8"?>
<formControlPr xmlns="http://schemas.microsoft.com/office/spreadsheetml/2009/9/main" objectType="CheckBox" checked="Checked" fmlaLink="#REF!" lockText="1" noThreeD="1"/>
</file>

<file path=xl/ctrlProps/ctrlProp28.xml><?xml version="1.0" encoding="utf-8"?>
<formControlPr xmlns="http://schemas.microsoft.com/office/spreadsheetml/2009/9/main" objectType="CheckBox" checked="Checked" fmlaLink="#REF!" lockText="1" noThreeD="1"/>
</file>

<file path=xl/ctrlProps/ctrlProp29.xml><?xml version="1.0" encoding="utf-8"?>
<formControlPr xmlns="http://schemas.microsoft.com/office/spreadsheetml/2009/9/main" objectType="CheckBox" checked="Checked" fmlaLink="#REF!" lockText="1" noThreeD="1"/>
</file>

<file path=xl/ctrlProps/ctrlProp30.xml><?xml version="1.0" encoding="utf-8"?>
<formControlPr xmlns="http://schemas.microsoft.com/office/spreadsheetml/2009/9/main" objectType="CheckBox" checked="Checked" fmlaLink="#REF!" lockText="1" noThreeD="1"/>
</file>

<file path=xl/ctrlProps/ctrlProp31.xml><?xml version="1.0" encoding="utf-8"?>
<formControlPr xmlns="http://schemas.microsoft.com/office/spreadsheetml/2009/9/main" objectType="CheckBox" checked="Checked" fmlaLink="#REF!" lockText="1" noThreeD="1"/>
</file>

<file path=xl/ctrlProps/ctrlProp32.xml><?xml version="1.0" encoding="utf-8"?>
<formControlPr xmlns="http://schemas.microsoft.com/office/spreadsheetml/2009/9/main" objectType="CheckBox" checked="Checked" fmlaLink="#REF!" lockText="1" noThreeD="1"/>
</file>

<file path=xl/ctrlProps/ctrlProp33.xml><?xml version="1.0" encoding="utf-8"?>
<formControlPr xmlns="http://schemas.microsoft.com/office/spreadsheetml/2009/9/main" objectType="CheckBox" checked="Checked" fmlaLink="#REF!" lockText="1" noThreeD="1"/>
</file>

<file path=xl/ctrlProps/ctrlProp34.xml><?xml version="1.0" encoding="utf-8"?>
<formControlPr xmlns="http://schemas.microsoft.com/office/spreadsheetml/2009/9/main" objectType="CheckBox" checked="Checked" fmlaLink="#REF!" lockText="1" noThreeD="1"/>
</file>

<file path=xl/ctrlProps/ctrlProp35.xml><?xml version="1.0" encoding="utf-8"?>
<formControlPr xmlns="http://schemas.microsoft.com/office/spreadsheetml/2009/9/main" objectType="CheckBox" checked="Checked" fmlaLink="#REF!" lockText="1" noThreeD="1"/>
</file>

<file path=xl/ctrlProps/ctrlProp36.xml><?xml version="1.0" encoding="utf-8"?>
<formControlPr xmlns="http://schemas.microsoft.com/office/spreadsheetml/2009/9/main" objectType="CheckBox" checked="Checked" fmlaLink="#REF!" lockText="1" noThreeD="1"/>
</file>

<file path=xl/ctrlProps/ctrlProp37.xml><?xml version="1.0" encoding="utf-8"?>
<formControlPr xmlns="http://schemas.microsoft.com/office/spreadsheetml/2009/9/main" objectType="CheckBox" checked="Checked" fmlaLink="#REF!" lockText="1" noThreeD="1"/>
</file>

<file path=xl/ctrlProps/ctrlProp38.xml><?xml version="1.0" encoding="utf-8"?>
<formControlPr xmlns="http://schemas.microsoft.com/office/spreadsheetml/2009/9/main" objectType="CheckBox" checked="Checked" fmlaLink="#REF!" lockText="1" noThreeD="1"/>
</file>

<file path=xl/ctrlProps/ctrlProp39.xml><?xml version="1.0" encoding="utf-8"?>
<formControlPr xmlns="http://schemas.microsoft.com/office/spreadsheetml/2009/9/main" objectType="CheckBox" checked="Checked" fmlaLink="#REF!" lockText="1" noThreeD="1"/>
</file>

<file path=xl/ctrlProps/ctrlProp40.xml><?xml version="1.0" encoding="utf-8"?>
<formControlPr xmlns="http://schemas.microsoft.com/office/spreadsheetml/2009/9/main" objectType="CheckBox" checked="Checked" fmlaLink="#REF!" lockText="1" noThreeD="1"/>
</file>

<file path=xl/ctrlProps/ctrlProp41.xml><?xml version="1.0" encoding="utf-8"?>
<formControlPr xmlns="http://schemas.microsoft.com/office/spreadsheetml/2009/9/main" objectType="CheckBox" checked="Checked" fmlaLink="#REF!" lockText="1" noThreeD="1"/>
</file>

<file path=xl/ctrlProps/ctrlProp42.xml><?xml version="1.0" encoding="utf-8"?>
<formControlPr xmlns="http://schemas.microsoft.com/office/spreadsheetml/2009/9/main" objectType="CheckBox" checked="Checked" fmlaLink="#REF!" lockText="1" noThreeD="1"/>
</file>

<file path=xl/ctrlProps/ctrlProp43.xml><?xml version="1.0" encoding="utf-8"?>
<formControlPr xmlns="http://schemas.microsoft.com/office/spreadsheetml/2009/9/main" objectType="CheckBox" checked="Checked" fmlaLink="#REF!" lockText="1" noThreeD="1"/>
</file>

<file path=xl/ctrlProps/ctrlProp44.xml><?xml version="1.0" encoding="utf-8"?>
<formControlPr xmlns="http://schemas.microsoft.com/office/spreadsheetml/2009/9/main" objectType="CheckBox" checked="Checked" fmlaLink="#REF!" lockText="1" noThreeD="1"/>
</file>

<file path=xl/ctrlProps/ctrlProp45.xml><?xml version="1.0" encoding="utf-8"?>
<formControlPr xmlns="http://schemas.microsoft.com/office/spreadsheetml/2009/9/main" objectType="CheckBox" checked="Checked" fmlaLink="#REF!" lockText="1" noThreeD="1"/>
</file>

<file path=xl/ctrlProps/ctrlProp46.xml><?xml version="1.0" encoding="utf-8"?>
<formControlPr xmlns="http://schemas.microsoft.com/office/spreadsheetml/2009/9/main" objectType="CheckBox" checked="Checked" fmlaLink="#REF!" lockText="1" noThreeD="1"/>
</file>

<file path=xl/ctrlProps/ctrlProp47.xml><?xml version="1.0" encoding="utf-8"?>
<formControlPr xmlns="http://schemas.microsoft.com/office/spreadsheetml/2009/9/main" objectType="CheckBox" checked="Checked" fmlaLink="#REF!" lockText="1" noThreeD="1"/>
</file>

<file path=xl/ctrlProps/ctrlProp48.xml><?xml version="1.0" encoding="utf-8"?>
<formControlPr xmlns="http://schemas.microsoft.com/office/spreadsheetml/2009/9/main" objectType="CheckBox" checked="Checked" fmlaLink="#REF!" lockText="1" noThreeD="1"/>
</file>

<file path=xl/ctrlProps/ctrlProp49.xml><?xml version="1.0" encoding="utf-8"?>
<formControlPr xmlns="http://schemas.microsoft.com/office/spreadsheetml/2009/9/main" objectType="CheckBox" checked="Checked" fmlaLink="#REF!" lockText="1" noThreeD="1"/>
</file>

<file path=xl/ctrlProps/ctrlProp50.xml><?xml version="1.0" encoding="utf-8"?>
<formControlPr xmlns="http://schemas.microsoft.com/office/spreadsheetml/2009/9/main" objectType="CheckBox" checked="Checked" fmlaLink="#REF!" lockText="1" noThreeD="1"/>
</file>

<file path=xl/ctrlProps/ctrlProp51.xml><?xml version="1.0" encoding="utf-8"?>
<formControlPr xmlns="http://schemas.microsoft.com/office/spreadsheetml/2009/9/main" objectType="CheckBox" checked="Checked" fmlaLink="#REF!" lockText="1" noThreeD="1"/>
</file>

<file path=xl/ctrlProps/ctrlProp52.xml><?xml version="1.0" encoding="utf-8"?>
<formControlPr xmlns="http://schemas.microsoft.com/office/spreadsheetml/2009/9/main" objectType="CheckBox" checked="Checked" fmlaLink="#REF!" lockText="1" noThreeD="1"/>
</file>

<file path=xl/ctrlProps/ctrlProp53.xml><?xml version="1.0" encoding="utf-8"?>
<formControlPr xmlns="http://schemas.microsoft.com/office/spreadsheetml/2009/9/main" objectType="CheckBox" checked="Checked" fmlaLink="#REF!" lockText="1" noThreeD="1"/>
</file>

<file path=xl/ctrlProps/ctrlProp54.xml><?xml version="1.0" encoding="utf-8"?>
<formControlPr xmlns="http://schemas.microsoft.com/office/spreadsheetml/2009/9/main" objectType="CheckBox" checked="Checked" fmlaLink="#REF!" lockText="1" noThreeD="1"/>
</file>

<file path=xl/ctrlProps/ctrlProp55.xml><?xml version="1.0" encoding="utf-8"?>
<formControlPr xmlns="http://schemas.microsoft.com/office/spreadsheetml/2009/9/main" objectType="CheckBox" checked="Checked" fmlaLink="#REF!" lockText="1" noThreeD="1"/>
</file>

<file path=xl/ctrlProps/ctrlProp56.xml><?xml version="1.0" encoding="utf-8"?>
<formControlPr xmlns="http://schemas.microsoft.com/office/spreadsheetml/2009/9/main" objectType="CheckBox" checked="Checked" fmlaLink="#REF!" lockText="1" noThreeD="1"/>
</file>

<file path=xl/ctrlProps/ctrlProp57.xml><?xml version="1.0" encoding="utf-8"?>
<formControlPr xmlns="http://schemas.microsoft.com/office/spreadsheetml/2009/9/main" objectType="CheckBox" checked="Checked" fmlaLink="#REF!" lockText="1" noThreeD="1"/>
</file>

<file path=xl/ctrlProps/ctrlProp58.xml><?xml version="1.0" encoding="utf-8"?>
<formControlPr xmlns="http://schemas.microsoft.com/office/spreadsheetml/2009/9/main" objectType="CheckBox" checked="Checked" fmlaLink="#REF!" lockText="1" noThreeD="1"/>
</file>

<file path=xl/ctrlProps/ctrlProp59.xml><?xml version="1.0" encoding="utf-8"?>
<formControlPr xmlns="http://schemas.microsoft.com/office/spreadsheetml/2009/9/main" objectType="CheckBox" checked="Checked" fmlaLink="#REF!" lockText="1" noThreeD="1"/>
</file>

<file path=xl/ctrlProps/ctrlProp60.xml><?xml version="1.0" encoding="utf-8"?>
<formControlPr xmlns="http://schemas.microsoft.com/office/spreadsheetml/2009/9/main" objectType="CheckBox" checked="Checked" fmlaLink="#REF!" lockText="1" noThreeD="1"/>
</file>

<file path=xl/ctrlProps/ctrlProp61.xml><?xml version="1.0" encoding="utf-8"?>
<formControlPr xmlns="http://schemas.microsoft.com/office/spreadsheetml/2009/9/main" objectType="CheckBox" checked="Checked" fmlaLink="#REF!" lockText="1" noThreeD="1"/>
</file>

<file path=xl/ctrlProps/ctrlProp62.xml><?xml version="1.0" encoding="utf-8"?>
<formControlPr xmlns="http://schemas.microsoft.com/office/spreadsheetml/2009/9/main" objectType="CheckBox" checked="Checked" fmlaLink="#REF!" lockText="1" noThreeD="1"/>
</file>

<file path=xl/ctrlProps/ctrlProp63.xml><?xml version="1.0" encoding="utf-8"?>
<formControlPr xmlns="http://schemas.microsoft.com/office/spreadsheetml/2009/9/main" objectType="CheckBox" checked="Checked" fmlaLink="#REF!" lockText="1" noThreeD="1"/>
</file>

<file path=xl/ctrlProps/ctrlProp64.xml><?xml version="1.0" encoding="utf-8"?>
<formControlPr xmlns="http://schemas.microsoft.com/office/spreadsheetml/2009/9/main" objectType="CheckBox" checked="Checked" fmlaLink="#REF!" lockText="1" noThreeD="1"/>
</file>

<file path=xl/ctrlProps/ctrlProp65.xml><?xml version="1.0" encoding="utf-8"?>
<formControlPr xmlns="http://schemas.microsoft.com/office/spreadsheetml/2009/9/main" objectType="CheckBox" checked="Checked" fmlaLink="#REF!" lockText="1" noThreeD="1"/>
</file>

<file path=xl/ctrlProps/ctrlProp66.xml><?xml version="1.0" encoding="utf-8"?>
<formControlPr xmlns="http://schemas.microsoft.com/office/spreadsheetml/2009/9/main" objectType="CheckBox" checked="Checked" fmlaLink="#REF!" lockText="1" noThreeD="1"/>
</file>

<file path=xl/ctrlProps/ctrlProp67.xml><?xml version="1.0" encoding="utf-8"?>
<formControlPr xmlns="http://schemas.microsoft.com/office/spreadsheetml/2009/9/main" objectType="CheckBox" checked="Checked" fmlaLink="#REF!" lockText="1" noThreeD="1"/>
</file>

<file path=xl/ctrlProps/ctrlProp68.xml><?xml version="1.0" encoding="utf-8"?>
<formControlPr xmlns="http://schemas.microsoft.com/office/spreadsheetml/2009/9/main" objectType="CheckBox" checked="Checked" fmlaLink="#REF!" lockText="1" noThreeD="1"/>
</file>

<file path=xl/ctrlProps/ctrlProp69.xml><?xml version="1.0" encoding="utf-8"?>
<formControlPr xmlns="http://schemas.microsoft.com/office/spreadsheetml/2009/9/main" objectType="CheckBox" checked="Checked" fmlaLink="#REF!" lockText="1" noThreeD="1"/>
</file>

<file path=xl/ctrlProps/ctrlProp70.xml><?xml version="1.0" encoding="utf-8"?>
<formControlPr xmlns="http://schemas.microsoft.com/office/spreadsheetml/2009/9/main" objectType="CheckBox" checked="Checked" fmlaLink="#REF!" lockText="1" noThreeD="1"/>
</file>

<file path=xl/ctrlProps/ctrlProp71.xml><?xml version="1.0" encoding="utf-8"?>
<formControlPr xmlns="http://schemas.microsoft.com/office/spreadsheetml/2009/9/main" objectType="CheckBox" checked="Checked" fmlaLink="#REF!" lockText="1" noThreeD="1"/>
</file>

<file path=xl/documenttasks/documenttask1.xml><?xml version="1.0" encoding="utf-8"?>
<Tasks xmlns="http://schemas.microsoft.com/office/tasks/2019/documenttasks">
  <Task id="{FE2FA29A-062A-4991-B4CB-76250E1091FE}">
    <Anchor>
      <Comment id="{0919CC70-914C-4FDA-8716-9631E22B151F}"/>
    </Anchor>
    <History>
      <Event time="2024-11-18T17:06:21.37" id="{86A34B7E-7ECD-4B1A-8801-B2AAA1BE218E}">
        <Attribution userId="뫔ȶ㡺뫔ȶ㢂뫔ȶ㤐뫔ȶ㤚뫔ȶ㦘뫔ȶ㦤뫔ȶ㨨뫔ȶ㨶뫔ȶ㪼뫔ȶ㫈뫔ȶ㭐뫔ȶ㭞뫔ȶ㯨뫔ȶ㯸뫔ȶ㲀뫔ȶ㲨뫔ȶ㹢뫔ȶ㻢뫔ȶ䆄뫔ȶ䈒뫔ȶ틨䯨翽썐䯵翽诰ⵝȶ쏠䯵翽瘸䯆翽쐨䯵翽Ꞁ䯅翽쐨䯵翽Ꞁ䯅翽瘿ᚔᇁ뒹y\2孆唋ᄶ耀https://enelcom.sharepoint.com/sites/EngKnowledgePartnerships-EKP/Shared%20Documents/EMP/Master%20Capex/AB%20to%20MC/AB2MC.xlsx字唘ሂ耀https://enelcom.sharepoint.com/sites/engknowledgepartnerships-ekp/shared%20documents/emp/master%20capex/ab%20to%20mc/ab2mc.xlsx32嬤啩ጃ耀https://enelcom.sharepoint.com/sites/EngKnowledgePartnerships-EKP/Shared%20Documents/EMP/Master%20Capex/AB%20to%20MC/AB2MC.xlsx嬵啶ᑠ耀https://enelcom.sharepoint.com/sites/engknowledgepartnerships-ekp/shared%20documents/ekp/master%20capex/ab%20to%20mc/ab2mc.xlsx嬂啇ᔦ退粀ⶽȶ肀⢠〙ȶ脀긠⡹ȶ脀議⡹ȶ脀ꪀ뮀ȶ腀鋰⡹ȶ脀赐⡹ȶ脀嬓啔ᘁ耀㲎뫔ȶ㳪뫔ȶ㴆뫔ȶ㴠뫔ȶ㴸뫔ȶ㵒뫔ȶ㵪뫔ȶ㶀뫔ȶ㶒뫔ȶ㶲뫔ȶ㷊뫔ȶ㷪뫔ȶ㸆뫔ȶ㸜뫔ȶ㹊뫔ȶ㻴뫔ȶ㼒뫔ȶ㼠뫔ȶ㽈뫔ȶ㽸뫔ȶ㾪뫔ȶ㿆뫔ȶ㿨뫔ȶ㿾뫔ȶ䀘뫔ȶ䀴뫔ȶ䁌뫔ȶ䁬뫔ȶ䂊뫔ȶ䂠뫔ȶ䂶뫔ȶ䃆뫔ȶ寠喥ᜀ耀https://enelcom.sharepoint.com/sites/EngKnowledgePartnerships-EKP/Shared%20Documents/EMP/Master%20Capex/AB%20to%20MC/AB2MC.xlsx寱喲᠀耀https://enelcom.sharepoint.com/sites/EngKnowledgePartnerships-EKP/Shared%20Documents/EMP/Master%20Capex/AB%20to%20MC/AB2MC.xlsx寞喃ᥠ退ﵐ⢁ȶ䄂ó뤀⻈ȶĀꐠ⻈ȶĀ႐뱁ȶĀऐ뱁ȶĀ炀疻ȶĀ甀疻ȶĀ甀疻ȶĀ炀疻ȶĀ䭀⿚ȶĀ慠⿚ȶĀ扠⿚ȶĀ자ベȶĀᝰ벊ȶĀፐ벊ȶĀ旘䯴翽鎸䯄翽宯喐ᨀ耀https://enelcom.sharepoint.com/sites/EngKnowledgePartnerships-EKP/Shared%20Documents/EMP/Master%20Capex/AB%20to%20MC/AB2MC.xlsx32宼嗡ᬑ退꼐〗ȶY\USER\S-1-5-21-209216993-2763362892-3104057069-389913\Software\Policies\Microsoft\Cloud\Office\16.0\Common\InternetTm宍嗎ᰏ耀https://enelcom.sharepoint.com/sites/EngKnowledgePartnerships-EKP/Shared%20Documents/EMP/Master%20Capex/AB%20to%20MC/AB2MC.xlsx2È䂠䂠䋰뭑ȶ̇呄ｪ5#``⬀뭪ȶÈ䃠&#10;&#10;䃠&#10;&#10;㤰뭑ȶ蛯သ㷠⡻ȶꕀ⢿ȶ&#10;타﩮ᭀ耀$⁰⵨ȶ耆⠪￴⢚⢚囀⵱ȶ塦吪耀䦈䈙翽㠠䈗翽㟸䈗翽㟘䈗翽ᤀ쇱ȶᤀ쇱ȶᤐ쇱ȶ؀ĆĆĆ윰묵ȶ坐슘ȶ址슘ȶ씀﵋ĀĂ塸吼ĉ蠀阸䯨翽⻞ȶﻐ⻂ȶ⻂ȶ솰슍ȶЀෘ♚ȶ&quot;吐うȶ㾀㾀᧿Ѐলǁ茌塊后Ȁ退⪠⠺ȶ틨䯨翽൘䯄翽峀ᦽȶ่䯄翽䯅翽၀䯄翽섀䯫翽ሰ䯄翽䯅翽ቸ䯄翽嶀ᦽȶ莸䯄翽섀䯫翽蒸䯄翽䯅翽蚸䯄翽䯅翽⾈䯅翽䯅翽땘䯅翽䈰⡈ȶ튈䯪翽鎸䯄翽ᇠ䯵翽ꢀ⠻ȶ塜吀̄耀䦈䈙翽㠠䈗翽㟸䈗翽㟘䈗翽᐀쇱ȶ᐀쇱ȶᐐ쇱ȶÐ탤탤탤꽠싍ȶ凐슘ȶ净슘ȶĂ堮吒Ѐ耀䦈䈙翽㠠䈗翽㟸䈗翽㟘䈗翽렠쇰ȶ렠쇰ȶ렰쇰ȶ吀͔͔͔褰⻸ȶ媰슘ȶ媠슘ȶĂ堠呤Ԁ耀䦈䈙翽㠠䈗翽㟸䈗翽㟘䈗翽鷠쇰ȶ鷠쇰ȶ鷰쇰ȶ଀̋̋̋떐〺ȶ嶰슘ȶ嶠슘ȶĂ堲呶؀耀䦈䈙翽㠠䈗翽㟸䈗翽㟘䈗翽뙀쇰ȶ뙀쇰ȶ뙐쇰ȶ؀ĆĆĆ벐묵ȶᇰ슘ȶᇠ슘ȶĂ堄呈܀耀䦈䈙翽㠠䈗翽㟸䈗翽㟘䈗翽껀쇰ȶ껀쇰ȶ껐쇰ȶ䨀͊͊͊ꦰ⿡ȶᲰ슘ȶᲠ슘ȶĂ堖呚ࠀ耀䦈䈙翽㠠䈗翽㟸䈗翽㟘䈗翽5魠쇰ȶ魠쇰ȶ魰쇰ȶ˦˦˦⢾ȶṐ슘ȶṀ슘ȶ씀﵋ĀĂ壨咬ऀ耀䦈䈙翽㠠䈗翽㟸䈗翽㟘䈗翽֠쇱ȶ֠쇱ȶְ쇱ȶåᗐ슠ȶ鲀뱫ȶ鱰뱫ȶĂ壺咾਀耀䦈䈙翽㠠䈗翽㟸䈗翽㟘䈗翽딀쇰ȶ딀쇰ȶ딐쇰ȶǴǴǴࢰ⽃ȶ忐슘ȶ忀슘ȶĂ壌咰଀耀䦈䈙翽㠠䈗翽㟸䈗翽㟘䈗翽쇰ȶ쇰ȶ쇰ȶǱǱǱڰ⽃ȶ㺐슘ȶ㺀슘ȶĂ壞咂ఀ耀䦈䈙翽㠠䈗翽㟸䈗翽㟘䈗翽缀鼠쇰ȶ鼠쇰ȶ鼰쇰ȶ缀ǰǰǰ⽂ȶཐ슘ȶཀ슘ȶĂ壐咔ഀ耀䦈䈙翽㠠䈗翽㟸䈗翽㟘䈗翽ꁠ쇰ȶꁠ쇰ȶꁰ쇰ȶ怀·띠띠띠р숚ȶᚰ슘ȶᚠ슘ȶĂ墢哦฀耀䦈䈙翽㠠䈗翽㟸䈗翽㟘䈗翽 쇱ȶ 쇱ȶ°쇱ȶ뼀ʿʿʿꪠ盕ȶ鶀뱫ȶ鵰뱫ȶĂ墴哸ༀ蠀䯨翽謐묮ȶ㠰⵨ȶ㄰⵨ȶ흰♿ȶЁߐⶺȶ෸♚ȶȹ&quot;ႀぇȶ⻀ȶ{￹翿{㾀㾀᣿؃Ƴ⇀茄,墆哊က耀䦈䈙翽㠠䈗翽㟸䈗翽㟘䈗翽ـ쇱ȶـ쇱ȶِ쇱ȶ봀ʽʽʽ군盕ȶꅠ뱫ȶꅐ뱫ȶĂ墘哜ᄀ退暰䯨翽謐묮ȶ㧰⵨ȶ㠰⵨ȶ⺘ȶЀ๸♚ȶȱ&quot;ఀぇȶ먀⻀ȶ￹翿㾀㾀ჿ؃Ʊ⇀茄,奪售ሓ耀䦈䈙翽㠠䈗翽㟸䈗翽㟘䈗翽๠쇱ȶ๠쇱ȶ๰쇱ȶ㘀ȶȶȶ⵰ȶ䝐슘ȶ䝀슘ȶĂ奼唠ጒ退暰䯨翽謐묮ȶ㧰⵨ȶ༠뮓ȶ Ё๸♚ȶȲ&quot;춐うȶ유⻀ȶ­￹翿㾀㾀᠀؃Ʊǀ茄奎唲᐀耀䦈䈙翽㠠䈗翽㟸䈗翽㟘䈗翽燎쇰ȶ燎쇰ȶ類쇰ȶ섀ˁˁˁ댐盕ȶꕀ뱫ȶꔰ뱫ȶĂ奀唄ᔀ蠀阸䯨翽⻞ȶ⻂ȶѰ⻃ȶ쒰슍ȶЀෘ♚ȶ&quot;苀うȶ㾀㾀᧿Ѐলǁ茌奒唖ᘀ耀䦈䈙翽㠠䈗翽㟸䈗翽㟘䈗翽ઠ쇱ȶઠ쇱ȶર쇱ȶ대ʳʳʳ骐뮋ȶ㧐슘ȶ㧀슘ȶĂ夤啨ᜀ耀䦈䈙翽㠠䈗翽㟸䈗翽㟘䈗翽Ȁ쇰ȶ쇰ȶ쇰ȶ؀ĆĆĆ띀묵ȶ鳠뱫ȶ鳐뱫ȶꔀ䳜翽Ă夶啺᠐耀䦈䈙翽㠠䈗翽㟸䈗翽㟘䈗翽Ȁ쇱ȶ쇱ȶ쇱ȶ븀ʾʾʾ荀盕ȶ㭐슘ȶ㭀슘ȶĂ夈啌ᤛ耀䦈䈙翽㠠䈗翽㟸䈗翽㟘䈗翽쇰ȶ쇰ȶ쇰ȶ㸀ȾȾȾ絠쇩ȶ䒐슘ȶ䒀슘ȶĂ多啞ᨔ耀䦈䈙翽㠠䈗翽㟸䈗翽㟘䈗翽o쇰ȶ쇰ȶ쇰ȶrǱǱǱice⽂ȶ倰슘ȶ倠슘ȶOpeĂ姬啐ᬗ退ঈ䯱翽謐묮ȶ⽰⵨ȶⶰ⵨ȶа슍ȶЁ在䰳翽ȴ&quot;7ﺀうȶ⻀ȶ*￹翿㾀㾀᣿؃Ʋǀ茄,e姾喢ᰓ耀䦈䈙翽㠠䈗翽㟸䈗翽㟘䈗翽ༀ쇱ȶༀ쇱ȶ༐쇱ȶ쀀ˀˀˀ酐盕ȶ㿐슘ȶ㿀슘ȶĂ姰喴ᴛ退ঈ䯱翽謐묮ȶ㄰⵨ȶ⽰⵨ȶ슍ȶЀ在䰳翽ȳ&quot;콀うȶ⻀ȶ￹翿㾀㾀᣿؃Ʋǀ茄,姂喆ḓ耀䦈䈙翽㠠䈗翽㟸䈗翽㟘䈗翽ව쇱ȶව쇱ȶැ쇱ȶ茀ʃʃʃ錐⺄ȶ䖰슘ȶ䖠슘ȶĂ委喘἗耀䦈䈙翽㠠䈗翽㟸䈗翽㟘䈗翽쇰ȶ쇰ȶ쇰ȶ쀀ˀˀˀ盕ȶ颀뱫ȶ顰뱫ȶĂ妦嗪‒耀䦈䈙翽㠠䈗翽㟸䈗翽㟘䈗翽ᗠ쇱ȶᗠ쇱ȶᗰ쇱ȶﬀǻǻǻ䶠⻘ȶ䵐슘ȶ䵀슘ȶ씀﵋ĀĂ妸嗼ℛ耀䦈䈙翽㠠䈗翽㟸䈗翽㟘䈗翽5｠쇰ȶ｠쇰ȶｰ쇰ȶ뼀ʿʿʿ躀盕ȶꌠ뱫ȶꌐ뱫ȶ씀﵋ĀĂ妊嗎∖退⪠⠺ȶ틨䯨翽൘䯄翽嚐ᦽȶ၀䯄翽倨䯄翽ሰ䯄翽䯅翽ቸ䯄翽侠ᦽȶ莸䯄翽섀䯫翽蒸䯄翽䯅翽蚸䯄翽䯅翽⾈䯅翽䯅翽땘䯅翽䈰⡈ȶ瑘䯨翽成っȶ튈䯪翽鎸䯄翽튈䯪翽鎸䯄翽妜嗀⍪耀䦈䈙翽㠠䈗翽㟸䈗翽㟘䈗翽쇰ȶ쇰ȶ쇰ȶ뼀ʿʿʿꔀ盕ȶ驠뱫ȶ驐뱫ȶ씀﵋ĀĂ䃀䕀슻ȶ蛯သ糀박ȶ셐몚ȶ타驾᧰ȶ䂀⵨ȶ￹∽㐶⼢㰾杢潃潬⁲幧吪e鐀ȴĀ䰱翽䀍쐗﵋ꀀ跍㘨䠀쑓﵋﵋﵋﵋䠀쐎﵋℀赬㘨退쐎﵋Ā赢㘨쏟﵋ᄀ赪㘨퀀얜﵋倀예﵋᠀얞﵋倀예﵋렀쑾﵋䀀㘭쒅﵋섀㘭액﵋﵋怀액﵋﵋ꠀ﵋㘭Ȁ䀁め﵌Ԁ午䯄翽櫰䯴翽鯸䯜翽틨䯨翽䰸䯄翽Ṁ슫ȶ鳐䯅翽ࡐ䯆翽鸘䯅翽ࡐ䯆翽Ă腀䰰翽䀂쐗﵋ 跕㘨뀀쏠﵋怀㘭̀䀁め﵌ࠀᝀ䯄翽⢍ȶ午䯄翽섀䯫翽葰䯄翽촁ⷤȶ䰸䯄翽㷰슫ȶ鯸䯜翽틨䯨翽鳐䯅翽ࡐ䯆翽ꆘ䯅翽ࡐ䯆翽鸘䯅翽ࡐ䯆翽ă腀䰰翽뀁쏠﵋怀㘭̀ă腀䰰翽렂씆﵋က跖㘨얝﵋﵋̀ 幀吇ź耀ヽȶ釠ⷊȶી쉴ȶālagsāād㟫߹翾갰䵕翽&#10;ⷊȶ冈&#10;ime連୲㩥Ǜ㟫߹翾ꬰ窏óヽȶ棰⻶ȶက쉴ȶāⷊȶ翿 ⷊȶ&#10;翿 ⻶ȶ翿 ヽȶ墀뮌ȶీ쉴ȶĂ帽呠ȶ耀ヽȶ飠ⷊȶཀ쉴ȶ鈀罿㖍ǜĂヽȶ連୲㩥Ǜ戴㴌Ǜ⻶ȶ무䵌翽謀窏ó⹍ȶᬉ庞쬩㾀⻶ȶ귐⎪둅ヽȶ؟쭒䵁翽謀窏ó玀۾쳑ⷊȶ쭒䵁翽謀窏ó㌲ㄮ〴ⷊȶ؟쭒䵁翽謀窏ó⸲㌲ㄮuccess؁쭒䵁翽謀窏ó&#10;㌮㈮㄀ヽȶ섰ⷎȶᆠ쉴ȶ㌮ㄮ㄀㌮Ăㄮ㔮㔮㜮㌮㠮帖呝̶退①⸐ȶⷤȶⷤȶⷤȶ骀⸗ȶⷤȶ⒰⸐ȶⷤȶⷤȶⷤȶⷤȶⷤȶ鵀⸗ȶⷤȶⷤȶ醀⸗ȶ⣀⸐ȶἐ⸐ȶⷤȶⷤȶ■⸐ȶ㱰ⷯȶᥰ⸐ȶ─⸐ȶⷤȶⷤȶ⟐⸐ȶ駠ゔȶ釀⸗ȶⷤȶⷤȶⷤȶⷤȶⷤȶⷤȶB廳咶ж退䯃翽⸭ȶ䯃翽鸞⸭ȶ䯃翽⸭ȶ䯃翽⸭ȶ䯃翽⸭ȶຐ䯄翽⸭ȶᣘ䯄翽⸭ȶ 䰸䯄翽⸭ȶ嚀䯄翽⸭ȶ苠䯄翽⸭ȶ蔀䯄翽⸭ȶ懰䯅翽⸭ȶag鶘䯅翽⸭ȶag鷘䯅翽⸭ȶag鸘䯅翽龜⸭ȶagࣈ䯆翽⸭ȶagस䯆翽⸭ȶag랠䯜翽⸭ȶag뱈䯜翽⸭ȶag䯞翽⸭ȶag䈀䯟翽⸭ȶ&#10;ag䛈䯟翽⸭ȶ⛰䯨翽⸭ȶ翰䯨翽⸭ȶ㜮㌮㠮庬咓Զ退ȸĀ䰱翽렇씆﵋꬚㛂䀀쐗﵋跩㘨耀﵋﵋䠀쑓﵋﵋耀옏﵋℀趍㘨頀얝﵋ꀀꭗ㛂얝﵋ꀀꭗ㛂Ȁ送㇩﵌Ā午䯄翽璈䯫翽Ă٠䰲翽耆﵋연﵋怀﵋က跇㘨怀﵋ 跌㘨뀀﵋연﵋怀쏠﵋﵋﵋﵋Ȁ뀁ㇱ﵌Ȁᝀ䯄翽욀⢍ȶ午䯄翽ڸ䯶翽Ă腀䰰翽렂씆﵋ꀀꬿ㛂䠀쑓﵋蠀﵋Ȁ䀁め﵌̀ᝀ䯄翽擰슫ȶڸ䯅翽擰슫ȶ䯃翽틨䯨翽ă腀䰰翽䀃쐗﵋䀀ꭲ㛂렀씆﵋䀀ꭲ㛂怀쏠﵋﵋̀ă︈䰱翽렁씆﵋跉㘨̀䀁め﵌Ѐڸ䯅翽㸠슫ȶ午䯄翽櫰䯴翽鸘䯅翽ࡐ䯆翽葰䯄翽詑⢍ȶ̃̃ ⵐȶⵐȶⵐȶⵐȶⵐȶⵐȶⵐȶⵐȶⵐȶⵐȶⵐȶⵐȶⵐȶⵐȶⵐȶⵐȶ泌ⵐȶ漣ⵐȶ節ⵐȶ쩼ⵐȶ쭂ⵐȶ쭬ⵐȶ찲ⵐȶ챜ⵐȶ촢ⵐȶ쵌ⵐȶ츒ⵐȶ츼ⵐȶ켂ⵐȶ켬ⵐȶ쿲ⵐȶ퀜ⵐȶ탢ⵐȶ턌ⵐȶ퇒ⵐȶ퇼ⵐȶ틂ⵐȶ틬ⵐȶ펲ⵐȶ폜ⵐȶ풢ⵐȶ퓌ⵐȶ햒ⵐȶ햼ⵐȶ횂ⵐȶ횬ⵐȶ흲ⵐȶ힜ⵐȶⵐȶⵐȶⵐȶⵐȶ窱ⵐȶ𥳐ⵐȶﮞⵐȶ﯈ⵐȶﲆⵐȶﲪⵐȶﴆⵐȶﴰⵐȶ꜐藯뀐⹷ȶ좠몜ȶ楆敬╳䵜捩潲潳瑦传晦捩履潲瑯作晦捩ㅥ尶塅䕃⹌塅E%ProgramFiles%\Microsoft Office\root\Office16\EXCEL.EXE`ꀀX瑩〰〰㈰ㄲ㐵㈲쾞ꤵ뚷䥵뚔＆罇㵕跸ᇮ຃ᔀ䡝․쾞ꤵ뚷䥵뚔＆罇㵕跸ᇮ຃ᔀ䡝․ØÎ ꀀ匱卐藠俹ၨ醫✫mἀ⸀圀椀渀搀 䈀伀倀 䈀漀儀 䘀漀爀洀 漀昀 儀甀漀琀愀琀椀漀渀 吀攀洀瀀氀愀琀攀 爀攀瘀　㔀㤀㄀偓녓洖굄炍Ꝉ䁈ꐮ砽ᶌ栀H風௝鐺䡕䂪좮ᔹꬮ.⸀蒨뭰ȶ쵠⣮ȶ௝鐺䡕䂪좮ᔹꬮ*⨀蒤ᵰ⹊ȶ몜ȶ왼ⵐȶ욐ⵐȶ윈ⵐȶ쟸ⵐȶ절ⵐȶ좘ⵐȶ좬ⵐȶⵐȶⵐȶⵐȶⵐȶⵐȶⵐȶⵐȶⵐȶⵐȶⵐȶⵐȶⵐȶⵐȶⵐȶⵐȶⵐȶⵐȶⵐȶⵐȶⵐȶⵐȶⵐȶⵐȶⵐȶⵐȶⵐȶⵐȶⵐȶⵐȶⵐȶ쭜뮑ȶ찦뮑ȶ철뮑ȶ체뮑ȶ쵄뮑ȶ춼뮑ȶ췐뮑ȶ친뮑ȶ켮뮑ȶ콎뮑ȶ쿜뮑ȶ퀼뮑ȶ큶뮑ȶ턄뮑ȶ텀뮑ȶ퇎뮑ȶ툸뮑ȶ튦뮑ȶ퍄뮑ȶ펞뮑ȶ퐬뮑ȶ푮뮑ȶ퓼뮑ȶ핌뮑ȶ핤뮑ȶ헲뮑ȶ혨뮑ȶ혾뮑ȶ후뮑ȶ휄뮑ȶ힊뮑ȶퟔ뮑ȶ뮑ȶ뮑ȶ뮑ȶ뮑ȶ뮑ȶ뮑ȶ뮑ȶ뮑ȶ뮑ȶ뮑ȶ뮑ȶ뭌뮑ȶ蒚သ쏐봅ȶ셐몚ȶ&#10;타趎᪠翷埐⵨ȶᐧ봈쇯ȶ弐吪退ᒰૐ翾⊐♰ȶ犘숮ȶ碘숮ȶà䵤翽꽠뫫ȶ룠볐ȶ猈숮ȶ礈숮ȶ焛য翾ᕠૐ翾❨쇮ȶ❨쇮ȶ忠吺Ā退ᒰૐ翾⊐♰ȶ귘벶ȶ께벶ȶà䵤翽ꮠ〻ȶ룠볐ȶ깈벶ȶ꽈벶ȶ焛য翾ᕠૐ翾❨쇮ȶ❨쇮ȶ忰吊Ȁ退ᒰૐ翾␐♰ȶ搘⵨ȶ炘숮ȶà䵤翽뇀뫫ȶ덀볐ȶ撈⵨ȶ焈숮ȶ焛য翾ᕠૐ翾➸쇮ȶ➸쇮ȶ忀吚̀耀诰䈗翽翾皜ȶ쉛ȶ곇쒭⛶䊯隟疈⬮ۓŒā뮀슛ȶɢ뫀슛ȶ梐看ȶ皜ȶ 耀ȶĂ忐呪Ѐ耀诰䈗翽f0஠皝ȶ쉛ȶ곇쒭⛶䊯隟疈⬮ۓŒsāes륀슛ȶĆ믠슛ȶer攐看ȶภ皝ȶ 耀edĂ徠呺Ԁ退ᒰૐ翾⊐♰ȶ挈볛ȶ焸⢫ȶà䵤翽拠〻ȶ룠볐ȶ捸볛ȶ熨⢫ȶ焛য翾ᕠૐ翾❨쇮ȶ❨쇮ȶ徰告؀耀诰䈗翽f0Ӏ皝ȶ쉛ȶ孈컚퍡䜾麆嶂ᥚ0āIn돐슛ȶ˴됰슛ȶC-斐看ȶِ皝ȶ 耀ckĂ往呚܀耀诰䈗翽f0皜ȶ쉛ȶ곇쒭⛶䊯隟疈⬮ۓŒāЁ翾뤐슛ȶɡ봀슛ȶ提看ȶ皜ȶ 耀翾Ă徐咪ࠀ耀诰䈗翽f0ˠ皝ȶ쉛ȶ孈컚퍡䜾麆嶂ᥚsāes뇰슛ȶӛ뎠슛ȶer曐看ȶ࣐皝ȶ 耀enĂ屠咺ऀ耀诰䈗翽f0ְ皝ȶ쉛ȶ孈컚퍡䜾麆嶂ᥚPāve뽰슛ȶȞ쉰슛ȶat敐看ȶސ皝ȶ 耀tiĂ屰咊਀退ē翷᭘밸ȶㆀ⹰ȶē翷懰⵨ȶ휅⍵０局咚଀耀诰䈗翽翾ര皝ȶ쉛ȶ孈컚퍡䜾麆嶂ᥚā잀슛ȶȝ쁠슛ȶ楰看ȶ௰皝ȶ 耀ȶĂ屐哪ఀ退ᒰૐ翾␐♰ȶ栘⵨ȶ娘⵨ȶà䵤翽빀뫫ȶ덀볐ȶ梈⵨ȶ媈⵨ȶ焛য翾ᕠૐ翾➸쇮ȶ➸쇮ȶ尠哺ഀ耀诰䈗翽f0΀皝ȶ쉛ȶ곇쒭⛶䊯隟疈⬮ۓŒ‎āGe에슛ȶȞ준슛ȶes挐看ȶ﷠皜ȶ 耀olĂ尰哊฀耀诰䈗翽f0݀皝ȶ쉛ȶ곇쒭⛶䊯隟疈⬮ۓőPāve점슛ȶȤ쎐슛ȶat昐看ȶ॰皝ȶ 耀deĂ尀哚ༀ耀诰䈗翽翾ী皝ȶ쉛ȶ곇쒭⛶䊯隟疈⬮ۓőā샰슛ȶɹ죐슛ȶ晐看ȶਐ皝ȶ 耀ȶĂ尐唪က退ᒰૐ翾␐♰ȶ싐ȶ搘⵨ȶà䵤翽꺠뫫ȶ덀볐ȶ싐ȶ撈⵨ȶ焛য翾ᕠૐ翾➸쇮ȶ➸쇮ȶ峠唺ᄀ退ᒰૐ翾␐♰ȶ琘⵨ȶḘ⚍ȶà䵤翽映〻ȶ덀볐ȶ璈⵨ȶẈ⚍ȶ焛য翾ᕠૐ翾➸쇮ȶ➸쇮ȶ峰唊ሀ耀诰䈗翽f0皜ȶ쉛ȶ곇쒭⛶䊯隟疈⬮ۓŒGā -먀슛ȶɣ데슛ȶen槰看ȶ皜ȶ 耀rdĂ峀唚ጀ耀诰䈗翽翷̰皝ȶ쉛ȶ孈컚퍡䜾麆嶂ᥚā뱀슛ȶǰ뇀슛ȶ械看ȶڠ皝ȶ 耀Ă峐啪᐀退ē翷໘묆ȶ痰⵨ȶ늠〵ȶē翷毰⵨ȶ훍⍵０岠啺ᔀ耀诰䈗翽翷ࢀ皝ȶ쉛ȶ孈컚퍡䜾麆嶂ᥚā쀀슛ȶȟ숐슛ȶ柰看ȶठ皝ȶ 耀Ă岰啊ᘀ耀诰䈗翽翾؀皝ȶ쉛ȶ곇쒭⛶䊯隟疈⬮ۓŒā샀슛ȶ͍뾠슛ȶ樰看ȶϐ皝ȶ 耀ȶĂ岀啚ᜀ耀诰䈗翽f0੠皝ȶ쉛ȶ곇쒭⛶䊯隟疈⬮ۓŒaāum쇠슛ȶ̯쉀슛ȶAP曰看ȶჰ皝ȶ 耀s-Ă岐喪᠀耀诰䈗翽f0ર皝ȶ쉛ȶ곇쒭⛶䊯隟疈⬮ۓœAā ‎삐슛ȶឮ선슛ȶzz棐看ȶ଀皝ȶ 耀tTĂ嵠喺ᤀ退遠䯄翽ꖰ⡹ȶ烰⵨ȶ䆐볟ȶЁ♙ȶǴ&quot;䶀뫟ȶ㊠⡹ȶ&#10; 㿿㿿&#10; &#10; 㾀㾀⣿ᘃƓ׀茄,p嵰喊ᨀ耀枰䈕翽廀䈕翽ȶ웛∍ⴐ䈖翽ダȶⴐ䈖翽蓠皝ȶz䑛⏺䜕ᦝ鲺픣䷍믫髋꺙䄢➰漯⋲퀸ⶽȶ盠ȶ嵀喚ᬀ退ē翷᷸밸ȶㆀ⹰ȶē翷狰⵨ȶ휅⍵０嵐嗪ᰀ退ᒰૐ翾␐♰ȶ㐈볛ȶ椘⵨ȶà䵤翽斀〻ȶ덀볐ȶ㑸볛ȶ榈⵨ȶ焛য翾ᕠૐ翾➸쇮ȶ➸쇮ȶ崠嗺ᴀ耀枰䈕翽廀䈕翽ó웛∍缁ⴐ䈖翽殺ダȶⴐ䈖翽翠皝ȶ脒䮒雙䴁䇶깪홹|yᩤ﵍؄䥄쎓E㗱鮍ā盠ȶ崰嗊Ḁ退ē翷薨♺ȶ痘⿸ȶ薨♺ȶ痰⵨ȶē翷痰⵨ȶ훔⍵０pᬑ蛯သ1옘⻍ȶ懠ƍ翷 䀀䀀ᄰ볓ȶ㨏瓱汽䝬뮪㖊ᐋ攸1븸⻍ȶ懠ƍ翷础⵨ȶ㨏瓱汽䝬뮪㖊ᐋ攸1컘⻍ȶ懠ƍ翷 䀀䀀ቐ볓ȶ㨏瓱汽䝬뮪㖊ᐋ攸⻍ȶ懠ƍ翷礐⵨ȶ㨏瓱汽䝬뮪㖊ᐋ攸함⻍ȶ懠ƍ翷 䀀䀀ኰ볓ȶ㨏瓱汽䝬뮪㖊ᐋ攸욈⻍ȶ懠ƍ翷 䀀䀀缐볓ȶ㨏瓱汽䝬뮪㖊ᐋ攸1품⻍ȶ懠ƍ翷穈⵨ȶ㨏瓱汽䝬뮪㖊ᐋ攸1솸⻍ȶ懠ƍ翷窰⵨ȶ㨏瓱汽䝬뮪㖊ᐋ攸참⻍ȶ懠ƍ翷笘⵨ȶ㨏瓱汽䝬뮪㖊ᐋ攸콈⻍ȶ懠ƍ翷简⵨ȶ㨏瓱汽䝬뮪㖊ᐋ攸쌈⻍ȶ懠ƍ翷篨⵨ȶ㨏瓱汽䝬뮪㖊ᐋ攸퉘⻍ȶ懠ƍ翷籐⵨ȶ㨏瓱汽䝬뮪㖊ᐋ攸1퀨⻍ȶ懠ƍ翷粸⵨ȶ㨏瓱汽䝬뮪㖊ᐋ攸1킘⻍ȶ懠ƍ翷素⵨ȶ㨏瓱汽䝬뮪㖊ᐋ攸횸⻍ȶ懠ƍ翷綈⵨ȶ㨏瓱汽䝬뮪㖊ᐋ攸쭘⻍ȶ懠ƍ翷緰⵨ȶ踏滩濙䌠ᖽ挳틈⻍ȶ懠ƍ翷繘⵨ȶ踏滩濙䌠ᖽ挳첨⻍ȶ懠ƍ翷 䀀䀀耰볓ȶ됑鼃岍七䓥楔꟦슘⻍ȶ懠ƍ翷 䀀䀀灰볓ȶ됑鼃岍七䓥楔꟦1⻍ȶ懠ƍ翷羐⵨ȶ됑鼃岍七䓥楔꟦1⻍ȶ懠ƍ翷䀀䀀パȶ됑鼃岍七䓥楔꟦1⻍ȶ懠ƍ翷䀀䀀薀⸭ȶ됑鼃岍七䓥楔꟦1⻍ȶ懠ƍ翷䀀䀀蘐⸭ȶ됑鼃岍七䓥楔꟦⻍ȶ懠ƍ翷䀀䀀癐⸭ȶ됑鼃岍七䓥楔꟦" userName="" userProvider="ttps://enelcom.sharepoint.com/sites/EngKnowledgePartnerships-EKP/Shared%20Documents/EMP/Master%20Capex/A"/>
        <Anchor>
          <Comment id="{0919CC70-914C-4FDA-8716-9631E22B151F}"/>
        </Anchor>
        <Create/>
      </Event>
      <Event time="2024-11-18T17:06:21.37" id="{C9847B23-8A91-47C4-B8A3-CE700EDCF46B}">
        <Attribution userId="뫔ȶ㡺뫔ȶ㢂뫔ȶ㤐뫔ȶ㤚뫔ȶ㦘뫔ȶ㦤뫔ȶ㨨뫔ȶ㨶뫔ȶ㪼뫔ȶ㫈뫔ȶ㭐뫔ȶ㭞뫔ȶ㯨뫔ȶ㯸뫔ȶ㲀뫔ȶ㲨뫔ȶ㹢뫔ȶ㻢뫔ȶ䆄뫔ȶ䈒뫔ȶ틨䯨翽썐䯵翽诰ⵝȶ쏠䯵翽瘸䯆翽쐨䯵翽Ꞁ䯅翽쐨䯵翽Ꞁ䯅翽瘿ᚔᇁ뒹y\2孆唋ᄶ耀https://enelcom.sharepoint.com/sites/EngKnowledgePartnerships-EKP/Shared%20Documents/EMP/Master%20Capex/AB%20to%20MC/AB2MC.xlsx字唘ሂ耀https://enelcom.sharepoint.com/sites/engknowledgepartnerships-ekp/shared%20documents/emp/master%20capex/ab%20to%20mc/ab2mc.xlsx32嬤啩ጃ耀https://enelcom.sharepoint.com/sites/EngKnowledgePartnerships-EKP/Shared%20Documents/EMP/Master%20Capex/AB%20to%20MC/AB2MC.xlsx嬵啶ᑠ耀https://enelcom.sharepoint.com/sites/engknowledgepartnerships-ekp/shared%20documents/ekp/master%20capex/ab%20to%20mc/ab2mc.xlsx嬂啇ᔦ退粀ⶽȶ肀⢠〙ȶ脀긠⡹ȶ脀議⡹ȶ脀ꪀ뮀ȶ腀鋰⡹ȶ脀赐⡹ȶ脀嬓啔ᘁ耀㲎뫔ȶ㳪뫔ȶ㴆뫔ȶ㴠뫔ȶ㴸뫔ȶ㵒뫔ȶ㵪뫔ȶ㶀뫔ȶ㶒뫔ȶ㶲뫔ȶ㷊뫔ȶ㷪뫔ȶ㸆뫔ȶ㸜뫔ȶ㹊뫔ȶ㻴뫔ȶ㼒뫔ȶ㼠뫔ȶ㽈뫔ȶ㽸뫔ȶ㾪뫔ȶ㿆뫔ȶ㿨뫔ȶ㿾뫔ȶ䀘뫔ȶ䀴뫔ȶ䁌뫔ȶ䁬뫔ȶ䂊뫔ȶ䂠뫔ȶ䂶뫔ȶ䃆뫔ȶ寠喥ᜀ耀https://enelcom.sharepoint.com/sites/EngKnowledgePartnerships-EKP/Shared%20Documents/EMP/Master%20Capex/AB%20to%20MC/AB2MC.xlsx寱喲᠀耀https://enelcom.sharepoint.com/sites/EngKnowledgePartnerships-EKP/Shared%20Documents/EMP/Master%20Capex/AB%20to%20MC/AB2MC.xlsx寞喃ᥠ退ﵐ⢁ȶ䄂ó뤀⻈ȶĀꐠ⻈ȶĀ႐뱁ȶĀऐ뱁ȶĀ炀疻ȶĀ甀疻ȶĀ甀疻ȶĀ炀疻ȶĀ䭀⿚ȶĀ慠⿚ȶĀ扠⿚ȶĀ자ベȶĀᝰ벊ȶĀፐ벊ȶĀ旘䯴翽鎸䯄翽宯喐ᨀ耀https://enelcom.sharepoint.com/sites/EngKnowledgePartnerships-EKP/Shared%20Documents/EMP/Master%20Capex/AB%20to%20MC/AB2MC.xlsx32宼嗡ᬑ退꼐〗ȶY\USER\S-1-5-21-209216993-2763362892-3104057069-389913\Software\Policies\Microsoft\Cloud\Office\16.0\Common\InternetTm宍嗎ᰏ耀https://enelcom.sharepoint.com/sites/EngKnowledgePartnerships-EKP/Shared%20Documents/EMP/Master%20Capex/AB%20to%20MC/AB2MC.xlsx2È䂠䂠䋰뭑ȶ̇呄ｪ5#``⬀뭪ȶÈ䃠&#10;&#10;䃠&#10;&#10;㤰뭑ȶ蛯သ㷠⡻ȶꕀ⢿ȶ&#10;타﩮ᭀ耀$⁰⵨ȶ耆⠪￴⢚⢚囀⵱ȶ塦吪耀䦈䈙翽㠠䈗翽㟸䈗翽㟘䈗翽ᤀ쇱ȶᤀ쇱ȶᤐ쇱ȶ؀ĆĆĆ윰묵ȶ坐슘ȶ址슘ȶ씀﵋ĀĂ塸吼ĉ蠀阸䯨翽⻞ȶﻐ⻂ȶ⻂ȶ솰슍ȶЀෘ♚ȶ&quot;吐うȶ㾀㾀᧿Ѐলǁ茌塊后Ȁ退⪠⠺ȶ틨䯨翽൘䯄翽峀ᦽȶ่䯄翽䯅翽၀䯄翽섀䯫翽ሰ䯄翽䯅翽ቸ䯄翽嶀ᦽȶ莸䯄翽섀䯫翽蒸䯄翽䯅翽蚸䯄翽䯅翽⾈䯅翽䯅翽땘䯅翽䈰⡈ȶ튈䯪翽鎸䯄翽ᇠ䯵翽ꢀ⠻ȶ塜吀̄耀䦈䈙翽㠠䈗翽㟸䈗翽㟘䈗翽᐀쇱ȶ᐀쇱ȶᐐ쇱ȶÐ탤탤탤꽠싍ȶ凐슘ȶ净슘ȶĂ堮吒Ѐ耀䦈䈙翽㠠䈗翽㟸䈗翽㟘䈗翽렠쇰ȶ렠쇰ȶ렰쇰ȶ吀͔͔͔褰⻸ȶ媰슘ȶ媠슘ȶĂ堠呤Ԁ耀䦈䈙翽㠠䈗翽㟸䈗翽㟘䈗翽鷠쇰ȶ鷠쇰ȶ鷰쇰ȶ଀̋̋̋떐〺ȶ嶰슘ȶ嶠슘ȶĂ堲呶؀耀䦈䈙翽㠠䈗翽㟸䈗翽㟘䈗翽뙀쇰ȶ뙀쇰ȶ뙐쇰ȶ؀ĆĆĆ벐묵ȶᇰ슘ȶᇠ슘ȶĂ堄呈܀耀䦈䈙翽㠠䈗翽㟸䈗翽㟘䈗翽껀쇰ȶ껀쇰ȶ껐쇰ȶ䨀͊͊͊ꦰ⿡ȶᲰ슘ȶᲠ슘ȶĂ堖呚ࠀ耀䦈䈙翽㠠䈗翽㟸䈗翽㟘䈗翽5魠쇰ȶ魠쇰ȶ魰쇰ȶ˦˦˦⢾ȶṐ슘ȶṀ슘ȶ씀﵋ĀĂ壨咬ऀ耀䦈䈙翽㠠䈗翽㟸䈗翽㟘䈗翽֠쇱ȶ֠쇱ȶְ쇱ȶåᗐ슠ȶ鲀뱫ȶ鱰뱫ȶĂ壺咾਀耀䦈䈙翽㠠䈗翽㟸䈗翽㟘䈗翽딀쇰ȶ딀쇰ȶ딐쇰ȶǴǴǴࢰ⽃ȶ忐슘ȶ忀슘ȶĂ壌咰଀耀䦈䈙翽㠠䈗翽㟸䈗翽㟘䈗翽쇰ȶ쇰ȶ쇰ȶǱǱǱڰ⽃ȶ㺐슘ȶ㺀슘ȶĂ壞咂ఀ耀䦈䈙翽㠠䈗翽㟸䈗翽㟘䈗翽缀鼠쇰ȶ鼠쇰ȶ鼰쇰ȶ缀ǰǰǰ⽂ȶཐ슘ȶཀ슘ȶĂ壐咔ഀ耀䦈䈙翽㠠䈗翽㟸䈗翽㟘䈗翽ꁠ쇰ȶꁠ쇰ȶꁰ쇰ȶ怀·띠띠띠р숚ȶᚰ슘ȶᚠ슘ȶĂ墢哦฀耀䦈䈙翽㠠䈗翽㟸䈗翽㟘䈗翽 쇱ȶ 쇱ȶ°쇱ȶ뼀ʿʿʿꪠ盕ȶ鶀뱫ȶ鵰뱫ȶĂ墴哸ༀ蠀䯨翽謐묮ȶ㠰⵨ȶ㄰⵨ȶ흰♿ȶЁߐⶺȶ෸♚ȶȹ&quot;ႀぇȶ⻀ȶ{￹翿{㾀㾀᣿؃Ƴ⇀茄,墆哊က耀䦈䈙翽㠠䈗翽㟸䈗翽㟘䈗翽ـ쇱ȶـ쇱ȶِ쇱ȶ봀ʽʽʽ군盕ȶꅠ뱫ȶꅐ뱫ȶĂ墘哜ᄀ退暰䯨翽謐묮ȶ㧰⵨ȶ㠰⵨ȶ⺘ȶЀ๸♚ȶȱ&quot;ఀぇȶ먀⻀ȶ￹翿㾀㾀ჿ؃Ʊ⇀茄,奪售ሓ耀䦈䈙翽㠠䈗翽㟸䈗翽㟘䈗翽๠쇱ȶ๠쇱ȶ๰쇱ȶ㘀ȶȶȶ⵰ȶ䝐슘ȶ䝀슘ȶĂ奼唠ጒ退暰䯨翽謐묮ȶ㧰⵨ȶ༠뮓ȶ Ё๸♚ȶȲ&quot;춐うȶ유⻀ȶ­￹翿㾀㾀᠀؃Ʊǀ茄奎唲᐀耀䦈䈙翽㠠䈗翽㟸䈗翽㟘䈗翽燎쇰ȶ燎쇰ȶ類쇰ȶ섀ˁˁˁ댐盕ȶꕀ뱫ȶꔰ뱫ȶĂ奀唄ᔀ蠀阸䯨翽⻞ȶ⻂ȶѰ⻃ȶ쒰슍ȶЀෘ♚ȶ&quot;苀うȶ㾀㾀᧿Ѐলǁ茌奒唖ᘀ耀䦈䈙翽㠠䈗翽㟸䈗翽㟘䈗翽ઠ쇱ȶઠ쇱ȶર쇱ȶ대ʳʳʳ骐뮋ȶ㧐슘ȶ㧀슘ȶĂ夤啨ᜀ耀䦈䈙翽㠠䈗翽㟸䈗翽㟘䈗翽Ȁ쇰ȶ쇰ȶ쇰ȶ؀ĆĆĆ띀묵ȶ鳠뱫ȶ鳐뱫ȶꔀ䳜翽Ă夶啺᠐耀䦈䈙翽㠠䈗翽㟸䈗翽㟘䈗翽Ȁ쇱ȶ쇱ȶ쇱ȶ븀ʾʾʾ荀盕ȶ㭐슘ȶ㭀슘ȶĂ夈啌ᤛ耀䦈䈙翽㠠䈗翽㟸䈗翽㟘䈗翽쇰ȶ쇰ȶ쇰ȶ㸀ȾȾȾ絠쇩ȶ䒐슘ȶ䒀슘ȶĂ多啞ᨔ耀䦈䈙翽㠠䈗翽㟸䈗翽㟘䈗翽o쇰ȶ쇰ȶ쇰ȶrǱǱǱice⽂ȶ倰슘ȶ倠슘ȶOpeĂ姬啐ᬗ退ঈ䯱翽謐묮ȶ⽰⵨ȶⶰ⵨ȶа슍ȶЁ在䰳翽ȴ&quot;7ﺀうȶ⻀ȶ*￹翿㾀㾀᣿؃Ʋǀ茄,e姾喢ᰓ耀䦈䈙翽㠠䈗翽㟸䈗翽㟘䈗翽ༀ쇱ȶༀ쇱ȶ༐쇱ȶ쀀ˀˀˀ酐盕ȶ㿐슘ȶ㿀슘ȶĂ姰喴ᴛ退ঈ䯱翽謐묮ȶ㄰⵨ȶ⽰⵨ȶ슍ȶЀ在䰳翽ȳ&quot;콀うȶ⻀ȶ￹翿㾀㾀᣿؃Ʋǀ茄,姂喆ḓ耀䦈䈙翽㠠䈗翽㟸䈗翽㟘䈗翽ව쇱ȶව쇱ȶැ쇱ȶ茀ʃʃʃ錐⺄ȶ䖰슘ȶ䖠슘ȶĂ委喘἗耀䦈䈙翽㠠䈗翽㟸䈗翽㟘䈗翽쇰ȶ쇰ȶ쇰ȶ쀀ˀˀˀ盕ȶ颀뱫ȶ顰뱫ȶĂ妦嗪‒耀䦈䈙翽㠠䈗翽㟸䈗翽㟘䈗翽ᗠ쇱ȶᗠ쇱ȶᗰ쇱ȶﬀǻǻǻ䶠⻘ȶ䵐슘ȶ䵀슘ȶ씀﵋ĀĂ妸嗼ℛ耀䦈䈙翽㠠䈗翽㟸䈗翽㟘䈗翽5｠쇰ȶ｠쇰ȶｰ쇰ȶ뼀ʿʿʿ躀盕ȶꌠ뱫ȶꌐ뱫ȶ씀﵋ĀĂ妊嗎∖退⪠⠺ȶ틨䯨翽൘䯄翽嚐ᦽȶ၀䯄翽倨䯄翽ሰ䯄翽䯅翽ቸ䯄翽侠ᦽȶ莸䯄翽섀䯫翽蒸䯄翽䯅翽蚸䯄翽䯅翽⾈䯅翽䯅翽땘䯅翽䈰⡈ȶ瑘䯨翽成っȶ튈䯪翽鎸䯄翽튈䯪翽鎸䯄翽妜嗀⍪耀䦈䈙翽㠠䈗翽㟸䈗翽㟘䈗翽쇰ȶ쇰ȶ쇰ȶ뼀ʿʿʿꔀ盕ȶ驠뱫ȶ驐뱫ȶ씀﵋ĀĂ䃀䕀슻ȶ蛯သ糀박ȶ셐몚ȶ타驾᧰ȶ䂀⵨ȶ￹∽㐶⼢㰾杢潃潬⁲幧吪e鐀ȴĀ䰱翽䀍쐗﵋ꀀ跍㘨䠀쑓﵋﵋﵋﵋䠀쐎﵋℀赬㘨退쐎﵋Ā赢㘨쏟﵋ᄀ赪㘨퀀얜﵋倀예﵋᠀얞﵋倀예﵋렀쑾﵋䀀㘭쒅﵋섀㘭액﵋﵋怀액﵋﵋ꠀ﵋㘭Ȁ䀁め﵌Ԁ午䯄翽櫰䯴翽鯸䯜翽틨䯨翽䰸䯄翽Ṁ슫ȶ鳐䯅翽ࡐ䯆翽鸘䯅翽ࡐ䯆翽Ă腀䰰翽䀂쐗﵋ 跕㘨뀀쏠﵋怀㘭̀䀁め﵌ࠀᝀ䯄翽⢍ȶ午䯄翽섀䯫翽葰䯄翽촁ⷤȶ䰸䯄翽㷰슫ȶ鯸䯜翽틨䯨翽鳐䯅翽ࡐ䯆翽ꆘ䯅翽ࡐ䯆翽鸘䯅翽ࡐ䯆翽ă腀䰰翽뀁쏠﵋怀㘭̀ă腀䰰翽렂씆﵋က跖㘨얝﵋﵋̀ 幀吇ź耀ヽȶ釠ⷊȶી쉴ȶālagsāād㟫߹翾갰䵕翽&#10;ⷊȶ冈&#10;ime連୲㩥Ǜ㟫߹翾ꬰ窏óヽȶ棰⻶ȶက쉴ȶāⷊȶ翿 ⷊȶ&#10;翿 ⻶ȶ翿 ヽȶ墀뮌ȶీ쉴ȶĂ帽呠ȶ耀ヽȶ飠ⷊȶཀ쉴ȶ鈀罿㖍ǜĂヽȶ連୲㩥Ǜ戴㴌Ǜ⻶ȶ무䵌翽謀窏ó⹍ȶᬉ庞쬩㾀⻶ȶ귐⎪둅ヽȶ؟쭒䵁翽謀窏ó玀۾쳑ⷊȶ쭒䵁翽謀窏ó㌲ㄮ〴ⷊȶ؟쭒䵁翽謀窏ó⸲㌲ㄮuccess؁쭒䵁翽謀窏ó&#10;㌮㈮㄀ヽȶ섰ⷎȶᆠ쉴ȶ㌮ㄮ㄀㌮Ăㄮ㔮㔮㜮㌮㠮帖呝̶退①⸐ȶⷤȶⷤȶⷤȶ骀⸗ȶⷤȶ⒰⸐ȶⷤȶⷤȶⷤȶⷤȶⷤȶ鵀⸗ȶⷤȶⷤȶ醀⸗ȶ⣀⸐ȶἐ⸐ȶⷤȶⷤȶ■⸐ȶ㱰ⷯȶᥰ⸐ȶ─⸐ȶⷤȶⷤȶ⟐⸐ȶ駠ゔȶ釀⸗ȶⷤȶⷤȶⷤȶⷤȶⷤȶⷤȶB廳咶ж退䯃翽⸭ȶ䯃翽鸞⸭ȶ䯃翽⸭ȶ䯃翽⸭ȶ䯃翽⸭ȶຐ䯄翽⸭ȶᣘ䯄翽⸭ȶ 䰸䯄翽⸭ȶ嚀䯄翽⸭ȶ苠䯄翽⸭ȶ蔀䯄翽⸭ȶ懰䯅翽⸭ȶag鶘䯅翽⸭ȶag鷘䯅翽⸭ȶag鸘䯅翽龜⸭ȶagࣈ䯆翽⸭ȶagस䯆翽⸭ȶag랠䯜翽⸭ȶag뱈䯜翽⸭ȶag䯞翽⸭ȶag䈀䯟翽⸭ȶ&#10;ag䛈䯟翽⸭ȶ⛰䯨翽⸭ȶ翰䯨翽⸭ȶ㜮㌮㠮庬咓Զ退ȸĀ䰱翽렇씆﵋꬚㛂䀀쐗﵋跩㘨耀﵋﵋䠀쑓﵋﵋耀옏﵋℀趍㘨頀얝﵋ꀀꭗ㛂얝﵋ꀀꭗ㛂Ȁ送㇩﵌Ā午䯄翽璈䯫翽Ă٠䰲翽耆﵋연﵋怀﵋က跇㘨怀﵋ 跌㘨뀀﵋연﵋怀쏠﵋﵋﵋﵋Ȁ뀁ㇱ﵌Ȁᝀ䯄翽욀⢍ȶ午䯄翽ڸ䯶翽Ă腀䰰翽렂씆﵋ꀀꬿ㛂䠀쑓﵋蠀﵋Ȁ䀁め﵌̀ᝀ䯄翽擰슫ȶڸ䯅翽擰슫ȶ䯃翽틨䯨翽ă腀䰰翽䀃쐗﵋䀀ꭲ㛂렀씆﵋䀀ꭲ㛂怀쏠﵋﵋̀ă︈䰱翽렁씆﵋跉㘨̀䀁め﵌Ѐڸ䯅翽㸠슫ȶ午䯄翽櫰䯴翽鸘䯅翽ࡐ䯆翽葰䯄翽詑⢍ȶ̃̃ ⵐȶⵐȶⵐȶⵐȶⵐȶⵐȶⵐȶⵐȶⵐȶⵐȶⵐȶⵐȶⵐȶⵐȶⵐȶⵐȶ泌ⵐȶ漣ⵐȶ節ⵐȶ쩼ⵐȶ쭂ⵐȶ쭬ⵐȶ찲ⵐȶ챜ⵐȶ촢ⵐȶ쵌ⵐȶ츒ⵐȶ츼ⵐȶ켂ⵐȶ켬ⵐȶ쿲ⵐȶ퀜ⵐȶ탢ⵐȶ턌ⵐȶ퇒ⵐȶ퇼ⵐȶ틂ⵐȶ틬ⵐȶ펲ⵐȶ폜ⵐȶ풢ⵐȶ퓌ⵐȶ햒ⵐȶ햼ⵐȶ횂ⵐȶ횬ⵐȶ흲ⵐȶ힜ⵐȶⵐȶⵐȶⵐȶⵐȶ窱ⵐȶ𥳐ⵐȶﮞⵐȶ﯈ⵐȶﲆⵐȶﲪⵐȶﴆⵐȶﴰⵐȶ꜐藯뀐⹷ȶ좠몜ȶ楆敬╳䵜捩潲潳瑦传晦捩履潲瑯作晦捩ㅥ尶塅䕃⹌塅E%ProgramFiles%\Microsoft Office\root\Office16\EXCEL.EXE`ꀀX瑩〰〰㈰ㄲ㐵㈲쾞ꤵ뚷䥵뚔＆罇㵕跸ᇮ຃ᔀ䡝․쾞ꤵ뚷䥵뚔＆罇㵕跸ᇮ຃ᔀ䡝․ØÎ ꀀ匱卐藠俹ၨ醫✫mἀ⸀圀椀渀搀 䈀伀倀 䈀漀儀 䘀漀爀洀 漀昀 儀甀漀琀愀琀椀漀渀 吀攀洀瀀氀愀琀攀 爀攀瘀　㔀㤀㄀偓녓洖굄炍Ꝉ䁈ꐮ砽ᶌ栀H風௝鐺䡕䂪좮ᔹꬮ.⸀蒨뭰ȶ쵠⣮ȶ௝鐺䡕䂪좮ᔹꬮ*⨀蒤ᵰ⹊ȶ몜ȶ왼ⵐȶ욐ⵐȶ윈ⵐȶ쟸ⵐȶ절ⵐȶ좘ⵐȶ좬ⵐȶⵐȶⵐȶⵐȶⵐȶⵐȶⵐȶⵐȶⵐȶⵐȶⵐȶⵐȶⵐȶⵐȶⵐȶⵐȶⵐȶⵐȶⵐȶⵐȶⵐȶⵐȶⵐȶⵐȶⵐȶⵐȶⵐȶⵐȶⵐȶⵐȶⵐȶ쭜뮑ȶ찦뮑ȶ철뮑ȶ체뮑ȶ쵄뮑ȶ춼뮑ȶ췐뮑ȶ친뮑ȶ켮뮑ȶ콎뮑ȶ쿜뮑ȶ퀼뮑ȶ큶뮑ȶ턄뮑ȶ텀뮑ȶ퇎뮑ȶ툸뮑ȶ튦뮑ȶ퍄뮑ȶ펞뮑ȶ퐬뮑ȶ푮뮑ȶ퓼뮑ȶ핌뮑ȶ핤뮑ȶ헲뮑ȶ혨뮑ȶ혾뮑ȶ후뮑ȶ휄뮑ȶ힊뮑ȶퟔ뮑ȶ뮑ȶ뮑ȶ뮑ȶ뮑ȶ뮑ȶ뮑ȶ뮑ȶ뮑ȶ뮑ȶ뮑ȶ뮑ȶ뭌뮑ȶ蒚သ쏐봅ȶ셐몚ȶ&#10;타趎᪠翷埐⵨ȶᐧ봈쇯ȶ弐吪退ᒰૐ翾⊐♰ȶ犘숮ȶ碘숮ȶà䵤翽꽠뫫ȶ룠볐ȶ猈숮ȶ礈숮ȶ焛য翾ᕠૐ翾❨쇮ȶ❨쇮ȶ忠吺Ā退ᒰૐ翾⊐♰ȶ귘벶ȶ께벶ȶà䵤翽ꮠ〻ȶ룠볐ȶ깈벶ȶ꽈벶ȶ焛য翾ᕠૐ翾❨쇮ȶ❨쇮ȶ忰吊Ȁ退ᒰૐ翾␐♰ȶ搘⵨ȶ炘숮ȶà䵤翽뇀뫫ȶ덀볐ȶ撈⵨ȶ焈숮ȶ焛য翾ᕠૐ翾➸쇮ȶ➸쇮ȶ忀吚̀耀诰䈗翽翾皜ȶ쉛ȶ곇쒭⛶䊯隟疈⬮ۓŒā뮀슛ȶɢ뫀슛ȶ梐看ȶ皜ȶ 耀ȶĂ忐呪Ѐ耀诰䈗翽f0஠皝ȶ쉛ȶ곇쒭⛶䊯隟疈⬮ۓŒsāes륀슛ȶĆ믠슛ȶer攐看ȶภ皝ȶ 耀edĂ徠呺Ԁ退ᒰૐ翾⊐♰ȶ挈볛ȶ焸⢫ȶà䵤翽拠〻ȶ룠볐ȶ捸볛ȶ熨⢫ȶ焛য翾ᕠૐ翾❨쇮ȶ❨쇮ȶ徰告؀耀诰䈗翽f0Ӏ皝ȶ쉛ȶ孈컚퍡䜾麆嶂ᥚ0āIn돐슛ȶ˴됰슛ȶC-斐看ȶِ皝ȶ 耀ckĂ往呚܀耀诰䈗翽f0皜ȶ쉛ȶ곇쒭⛶䊯隟疈⬮ۓŒāЁ翾뤐슛ȶɡ봀슛ȶ提看ȶ皜ȶ 耀翾Ă徐咪ࠀ耀诰䈗翽f0ˠ皝ȶ쉛ȶ孈컚퍡䜾麆嶂ᥚsāes뇰슛ȶӛ뎠슛ȶer曐看ȶ࣐皝ȶ 耀enĂ屠咺ऀ耀诰䈗翽f0ְ皝ȶ쉛ȶ孈컚퍡䜾麆嶂ᥚPāve뽰슛ȶȞ쉰슛ȶat敐看ȶސ皝ȶ 耀tiĂ屰咊਀退ē翷᭘밸ȶㆀ⹰ȶē翷懰⵨ȶ휅⍵０局咚଀耀诰䈗翽翾ര皝ȶ쉛ȶ孈컚퍡䜾麆嶂ᥚā잀슛ȶȝ쁠슛ȶ楰看ȶ௰皝ȶ 耀ȶĂ屐哪ఀ退ᒰૐ翾␐♰ȶ栘⵨ȶ娘⵨ȶà䵤翽빀뫫ȶ덀볐ȶ梈⵨ȶ媈⵨ȶ焛য翾ᕠૐ翾➸쇮ȶ➸쇮ȶ尠哺ഀ耀诰䈗翽f0΀皝ȶ쉛ȶ곇쒭⛶䊯隟疈⬮ۓŒ‎āGe에슛ȶȞ준슛ȶes挐看ȶ﷠皜ȶ 耀olĂ尰哊฀耀诰䈗翽f0݀皝ȶ쉛ȶ곇쒭⛶䊯隟疈⬮ۓőPāve점슛ȶȤ쎐슛ȶat昐看ȶ॰皝ȶ 耀deĂ尀哚ༀ耀诰䈗翽翾ী皝ȶ쉛ȶ곇쒭⛶䊯隟疈⬮ۓőā샰슛ȶɹ죐슛ȶ晐看ȶਐ皝ȶ 耀ȶĂ尐唪က退ᒰૐ翾␐♰ȶ싐ȶ搘⵨ȶà䵤翽꺠뫫ȶ덀볐ȶ싐ȶ撈⵨ȶ焛য翾ᕠૐ翾➸쇮ȶ➸쇮ȶ峠唺ᄀ退ᒰૐ翾␐♰ȶ琘⵨ȶḘ⚍ȶà䵤翽映〻ȶ덀볐ȶ璈⵨ȶẈ⚍ȶ焛য翾ᕠૐ翾➸쇮ȶ➸쇮ȶ峰唊ሀ耀诰䈗翽f0皜ȶ쉛ȶ곇쒭⛶䊯隟疈⬮ۓŒGā -먀슛ȶɣ데슛ȶen槰看ȶ皜ȶ 耀rdĂ峀唚ጀ耀诰䈗翽翷̰皝ȶ쉛ȶ孈컚퍡䜾麆嶂ᥚā뱀슛ȶǰ뇀슛ȶ械看ȶڠ皝ȶ 耀Ă峐啪᐀退ē翷໘묆ȶ痰⵨ȶ늠〵ȶē翷毰⵨ȶ훍⍵０岠啺ᔀ耀诰䈗翽翷ࢀ皝ȶ쉛ȶ孈컚퍡䜾麆嶂ᥚā쀀슛ȶȟ숐슛ȶ柰看ȶठ皝ȶ 耀Ă岰啊ᘀ耀诰䈗翽翾؀皝ȶ쉛ȶ곇쒭⛶䊯隟疈⬮ۓŒā샀슛ȶ͍뾠슛ȶ樰看ȶϐ皝ȶ 耀ȶĂ岀啚ᜀ耀诰䈗翽f0੠皝ȶ쉛ȶ곇쒭⛶䊯隟疈⬮ۓŒaāum쇠슛ȶ̯쉀슛ȶAP曰看ȶჰ皝ȶ 耀s-Ă岐喪᠀耀诰䈗翽f0ર皝ȶ쉛ȶ곇쒭⛶䊯隟疈⬮ۓœAā ‎삐슛ȶឮ선슛ȶzz棐看ȶ଀皝ȶ 耀tTĂ嵠喺ᤀ退遠䯄翽ꖰ⡹ȶ烰⵨ȶ䆐볟ȶЁ♙ȶǴ&quot;䶀뫟ȶ㊠⡹ȶ&#10; 㿿㿿&#10; &#10; 㾀㾀⣿ᘃƓ׀茄,p嵰喊ᨀ耀枰䈕翽廀䈕翽ȶ웛∍ⴐ䈖翽ダȶⴐ䈖翽蓠皝ȶz䑛⏺䜕ᦝ鲺픣䷍믫髋꺙䄢➰漯⋲퀸ⶽȶ盠ȶ嵀喚ᬀ退ē翷᷸밸ȶㆀ⹰ȶē翷狰⵨ȶ휅⍵０嵐嗪ᰀ退ᒰૐ翾␐♰ȶ㐈볛ȶ椘⵨ȶà䵤翽斀〻ȶ덀볐ȶ㑸볛ȶ榈⵨ȶ焛য翾ᕠૐ翾➸쇮ȶ➸쇮ȶ崠嗺ᴀ耀枰䈕翽廀䈕翽ó웛∍缁ⴐ䈖翽殺ダȶⴐ䈖翽翠皝ȶ脒䮒雙䴁䇶깪홹|yᩤ﵍؄䥄쎓E㗱鮍ā盠ȶ崰嗊Ḁ退ē翷薨♺ȶ痘⿸ȶ薨♺ȶ痰⵨ȶē翷痰⵨ȶ훔⍵０pᬑ蛯သ1옘⻍ȶ懠ƍ翷 䀀䀀ᄰ볓ȶ㨏瓱汽䝬뮪㖊ᐋ攸1븸⻍ȶ懠ƍ翷础⵨ȶ㨏瓱汽䝬뮪㖊ᐋ攸1컘⻍ȶ懠ƍ翷 䀀䀀ቐ볓ȶ㨏瓱汽䝬뮪㖊ᐋ攸⻍ȶ懠ƍ翷礐⵨ȶ㨏瓱汽䝬뮪㖊ᐋ攸함⻍ȶ懠ƍ翷 䀀䀀ኰ볓ȶ㨏瓱汽䝬뮪㖊ᐋ攸욈⻍ȶ懠ƍ翷 䀀䀀缐볓ȶ㨏瓱汽䝬뮪㖊ᐋ攸1품⻍ȶ懠ƍ翷穈⵨ȶ㨏瓱汽䝬뮪㖊ᐋ攸1솸⻍ȶ懠ƍ翷窰⵨ȶ㨏瓱汽䝬뮪㖊ᐋ攸참⻍ȶ懠ƍ翷笘⵨ȶ㨏瓱汽䝬뮪㖊ᐋ攸콈⻍ȶ懠ƍ翷简⵨ȶ㨏瓱汽䝬뮪㖊ᐋ攸쌈⻍ȶ懠ƍ翷篨⵨ȶ㨏瓱汽䝬뮪㖊ᐋ攸퉘⻍ȶ懠ƍ翷籐⵨ȶ㨏瓱汽䝬뮪㖊ᐋ攸1퀨⻍ȶ懠ƍ翷粸⵨ȶ㨏瓱汽䝬뮪㖊ᐋ攸1킘⻍ȶ懠ƍ翷素⵨ȶ㨏瓱汽䝬뮪㖊ᐋ攸횸⻍ȶ懠ƍ翷綈⵨ȶ㨏瓱汽䝬뮪㖊ᐋ攸쭘⻍ȶ懠ƍ翷緰⵨ȶ踏滩濙䌠ᖽ挳틈⻍ȶ懠ƍ翷繘⵨ȶ踏滩濙䌠ᖽ挳첨⻍ȶ懠ƍ翷 䀀䀀耰볓ȶ됑鼃岍七䓥楔꟦슘⻍ȶ懠ƍ翷 䀀䀀灰볓ȶ됑鼃岍七䓥楔꟦1⻍ȶ懠ƍ翷羐⵨ȶ됑鼃岍七䓥楔꟦1⻍ȶ懠ƍ翷䀀䀀パȶ됑鼃岍七䓥楔꟦1⻍ȶ懠ƍ翷䀀䀀薀⸭ȶ됑鼃岍七䓥楔꟦1⻍ȶ懠ƍ翷䀀䀀蘐⸭ȶ됑鼃岍七䓥楔꟦⻍ȶ懠ƍ翷䀀䀀癐⸭ȶ됑鼃岍七䓥楔꟦" userName="" userProvider="ttps://enelcom.sharepoint.com/sites/EngKnowledgePartnerships-EKP/Shared%20Documents/EMP/Master%20Capex/A"/>
        <Anchor>
          <Comment id="{0919CC70-914C-4FDA-8716-9631E22B151F}"/>
        </Anchor>
        <Assign userId="묱冤倾쫷↶࿆≣奕〪ଧﻑ䐏ꮒ윣≍硦㝂䲱﹋滛䨂룼鬒艽酧⽼鸫ᘔ墚ਢ䔡ᭌˑ쑑ᗕ⣪㧨괬鋟玁훼৽毡츽ㇿ䶘꽌穣㡘뤋䠰ｶ᪺㢒ー䐎⡺賈Ÿ﷗噸윕䋌羹룪纴蠏윅濪㑹ẉ阃餘㥼赛煙ಚ贳鷄缓炀É項鸊陙菎澯㹻蹱숉鐩⧬퓮䨍﫵샕쀼伛歺诸੐ﭬ㑎垛飥Ᵹ32蘾尓᐀退儀眍ȶ䵠眍ȶ你眍ȶ偀眍ȶ䰠眍ȶ傀眍ȶ䬀眍ȶ䮀眍ȶ嚀眍ȶ埠眍ȶ堀眍ȶ删眍ȶ壠眍ȶ嘀眍ȶ剀眍ȶ冠眍ȶlasses\WOW6432Node\CLSID\{00000339-0000-0000-C000-000000000046}̄չ％蘏尢ᔀ耀쥐묵ȶ롐묵ȶ쥐묵ȶr\S瀀⹰慎敭砀散l蘜就ᘣ蠀䅁燵䏬ꭰ蚲禶阜ನ벏퓦퀯䪘؄靠崱ꐔ譌扪제湶䆋봹杋简笴궹◫龍弈刲ꡯ黮邗ዣ䜏槓쏥蚨ꄧ쐝৬菉赹褓䅿즒瑩趛ꬔ㐞霱槫滙覅ଧ爖낗琔ਔ恱禫ㆠ鋄꧹朵⏨౵憎尹봄椩l࿁蟽﬑铃㆟ﬄ岮绛ᡊ蓾형予☘効鿶ﯹ귗վ㗜ᨳ⥙킋恍뒮窓ꆺ㾉ÿ샔薅䐱ᅁⱏ團ܴ㗂嗝䧵觇䚨ꎪ蛭峀ᜢ耀Ơ⼅ȶ쥐묵ȶ⩠쉷ȶ퀀ⵝȶ　〮蛺峗ᣃ耀첀묵ȶ졀묵ȶẰ쉷ȶā⁫஗귓핽쒄֟戎ꤷ翧Һ鼊⿬⒧タ쏬恘隗嬨ý 鞕쒙褯埆两溉願⾍뿞椑䓦⺻䲳ࢩ⍙抚湖∞卂Ȕఏᤖजᔃᴆ἟἟἟἟἟἟἟἟἟἟恞ꭩ፿߱蛋峦ᤀ耀蛘峵ᨀ退喐⺉ȶ艐ⶺȶ뗐⽅ȶ뼐⽅ȶ뫐⽅ȶ붐⽅ȶ땐⽅ȶ믐⽅ȶ떐⽅ȶ또⽅ȶ볐⽅ȶ뚐⽅ȶ멐⽅ȶ뛐⽅ȶ뽐⽅ȶ뜐⽅ȶ띐⽅ȶ럐⽅ȶﲰ슌ȶ倨䯄翽㙰䯆翽틨䯨翽㪀䯆翽䯅翽叀䯵翽㦰ᥡȶ漐䯵翽ﳰ⡔ȶ熀䯵翽䯅翽爀䯵翽䯅翽蚩岄ᬀ耀쥐묵ȶ롐묵ȶ쥐묵ȶ瀀⹰牂湡档漀歲蚶岫ᰀ退䅁燵䏬ꭰ蚲禶阜ನ벏퓦퀯䪘؄靠崱ꐔ譌扪제湶䆋봹杋简笴궹◫龍弈刲ꡯ黮邗ዣ䜏槓쏥蚨ꄧ쐝৬菉赹褓䅿즒瑩趛ꬔ㐞霱槫滙覅ଧ爖낗琔ਔ恱禫ㆠ鋄꧹朵⏨౵憎尹봄椩l࿁蟽﬑铃㆟ﬄ岮绛ᡊ蓾형予☘効鿶ﯹ귗վ㗜ᨳ⥙킋恍뒮窓ꆺ㾉ÿ샔薅䐱ᅁⱏ團ܴ㗂嗝䧵觇䚨ꎪA眑蛯ᶟ꫏䥩ఁ⁘윯궬꼦齂袖⹵팫耆巻馘ᴜ䔢䎳㌟⾇f쀀鐪곇쒭⛶䊯隟疈⬮ۓ眃⻀ᥠ곇쒭⛶䊯隟疈⬮ۓ縃%甀ώς숩ȃ⤀ǧôꂰ怃윙궬꼦齂袖⹵팫ﱷࠀ⤫湱媝ꃿక蠓잘禍慓ᄐय़⭸㈩Ꙉ㹡긍몔᮫鞷鎰䚸絯²዆╾䭐Ѓ!濽爵ऩ⃜汸眯牯獫敨瑥⽳桳敥㝴砮汭閜潝ペ蘔⟯㿭비褧႓舂ⵖ괔팷緔᭝Ⴧ熫泌恓ﻓ軻䗳嘪嚚踂㡃秏ﭟ゜㺽批獊챙瘐芰铊鬗神淾䠹ꎐ⤍鉒苋탍榑絴瓃픯캣㌘ဎ㴊饃驩䄱⮴겷㮀ꥫ㄄ꥰ鸶⫞퉆䤲廤ﯠ➱⼈䕐ꢘా庹쩳鈖Ӯ䰫儅✬賫畯㭃붤ꥸ笢屈睔Ṛ캎৴镎狔屭蔪䥗眻쿆੼쟚₨燪ᶷ砀㱖蹅鎠䷻ᔡ≰ᰇᐜʼ蝸석볤罒蓉꒶鷳藬釁뜓疭Ղ㱅奬ু븖ᘓシ嶻뉪ﴌޙቑ惭먹ᦽ썄뮻ቁ퇻ॠ碫᝾ꎆ崗卍봎嵧訹枭ۨṏ葰ꮼ㿚컫栗ꔭ䫸㶉ҫꯆﲽ䝬꼣뒾듓⛑菟἖棊㎖ﭪ⇚鸐鳘ﯫఱ꿤ゲꄬ힨ᮮ쬅ﹲ⢾攧뉫췋礿㉪㠦ﲎᠸ菦翜籢ᦓቸ⹄彼훶㴤頮ウꁮ෋뚇锨吹侀灇Ꚁ蜤᳚玲꧗ቕ掜ҙ亱紊蠷쏇嬐鵍本듅牙ଫ琹趧디ﰉࢌ妇ℒ䚾磌늚壘怅͔혡懀꺶௄〔쩓墂뢔䂦⡬௱痛쭁ꚨ汀ࣩᓾ䝊弐푳ꮠ≋髄뮷ッ啟숣⻸贞擣뻴슞潭ꋃف⺟낽룭癩蜜꧉庛竘픻蓥Ͻ＀꓿殘၆뾆끿ꎬ֪〕ƾ䠥౜騘唤迕焮ᐒ⦂鉶羞姟읻笻⠡ꟊ꼤ᷞ쳬瞎㾘榦䬱撊㰴潦盂⭬␿᳻᭾㴸竛⸬ཬ湾笢Ꙟߛ肦碫滜⚞翇鞎٬楧䦾ꃷ婵㶞渚쑘଱苉냸싨䇎ᵿ麅氷躿眍葍춫ꦥ촮⥴ꗒ⺹琭ꥩ녋괮楴䤭䡭鵜꺽笡띮샥꺿퀥㎐꿗욓崢巘斟錚⯦䌩ﰏ㶬띝묧浲┌኏鞑ꦑ꼩蜮釋☖눅楫蕶⮲靆囼뿊㊼勇毞牭臺堒ŗʹ㪤軏䧏ॕ略㙀琌芻ମтቑ䝾쯡九牟ਹ豟ਕ岾盪⥪쥂ꖩ䨹嫝ꁚ勊抗범䡊쿦鿋ᕠ㋾犳﹗㖳線䄖㑊交㿫⁽绵낵ⱕ킟䢨Ծ닋䴑쮸씽犅嶊씹㨊硒莥틥ඒ땽큢뉅኎뫉씮넨竆娿쵸밥⦀⮻颱⍞ꍜ♐ꫩ꩐弰횩덫ꥋ꿖쮕짫峛ꭔṄꠞᾅ鱮谬ᖾ炟尊䐊첅鉐޸曊뢎೫瑷ᄨ뫮ꌔ맄췻氥〈녷㟮Ꮲ㗎ऺ䫷롒䨇릳먶镼胲媞냞㐓⻈囍䱩딃림㊋ዥ詥첒꥔裸캻䔰愗ኊꩡㅋ鱊큩䉜ᦁ誙◅ꃓ鼑깰䧑嚘쪒흛靆듆煲斦๦ᨯ咞僞᫉ù臎짷喳示ᮥ롍銋ዧ輥ᴒ슗ᆻ鵷輡䈮┞幂抗㢔냹" userName="묵ȶ대묵ȶ쥐묵ȶr\Sⵝȶ爀摯捵楴湯䵟䍅腣嵞Ķ耀쥐묵ȶ싰묵ȶ쥐묵ȶr\S攀獳潩⹮捅䕳慔g찀ⵔȶ腰嵭Ȁ耀쥐묵ȶπ⼅ȶ쥐묵ȶom.攀獳潩⹮摉준ⵔȶ腁嵼̀耀ಠ쉷ȶ딠묵ȶ꿐묵ȶr\S攀慧祣伮䕳癮&#10;脮崃Ѐ蠀❐⿁ȶ稠⽎ȶ⬠⿁ȶ愰뵫ȶ籠⽎ȶ넀⿦ȶ缰⽎ȶ쐐⿦ȶ纠⽎ȶ쮰⿦ȶ狐⽎ȶ뱰⿦ȶ䎰싓ȶ翀⽎ȶ皤ȶ脿崒Ԁ耀대묵ȶ띀묵ȶ싰묵ȶr\Sⵝȶ爀摯捵楴湯脌崡؀耀侮⼄ȶ⼄ȶ쥐묵ȶr\S攀楶散伮䉳極摬㈀㌶1脝崰܀耀딠묵ȶ⩠쉷ȶ☠쉷ȶ攀獳潩⹮汆条s&#10;&lt;自巇ࠀ耀첀묵ȶ샐묵ȶ옠묵ȶR\S瀀⹰湉瑳污呬灹e臻巖ऀ退妀⺉ȶ쬐⽅ȶ텐⽅ȶ죐⽅ȶ톐⽅ȶ줐⽅ȶ짐⽅ȶ쾐⽅ȶ점⽅ȶ왐⽅ȶ캐⽅ȶ쉐⽅ȶ싐⽅ȶ쥐⽅ȶ즐⽅ȶ컐⽅ȶ쿐⽅ȶﾰ슌ȶ㪀䯆翽䯅翽㬠䯆翽䯅翽叀䯵翽⅐ᥡȶ漐䯵翽⚉ȶ熀䯵翽䯅翽爀䯵翽䯅翽狨䯵翽ڸ䯶翽臈工਀退嫐⺉ȶ슐⽅ȶ졐⽅ȶ턐⽅ȶ쨐⽅ȶ쩐⽅ȶ쌐⽅ȶ옐⽅ȶ촐⽅ȶ쭐⽅ȶ쯐⽅ȶ숐⽅ȶ썐⽅ȶ쎐⽅ȶ쮐⽅ȶ앐⽅ȶ퀐⽅ȶ슌ȶ듀䯅翽墨⺉ȶ딈䯅翽틨䯨翽뙠䯅翽倨䯄翽㬠䯆翽䯅翽䃰䯆翽떀뱽ȶ叀䯵翽螀⣼ȶ熀䯵翽䯅翽臙巴଀退⡒ȶ䟐뱧ȶ厐뱧ȶ䷐뱧ȶ倐뱧ȶ䪐뱧ȶ䧐뱧ȶ䥐뱧ȶ䡐뱧ȶ僐뱧ȶ剐뱧ȶ䰐뱧ȶ䤐뱧ȶ俐뱧ȶ卐뱧ȶ俐뱧ȶ䤐뱧ȶ䰐뱧ȶ剐뱧ȶ僐뱧ȶ䡐뱧ȶ䥐뱧ȶ䧐뱧ȶ䪐뱧ȶ倐뱧ȶ䷐뱧ȶ厐뱧ȶ䟐뱧ȶ0A}\InprocHandler2膦嶛ఀ耀쥐묵ȶ뿀묵ȶ쥐묵ȶr\S瀀⹰敖獲潩nⵝȶ膷嶪ഀ耀쥐묵ȶ싰묵ȶ쥐묵ȶ攀敬獡⹥桃湡敮l䔀C膄嶹฀退勰⺉ȶ蛐ⶺȶ蝰ⶺȶ벐⽅ȶ뾐⽅ȶ뉐⽅ȶ뷐⽅ȶ뺐⽅ȶ뎐⽅ȶ쀐⽅ȶ삐⽅ȶ샐⽅ȶ느⽅ȶ딐⽅ȶ듐⽅ȶ뭐⽅ȶ뒐⽅ȶ댐⽅ȶ뢐⽅ȶ슌ȶLCAGHCBDGBYEOCGAVHJDGATC7AXAH\DSCF410.tmpó膕屈ༀ耀벐묵ȶ샐묵ȶ⼄ȶr\S氀敩瑮䤮d虢屟က耀롐묵ȶƠ⼅ȶ뿀묵ȶom.瀀⹰汐瑡潦浲椀㍮2虳屮ᄀ耀쥐묵ȶࡠ쉷ȶ쥐묵ȶR\S攀慧祣䄮灰摉虀屽ሀ耀붠묵ȶ딠묵ȶ냠묵ȶ攀敬獡⹥潆歲㐀㜰䨭汵虑尌ጀ退ँ묱冤倾쫷↶࿆≣奕〪ଧﻑ䐏ꮒ윣≍硦㝂䲱﹋滛䨂룼鬒艽酧⽼鸫ᘔ墚ਢ䔡ᭌˑ쑑ᗕ⣪㧨괬鋟玁훼৽毡츽ㇿ䶘꽌穣㡘뤋䠰ｶ᪺㢒ー䐎⡺賈Ÿ﷗噸윕䋌羹룪纴蠏윅濪㑹ẉ阃餘㥼赛煙ಚ贳鷄缓炀É項鸊陙菎澯㹻蹱숉鐩⧬퓮䨍﫵샕쀼伛歺诸੐ﭬ㑎垛飥Ᵹ32蘾尓᐀退儀眍ȶ䵠眍ȶ你眍ȶ偀眍ȶ䰠眍ȶ傀眍ȶ䬀眍ȶ䮀眍ȶ嚀眍ȶ埠眍ȶ堀眍ȶ删眍ȶ壠眍ȶ嘀眍ȶ剀眍ȶ冠眍ȶlasses\WOW6432Node\CLSID\{00000339-0000-0000-C000-000000000046}̄չ％蘏尢ᔀ耀쥐묵ȶ롐묵ȶ쥐묵ȶr\S瀀⹰慎敭砀散l蘜就ᘣ蠀䅁燵䏬ꭰ蚲禶阜ನ벏퓦퀯䪘؄靠崱ꐔ譌扪제湶䆋봹杋简笴궹◫龍弈刲ꡯ黮邗ዣ䜏槓쏥蚨ꄧ쐝৬菉赹褓䅿즒瑩趛ꬔ㐞霱槫滙覅ଧ爖낗琔ਔ恱禫ㆠ鋄꧹朵⏨౵憎尹봄椩l࿁蟽﬑铃㆟ﬄ岮绛ᡊ蓾형予☘効鿶ﯹ귗վ㗜ᨳ⥙킋恍뒮窓ꆺ㾉ÿ샔薅䐱ᅁⱏ團ܴ㗂嗝䧵觇䚨ꎪ蛭峀ᜢ耀Ơ⼅ȶ쥐묵ȶ⩠쉷ȶ퀀ⵝȶ　〮蛺峗ᣃ耀첀묵ȶ졀묵ȶẰ쉷ȶā⁫஗귓핽쒄֟戎ꤷ翧Һ鼊⿬⒧タ쏬恘隗嬨ý 鞕쒙褯埆两溉願⾍뿞椑䓦⺻䲳ࢩ⍙抚湖∞卂Ȕఏᤖजᔃᴆ἟἟἟἟἟἟἟἟἟἟恞ꭩ፿߱蛋峦ᤀ耀蛘峵ᨀ退喐⺉ȶ艐ⶺȶ뗐⽅ȶ뼐⽅ȶ뫐⽅ȶ붐⽅ȶ땐⽅ȶ믐⽅ȶ떐⽅ȶ또⽅ȶ볐⽅ȶ뚐⽅ȶ멐⽅ȶ뛐⽅ȶ뽐⽅ȶ뜐⽅ȶ띐⽅ȶ럐⽅ȶﲰ슌ȶ倨䯄翽㙰䯆翽틨䯨翽㪀䯆翽䯅翽叀䯵翽㦰ᥡȶ漐䯵翽ﳰ⡔ȶ熀䯵翽䯅翽爀䯵翽䯅翽蚩岄ᬀ耀쥐묵ȶ롐묵ȶ쥐묵ȶ瀀⹰牂湡档漀歲蚶岫ᰀ退䅁燵䏬ꭰ蚲禶阜ನ벏퓦퀯䪘؄靠崱ꐔ譌扪제湶䆋봹杋简笴궹◫龍弈刲ꡯ黮邗ዣ䜏槓쏥蚨ꄧ쐝৬菉赹褓䅿즒瑩趛ꬔ㐞霱槫滙覅ଧ爖낗琔ਔ恱禫ㆠ鋄꧹朵⏨౵憎尹봄椩l࿁蟽﬑铃㆟ﬄ岮绛ᡊ蓾형予☘効鿶ﯹ귗վ㗜ᨳ⥙킋恍뒮窓ꆺ㾉ÿ샔薅䐱ᅁⱏ團ܴ㗂嗝䧵觇䚨ꎪA眑蛯ᶟ꫏䥩ఁ⁘윯궬꼦齂袖⹵팫耆巻馘ᴜ䔢䎳㌟⾇f쀀鐪곇쒭⛶䊯隟疈⬮ۓ眃⻀ᥠ곇쒭⛶䊯隟疈⬮ۓ縃%甀ώς숩ȃ⤀ǧôꂰ怃윙궬꼦齂袖⹵팫ﱷࠀ⤫湱媝ꃿక蠓잘禍慓ᄐय़⭸㈩Ꙉ㹡긍몔᮫鞷鎰䚸絯²዆╾䭐Ѓ!濽爵ऩ⃜汸眯牯獫敨瑥⽳桳敥㝴砮汭閜潝ペ蘔⟯㿭비褧႓舂ⵖ괔팷緔᭝Ⴧ熫泌恓ﻓ軻䗳嘪嚚踂㡃秏ﭟ゜㺽批獊챙瘐芰铊鬗神淾䠹ꎐ⤍鉒苋탍榑絴瓃픯캣㌘ဎ㴊饃驩䄱⮴겷㮀ꥫ㄄ꥰ鸶⫞퉆䤲廤ﯠ➱⼈䕐ꢘా庹쩳鈖Ӯ䰫儅✬賫畯㭃붤ꥸ笢屈睔Ṛ캎৴镎狔屭蔪䥗眻쿆੼쟚₨燪ᶷ砀㱖蹅鎠䷻ᔡ≰ᰇᐜʼ蝸석볤罒蓉꒶鷳藬釁뜓疭Ղ㱅奬ু븖ᘓシ嶻뉪ﴌޙቑ惭먹ᦽ썄뮻ቁ퇻ॠ碫᝾ꎆ崗卍봎嵧訹枭ۨṏ葰ꮼ㿚컫栗ꔭ䫸㶉ҫꯆﲽ䝬꼣뒾듓⛑菟἖棊㎖ﭪ⇚鸐鳘ﯫఱ꿤ゲꄬ힨ᮮ쬅ﹲ⢾攧뉫췋礿㉪㠦ﲎᠸ菦翜籢ᦓቸ⹄彼훶㴤頮ウꁮ෋뚇锨吹侀灇Ꚁ蜤᳚玲꧗ቕ掜ҙ亱紊蠷쏇嬐鵍本듅牙ଫ琹趧디ﰉࢌ妇ℒ䚾磌늚壘怅͔혡懀꺶௄〔쩓墂뢔䂦⡬௱痛쭁ꚨ汀ࣩᓾ䝊弐푳ꮠ≋髄뮷ッ啟숣⻸贞擣뻴슞潭ꋃف⺟낽룭癩蜜꧉庛竘픻蓥Ͻ＀꓿殘၆뾆끿ꎬ֪〕ƾ䠥౜騘唤迕焮ᐒ⦂鉶羞姟읻笻⠡ꟊ꼤ᷞ쳬瞎㾘榦䬱撊㰴潦盂⭬␿᳻᭾㴸竛⸬ཬ湾笢Ꙟߛ肦碫滜⚞翇鞎٬楧䦾ꃷ婵㶞渚쑘଱苉냸싨䇎ᵿ麅氷躿眍葍춫ꦥ촮⥴ꗒ⺹琭ꥩ녋괮楴䤭䡭鵜꺽笡띮샥꺿퀥㎐꿗욓崢巘斟錚⯦䌩ﰏ㶬띝묧浲┌኏鞑ꦑ꼩蜮釋☖눅楫蕶⮲靆囼뿊㊼勇毞牭臺堒ŗʹ㪤軏䧏ॕ略㙀琌芻ମтቑ䝾쯡九牟ਹ豟ਕ岾盪⥪쥂ꖩ䨹嫝ꁚ勊抗범䡊쿦鿋ᕠ㋾犳﹗㖳線䄖㑊交㿫⁽绵낵ⱕ킟䢨Ծ닋䴑쮸씽犅嶊씹㨊硒莥틥ඒ땽큢뉅኎뫉씮넨竆娿쵸밥⦀⮻颱⍞ꍜ♐ꫩ꩐弰횩덫ꥋ꿖쮕짫峛ꭔṄꠞᾅ鱮谬ᖾ炟尊䐊첅鉐޸曊뢎೫瑷ᄨ뫮ꌔ맄췻氥〈녷㟮Ꮲ㗎ऺ䫷롒䨇릳먶镼胲媞냞㐓⻈囍䱩딃림㊋ዥ詥첒꥔裸캻䔰愗ኊꩡㅋ鱊큩䉜ᦁ誙◅ꃓ鼑깰䧑嚘쪒흛靆듆煲斦๦ᨯ咞僞᫉ù臎짷喳示ᮥ롍銋ዧ輥ᴒ슗ᆻ鵷輡䈮┞幂抗㢔냹蒹〗ធ䮋懲㸣峡鎣꾐锤㊼崧嶛垢J䪡耥Ჟ墁洸਄ᇕ뮈ᇤ吨⁇䖌⁆턮ࠑ㈥ꄂい䒢챒㣀꽔에㲦Ⱦߵ윫㔹ः愤턘╊龃Ⱀ嚌ꄻ㗚讹軖촮ᒸ觀خ催髭痜皦䗐躒䤒⺺⣅㟩낗赕⎵霖펵쑯鰧瑫鏪Ψ萧䌁ซྷ⢂됤怯䃶冰렔梔퐳砂ȓ᥃⌴鶴冡ࣛ媎㰣娌歜袜槓ᴮ愨ጣꀒᩴ߄浂瀶崱ᛜ幼᡽꼥㝼魰䘄曗叨ꣀధ컚灏ᠩ⣔崘⁇ܘ䃀㓗ᆃ⨁ะ㦀幡釗怍侏႞帎쁁䆜맶衲큍鲦쨑㿄ꎭ䎑㔂䩺᫔☹赪흯⢥⵴뗆ꣴ뎑燂ᵏ쐔麭踔⽺껁㭇帔䠢퀟⸴ꜟ⡶臭⟾⸴␍㶘ⓥ킏깶ꕃ䃚ʍ뗑纸현ஆƵ餧㚹聄㚪ꡜᎍ痦᭐箦켍녯ꮙ뱕࣒㧪쉤揊汄槴◄솑焗謬㥣ힷ⷟ꟻ理锍퟼㛸曺蹝욯먲떺﹮릾⺍㼇烾ᖕ샩홶ﭦ潙뜩⣊멖㝋燅䦻홶飡鈞剣덬떽㝏鹩윧囯妑緛⑞몰䱸ﮭ띬﮶沐銞㒇孯뿩㏃㟜拏鏽鋂⻥莽쩟뜅佥﹭瘂뽔꿁鷙湶뉍⶯ﻹ⹧苒䮂뢾孢⒢䜚䮬鐫ㅜ먦嗍릯멲ᬧ䕀꧔显ꆪⶼ߿＀擿澐썋ీ뿆ᇊ韁鵶믿ꅫ알ᴱ琉清穫氽⎛ᣍ佭ᅪ⋳秤뼠䐧젷霖흘㪝뇐ᒕ郦忩ㅗ⦖燤躲﨡濧銯췭䟠☓籘氵᪩ị묹ָ컅箃樍≏賔䊪⁓吒⑉ك໮㞕礞뻧蔰偻ໄㅛ꣢셍ଓ✛幽諢研葕翋俀颁⩩钐鮝⿆ꆖ칃퓎킻돗ꭐ﯍缦帉꙼榣䝝셿娵恼牳鶭顎➇袝먿儊澲＀Ͽ礀禙悻﹩呛᤻贗葋႟죐⤔ȶ偀묁ȶ타ώ赭묵ȶ蟌嵏退Engineering Mgmt ‎» People and Organization ‎» Formazione‎» STEared蟅嵆İ蠀鯰묵ȶ斣삙ㆎ䖐精횚Ｕ烁║䍔石ᆕ끘⁖韉챝䡫貹墄不炞␐묳ȶZ_䛰묳ȶ蟚嵝Ȁ退⒀묳ȶ*/䙀⤕ȶ&#10;ᷰ묰ȶ䯠⤕ȶites蟓嵔́退Microsoft.Office.Shared.GraphImportAccessTokenAutoRefreshnutesg_Ha螨嵣т退Eng Knowledge &amp; Partnerships - EKP ‎» EMP ‎» Budget ICT ‎» _oldhttp螡嵺ԯ退C:\Users\a467287\AppData\Roaming\Microsoft\Windows\Recent螶嵱ٵ退microsoft.office.fileio.verifydocumentstoragemodetelemetry&#10;螏崈܀退QA&amp;CI䔠⤕ȶ&#10;Generalᶠ묰ȶINor螄崇ࡁ蠀鬐묵ȶ맊塶Ṥ䳈暴⹷ꭴ൭ʧ⻸䀫厮ᅴ破竞ᇑ䔨垵壯Ⓓ窈㱠묰ȶMO䏰묳ȶBok/螝崞य退䣀묰ȶ&quot;'䴰⤕ȶ&#10;EKP䜀⤕ȶ&#10;enel螒崕੭退䍰묳ȶ䌐⤕ȶ&#10;䯰묳ȶ䣠⤕ȶ&#10;/02.葫崬ର蠀錰묵ȶ㷇斘썑䣃ꎘ킩䕦揟骥䒍誵虉ᰱ劯룃囎价⪂藤ⅰ묳ȶU_EGP‎»葠崻ఀ退㵰묳ȶ䲠⤕ȶ&#10;ENEL㢰묳ȶeric葹崲൓蠀픠뫢ȶ稠奆崜䵮斲ー鞊⾋┳ε䙢ⶉ㽔採珑ﻟ鴕䄨エ婐붬ecura葎巉ะ蠀੨翾✇T⛨뫆ȶ벲ȶȶ묵ȶ䀃蛁䵫仳뒧؅㭦栮༾䇩囁䘳쎁譮讬烝䕃 묵ȶߠ묕ȶߠ묕ȶ뇐뮓ȶ葇巀཯退Microsoft.Office.FileIO.SyncProgressUI.EnabledForSyncBackedapab葜巟ၩ蠀푀뫢ȶ蠣걝灲䰲솁ऑ褊ꓭ殐鮂뒾䙅䆂ལ꘎Ç鋂บ묚䥣犯嵱叟쳹⠀묳ȶW_䉰묳ȶge葕巖ᄀ蠀饐묵ȶ灉㑧넁䠆▾ᚵ䏱Ẳᗜ詯䀐₸￙㎷◚ᔯ䬮ဌ䧤떎᯿㹭ꩵ⬐묳ȶP_GeneralShred萪巭ሰ蠀쿠뫢ȶ⁵Ȩﷆ䷻಻嘝滰줂㥇ꁁ䍼䮸깯蔥鷎揀敭䦺瑰美ᇔ≐묳ȶR_䆰묳ȶ萣巤ጀ蠀੨翾✇T㇀ੵ翾㇀ੵ翾ȶ묵ȶ숢蚾ヲ䟠▟텠휜⡜༾䇩囁䘳쎁譮讬烝䕃 묵ȶ易묔ȶ易묔ȶȶ蛐뭫ȶ萸巳ᐯ蠀쪠뫢ȶ찑꺗䇞즊빪̜含퉡죫䝚첣ѷ蚞秵甆뮯鰬䗲窗隨彟徰무ȶco䖰묳ȶlsx萱嶊ᕩ退 $(,edTimeInMinutes授ੵ翾萆嶁ᘀ蠀鶰묵ȶƬ禔ಽ䘗覽篕曷䦂㬧庂浝䶿䮧ᛁｽ䆾㝋몕ꋩ䉀캊횎콤ꎸ㺠묰ȶFO㯰묳ȶcum萟嶘᝴退Microsoft.Office.FileIO.EnablePrefetchFilePrepCacheAsync萔嶗᠀蠀鯰묵ȶ斣삙ㆎ䖐精횚Ｕ烁║䍔石ᆕ끘䝠훋䯐즼턛◛ກ⇠묳ȶZ_㼰묳ȶ3.lsx蓭嶮᥁退띠てȶ띠てȶ띠てȶ띠てȶ띠てȶ띠てȶ띠てȶ띠てȶ띠てȶ띠てȶ띠てȶ띠てȶ띠てȶ띠てȶ띠てȶ띠てȶ뚰뮓ȶ蓢嶥ᩂ退Microsoft.Office.FileIO.VerifyDocumentStorageModeTelemetry913\쬙藯႟ྰ⡤ȶ鹠뮅ȶ타㌞赽Ǿ묵ȶ翿霔ﻑﵟ嶾毻﻿￸櫰둃젾耀ÅH鰅ႄȐĀ쀀\AppData\Loc蓉嵃\退쭰䶎翽쬸䶎翽ﾠ〠ȶ髐뭰ȶƦeFـ슴ȶ@5E蓁嵛Ň退ば䯆翽묵ȶtime Exe鹰뭞ȶ彰⡹ȶcd.蓙嵓Ȁ退쭰䶎翽쬸䶎翽〠ȶﳀ⼨ȶƦ㤰슴ȶ@㴠ꝯ蓑嵫̀退쭰䶎翽쬸䶎翽〠ȶ䁀⼩ȶƦㄐ슴ȶ@䠹旳Ԁ耀蒩嵣ж退ば䯆翽묵ȶ10B051B-迠⚍ȶ栰⡹ȶ蒡嵻Ԁ退쭰䶎翽쬸䶎翽〠ȶ㟐⼩ȶƦ䚠슴ȶ@늠＿蒹嵳؀退쭰䶎翽쬸䶎翽⃠〡ȶ鸰뭰ȶƦ᧰슴ȶ@ꉈ놪ऀ耀蒱崋ܶ退ば䯆翽묵ȶfice.Fil貀⚍ȶ栰⡹ȶcr蒉崃ࠀ退ば䯆翽묵ȶfice.Fil詀⚍ȶ栰⡹ȶcr蒁崛ऀ退ば䯆翽묵ȶ虰뭞ȶ彰⡹ȶ萃崜ഀ耀蒙崓ਸ਼退ば䯆翽묵ȶ鈠⚍ȶ栰⡹ȶ몗ȶ蒑崫଀退쭰䶎翽쬸䶎翽帠〡ȶ΀⼩ȶƦȶ僰슴ȶ@蕩崣ఀ退쭰䶎翽쬸䶎翽罠〡ȶ⛰⼩ȶƦ什슴ȶ@✮ᅁᄀ耀蕡崻ശ退쭰䶎翽쬸䶎翽캠〠ȶꨀ뭰ȶƦȶ‰슴ȶ@蕹崳฀退쭰䶎翽쬸䶎翽脠〡ȶ௰⼩ȶƦ槰슴ȶ@჈렻蕱巋ༀ退쭰䶎翽쬸䶎翽௠〡ȶ嘰⼩ȶƦȶⰐ슴ȶ@ᔀ耀蕉巃ံ退쭰䶎翽쬸䶎翽툠〠ȶꆐ뭰ȶƦȶᜠ슴ȶ@87蕁巛ᅴ退쭰䶎翽쬸䶎翽쐠〠ȶ뗐뭰ȶƦ.0װ슴ȶ@heQD蕙巓ስ退쭰䶎翽쬸䶎翽᧠〡ȶ࢐⼩ȶƦㅠ슴ȶ@ꂨ逢耀蕑巫ጶ退ば䯆翽묵ȶЀ慐⡹ȶ蔩巣᐀谀Microsoft.Office.Security.CLP.FG.ShowTrackAndRevokeButton蔡巻ᔀ退쭰䶎翽쬸䶎翽曠〡ȶኰ⼩ȶƦȶ祠슲ȶ@ȶᴀ耀蔹巳ᘶ退쭰䶎翽쬸䶎翽Š〡ȶ꼐뭰ȶƦȶ㓐슴ȶ@ &quot;蔱嶋ᜀ退쭰䶎翽쬸䶎翽几〡ȶ䕐⼩ȶƦ买슴ȶ@✻蔉嶃ᡩ耀묵ȶȀ묶ȶᲀ묶ȶā⸇ȶ蔁嶛ᤶ退쭰䶎翽쬸䶎翽憠〡ȶච⼩ȶƦȶ筀슲ȶ@gT蔙嶓ᨀ耀묶ȶ묶ȶက묶ȶ䜟䰢㫬㓿㳞ⱘ暓鴉p 蔑嶫᭥退쭰䶎翽쬸䶎翽捠〡ȶ峰⼩ȶƦȶ捰슳ȶ@ȶ╱耀藩嶣ᰶ耀묵ȶȀ묶ȶ묵ȶ藡嶻ᴀ退쭰䶎翽쬸䶎翽硠〡ȶẀ⼩ȶƦ惠슴ȶ@옹斉藹嶳ṥ退ば䯆翽呂묵ȶ鄀⚍ȶ栰⡹ȶ蔃嶴⥡耀藱屋ἶ退쭰䶎翽쬸䶎翽̠〡ȶꓰ뭰ȶƦẠ슴ȶ@槸栌ve藉屃 退ば䯆翽婢묵ȶ詰뭞ȶ彰⡹ȶ藁屛Ⅷ退쭰䶎翽쬸䶎翽⊠〡ȶ굠뭰ȶƦȶ᫠슴ȶ@rs藙屓∸退쭰䶎翽쬸䶎翽〠ȶⶰ⼩ȶƦ䲐슴ȶ@\0藑屫⍑退ば䯆翽ﰀ묵ȶfice.fil豰뭞ȶ彰⡹ȶcr7薩屣␀退쭰䶎翽쬸䶎翽㗠〡ȶ⎐⼩ȶƦ涰슴ȶ@ㅴ耀薡屻┶退쭰䶎翽쬸䶎翽橠〡ȶ‰⼩ȶƦȶ猠슲ȶ@ȶvi薹屳☀退ば䯆翽ﶀ묵ȶtime Exe蝰뭞ȶ彰⡹ȶcd.薱尋❴退ば䯆翽︀묵ȶ蝀⚍ȶ栰⡹ȶ蔃尌㕥耀薉尃⠶退쭰䶎翽쬸䶎翽虠〡ȶ戀⼩ȶƦȶ塰슴ȶ@ȶ &quot;薁尛⤀退쭰䶎翽쬸䶎翽⟠〡ȶ妐⼩ȶƦ㘐슴ȶ@Ṻ䰷薙尓⩣退쭰䶎翽쬸䶎翽厠〡ȶ㬰⼩ȶƦ繠슲ȶ@䡊㥽耀薑尫⬶退쭰䶎翽쬸䶎翽稠〡ȶㄐ⼩ȶƦ盠슲ȶ@礄勆et멩尣Ⰰ退쭰䶎翽쬸䶎翽攠〡ȶ孀⼩ȶƦ幠슴ȶ@멡尻⵮退쭰䶎翽쬸䶎翽ᵠ〡ȶ鲀뭰ȶƦȶ◐슴ȶ@㵳耀멹尳⸶退ば䯆翽ƀ묶ȶЀ⡱ȶice멱峋⼮耀묵ȶ묵ȶᲀ묶ȶㄼȶ멉峃づ退쭰䶎翽쬸䶎翽㳠〡ȶ԰⼩ȶƦȶ萀슲ȶ@ȶ䅇耀멁峛ㄶ退쭰䶎翽쬸䶎翽⻠〡ȶꚠ뭰ȶƦȶỰ슴ȶ@ce멙峓㉧退쭰䶎翽쬸䶎翽ᠠ〡ȶꮰ뭰ȶƦᗠ슴ȶ@ﲠꮶ̀耀멑峫㍲退쭰䶎翽쬸䶎翽〠ȶ냀뭰ȶƦroᯐ슴ȶ@eC먩峣㑜退쭰䶎翽쬸䶎翽འ〡ȶ䇰⼩ȶƦFEⷰ슴ȶ@HO먡峻㕂退ば䯆翽Ԁ묶ȶfice.Fil矀슳ȶ挰⡹ȶcr먹峳㙡退쭰䶎翽쬸䶎翽큠〠ȶ뉰뭰ȶƦȶ₀슴ȶ@ȶ䤢耀먱岋㜶退쭰䶎翽쬸䶎翽〠ȶ䎠⼩ȶƦȶ㡀슴ȶ@ȶ&quot; ⣶ȶ먉岃㠀退ば䯆翽ڀ묶ȶfice.Fil葰뭞ȶ彰⡹ȶcr먁岛㥭退쭰䶎翽쬸䶎翽Ӡ〡ȶꍀ뭰ȶƦȶᓰ슴ȶ@䵴耀먙岓㨶退쭰䶎翽쬸䶎翽㉠〡ȶ᳐⼩ȶƦȶ䔐슴ȶ@ }먑岫㬀退쭰䶎翽쬸䶎翽ⴠ〡ȶꡐ뭰ȶƦȶ⃐슴ȶ@뫩岣㱴退쭰䶎翽쬸䶎翽馠〡ȶ儠⼩ȶƦ堠슴ȶ@﫝ꯊ儠耀뫡岻㴶退ば䯆翽ऀ묶ȶ踰⚍ȶ栰⡹ȶtFl뫹岳㸀退쭰䶎翽쬸䶎翽䲠〡ȶﹰ⼨ȶƦȶ垀슴ȶ@ȶ뫱彋㽥退쭰䶎翽쬸䶎翽梠〡ȶ埠⼩ȶƦ䏐슴ȶ@啫耀뫉彃䀶退쭰䶎翽쬸䶎翽〡ȶ敠⼩ȶƦȶꃰ쉫ȶ@: 뫁彛䄀退쭰䶎翽쬸䶎翽ঠ〢ȶៀ⼩ȶƦȶ변쉫ȶ@뫙当䉽退쭰䶎翽쬸䶎翽〡ȶᥰ⼩ȶƦȶ뚀쉫ȶ@奶耀뫑彫䌶退쭰䶎翽쬸䶎翽黠〡ȶ䜀⼩ȶƦȶ晀슳ȶ@&quot;S목彣䐀退쭰䶎翽쬸䶎翽〡ȶᬠ⼩ȶƦoc뻰쉫ȶ@ff몡彻䕥谀Calibri»ƐȀ몹彳䙈退쭰䶎翽쬸䶎翽〡ȶ酀⼩ȶƦȶ륐쉫ȶ@儀耀몱弋䜀退쭰䶎翽쬸䶎翽㐠〡ȶ䢰⼩ȶƦ嗰쉫ȶ@몉弃䠀耀⠀묶ȶ▀묶ȶ℀묶ȶā ̄몁弛䤶耀᐀묶ȶ⢀묶ȶኀ묶ȶā 餀﯈戯﷯鈝볺몙弓䨀退쭰䶎翽쬸䶎翽Ѡ〢ȶ㺐⼩ȶƦ龰쉫ȶ@⦛㾧몑弫䬀耀⒀묶ȶ묵ȶᔀ묶ȶṞ㔬嶥僑삷봴 뭩弣䰶退쭰䶎翽쬸䶎翽꺠〡ȶ咀⼩ȶƦ깠쉫ȶ@ꩤǀ뭡弻䴀退쭰䶎翽쬸䶎翽屠〡ȶⰀ⼩ȶƦ楠슳ȶ@醭ꙩ뭹弳丶退쭰䶎翽쬸䶎翽蒠〡ȶ⇠⼩ȶƦ牰슳ȶ@椶耀뭱忋伶退쭰䶎翽쬸䶎翽〡ȶ㘠⼩ȶƦȶ鉀쉫ȶ@ȶ뭉心倀耀ༀ묶ȶ⢀묶ȶༀ묶ȶƏᒣ꿱橰ųȿ뭁忛儀耀᠀묶ȶᖀ묶ȶᘀ묶ȶā ਂ뭙忓制退쭰䶎翽쬸䶎翽떠〡ȶ鴐⼩ȶƦ퐰쉫ȶ@ꓴ蟍뭑快匀耀ༀ묶ȶ⢀묶ȶༀ묶ȶĂ묩忣吀退쭰䶎翽쬸䶎翽쎠〡ȶ辐⼩ȶƦȶ퓐쉫ȶ@焀耀묡忻啯耀ꮀ묶ȶက묶ȶꮀ묶ȶ﫶촋瓩爕ᰧࠉ묹忳噦耀᠀묶ȶጀ묶ȶᘀ묶ȶ䔀뼮숎쥽抝풙Ӗ䳅ċ묱律圀耀ጀ묶ȶᖀ묶ȶጀ묶ȶÍ夎묉徃堶退쭰䶎翽쬸䶎翽〡ȶ⩐⼩ȶƦȶ瀰쉫ȶ@묁徛夀退쭰䶎翽쬸䶎翽〡ȶ朐⼩ȶƦ芠쉫ȶ@嬔ՙ묙従娀退쭰䶎翽쬸䶎翽㥠〡ȶᘐ⼩ȶƦ垀쉫ȶ@礀耀묑徫嬶耀ጀ묶ȶᖀ묶ȶጀ묶ȶ̂믩徣尀退쭰䶎翽쬸䶎翽ߠ〢ȶ掰⼩ȶƦ限쉫ȶ@〃犿믡徻崀耀᪀묶ȶẀ묶ȶ䢀묶ȶāƊ&#10;ȀȀ믹徳帶耀묶ȶᓠ⾠ȶ鈀묶ȶ໲鞓篶溲抋澴騒ĉ믱幋彩退쭰䶎翽쬸䶎翽易〡ȶ㋀⼩ȶƦ蝐쉫ȶ@学跷믉幃怀耀ᤀ묶ȶẀ묶ȶᤀ묶ȶĂ믁幛愶退쭰䶎翽쬸䶎翽à〢ȶ㦀⼩ȶƦ驠쉫ȶ@믙幓戀退쭰䶎翽쬸䶎翽ꬠ〡ȶ뒰⼩ȶƦȶ됀쉫ȶ@믑幫挶退쭰䶎翽쬸䶎翽銠〡ȶ⢠⼩ȶƦȶ勐쉫ȶ@ȶ蔶耀뮩幣搶耀묵ȶȀ묶ȶ묵ȶÓĎ뮡幻攀退쭰䶎翽쬸䶎翽끠〡ȶ焰⼩ȶƦcr븀쉫ȶ@in뮹平昳退쭰䶎翽쬸䶎翽뤠〡ȶ봠⼩ȶƦ46윐쉫ȶ@ocft뮱帋来退쭰䶎翽쬸䶎翽ꥠ〡ȶ恐⼩ȶƦ窀쉫ȶ@7G뮉布框耀᪀묶ȶᤀ묶ȶ䢀묶ȶ관ȋ뮁帛椀退쭰䶎翽쬸䶎翽赠〡ȶ ⼩ȶƦ〠쉫ȶ@禂誏贀耀뮙帓樶退쭰䶎翽쬸䶎翽讠〡ȶ佰⼩ȶƦȶ撰슳ȶ@ȶȶ뮑師欀退쭰䶎翽쬸䶎翽阠〡ȶǐ⼩ȶƦȶ兀쉫ȶ@ȶ롩帣汵退쭰䶎翽쬸䶎翽쪠〡ȶੀ⼩ȶƦ汰쉫ȶ@논颜鄀耀롡帻洶耀຀묶ȶ▀묶ȶ຀묶ȶÓĎ롹帳渀退쭰䶎翽쬸䶎翽챠〡ȶ勐⼩ȶƦȶ낐쉫ȶ@롱廋漀退쭰䶎翽쬸䶎翽〡ȶᄀ⼩ȶƦꏀ쉫ȶ@丶ꇰ销耀롉廃瀶退쭰䶎翽쬸䶎翽쀠〡ȶꜰ⼩ȶƦȶ타쉫ȶ@ȶ脀耀롁廛焀退쭰䶎翽쬸䶎翽习〡ȶ䩠⼩ȶƦȶ朠쉫ȶ@ȶ롙廓爀退쭰䶎翽쬸䶎翽淠〡ȶ╀⼩ȶƦ斠슳ȶ@죶쪀餀耀롑廫猶退쭰䶎翽쬸䶎翽〡ȶᑠ⼩ȶƦ紀쉫ȶ@렩廣琀耀ꮀ묶ȶက묶ȶꮀ묶ȶ鏈⫭㼗ҩ祩㞊⸋䢞̉렡廻甀退쭰䶎翽쬸䶎翽＠〡ȶ㑰⼩ȶƦ鞐쉫ȶ@ꟹ鴀耀령廳瘶耀⠀묶ȶ຀묶ȶ℀묶ȶȋ렱庋眀退쭰䶎翽쬸䶎翽〡ȶ䰐⼩ȶƦ血쉫ȶ@䗖中\M렉広硦退쭰䶎翽쬸䶎翽䤠〡ȶ⽠⼩ȶƦhe䭐쉫ȶ@GG렁庛礷退쭰䶎翽쬸䶎翽䁠〡ȶ۠⼩ȶƦH2敀쉫ȶ@렙库稀退쭰䶎翽쬸䶎翽눠〡ȶ庠⼩ȶƦȶ虠쉫ȶ@ȶ렑庫笀耀຀묶ȶ▀묶ȶ຀묶ȶȂ룩庣簶耀᐀묶ȶༀ묶ȶኀ묶ȶȋ룡庻紀退쭰䶎翽쬸䶎翽ﵠ〡ȶ㳠⼩ȶƦ諀쉫ȶ@㥋鹶룹庳縀退쭰䶎翽쬸䶎翽〡ȶཐ⼩ȶƦ긐쉫ȶ@ਘ蠞꤀耀룱奋缶退쭰䶎翽쬸䶎翽ꐠ〡ȶ䷀⼩ȶƦ賰쉫ȶ@튾횾룉奃耀退쭰䶎翽쬸䶎翽遠〢ȶ矰⼩ȶƦ캠쉪ȶ@町ḕ룁奛脀耀㜀묶ȶ㪀묶ȶ㜀묶ȶဂ룙奓舶耀䜀묶ȶ䄀묶ȶⰀ묶ȶ鈀䉰낑㫔ꑾش㋁휃ऋ룑奫茀耀䄀묶ȶ⮀묶ȶ䄀묶ȶİ墉芯披Ȏ뢩奣萀退쭰䶎翽쬸䶎翽⁠〢ȶ馰⼩ȶƦೀ쉬ȶ@ڹ緊넀耀뢡奻蔶耀澀묶ȶ炀묶ȶ皀묶ȶāɞȋ뢹女虳退쭰䶎翽쬸䶎翽绠〢ȶ魠⼩ȶƦȶǐ쉬ȶ@뢱夋蜀退쭰䶎翽쬸䶎翽애〡ȶ检⼩ȶƦȶ쯀쉫ȶ@ȶ딀耀뢉夃蠶耀㘀묶ȶ殀묶ȶ䐀묶ȶ똼걡瞉첑氉ĉ뢁夛襜退쭰䶎翽쬸䶎翽矠〢ȶꖀ⼩ȶƦeF⚀쉪ȶ@RB5E뢙夓詇退쭰䶎翽쬸䶎翽瑠〢ȶ판⼩ȶƦ쉫ȶ@르耀뢑夫謶退쭰䶎翽쬸䶎翽㜠〢ȶ狠⼩ȶƦȶ⩀쉪ȶ@ȶai륩夣谀退쭰䶎翽쬸䶎翽匠〢ȶ谰⼩ȶƦ㢠쉪ȶ@錱륡夻贺退쭰䶎翽쬸䶎翽멠〢ȶ꣠⼩ȶƦ쬰쉪ȶ@㲁㹹뵤耀륹夳踶蠀륱始輀退ば䯆翽㈀묶ȶ10B051B-躐⚍ȶ栰⡹ȶă翽љ륉姃遏蠀륁姛鄶退쭰䶎翽쬸䶎翽〢ȶ筐⼩ȶƦ鍻睰슳ȶ@髍䑜ૼ鍻'륙姓鈀退ば䯆翽㎀묶ȶ⛶䊯隟疈⬮ۓ¬鵰뭞ȶ彰⡹ȶ⛳䊯隟疈⬮ۓ°륑姫鍇退ば䯆翽㐀묶ȶ髍䑜➑빬䳾玶˧蠀⚍ȶ栰⡹ȶ꼳䶵ૼ鍻'뤩姣鐶退ば䯆翽㒀묶ȶᔶ佴馭⹑䜢嘰Β鑰뭞ȶ彰⡹ȶ髃䑜➑빬䳾玶ˉ뤡姻销耀䔀묶ȶ䎀묶ȶ㶀묶ȶā½Ď뤹姳陒退쭰䶎翽쬸䶎翽유〡ȶ橰⼩ȶƦeg쵐쉫ȶ@d쥓耀뤱妋霶耀ꮀ묶ȶ⺀묶ȶꮀ묶ȶ⦀뉤ᴛ牬먒ĉ뤉妃頀退쭰䶎翽쬸䶎翽殠〢ȶ限⼩ȶƦcr︐쉫ȶ@egOX뤁妛餢耀⬀묶ȶ㪀묶ȶ㼀묶ȶā᭺Ď뤙妓驴退쭰䶎翽쬸䶎翽ហ〢ȶ淐⼩ȶƦ.0쉫ȶ@QD뤑妫鬵退쭰䶎翽쬸䶎翽犠〢ȶ钠⼩ȶƦ쉫ȶ@⹡岊맩妣鱴退쭰䶎翽쬸䶎翽撠〢ȶ귰⼩ȶƦܠ쉬ȶ@옣떝텲耀맡妻鴶退쭰䶎翽쬸䶎翽⤠〢ȶ뙠⼩ȶƦᓠ쉬ȶ@Ꮵ뵍on맹妳鸀退쭰䶎翽쬸䶎翽漠〢ȶ聠⼩ȶƦȶｐ쉫ȶ@맱塋齆退쭰䶎翽쬸䶎翽⫠〢ȶꪐ⼩ȶƦȶᶠ쉬ȶ@ȶ핧耀막塃ꀶ耀⬀묶ȶ㜀묶ȶ㼀묶ȶ鈝볺ጋ링塛ꄀ退쭰䶎翽쬸䶎翽塠〢ȶ은⼩ȶƦ┠쉬ȶ@맙塓ꈀ退쭰䶎翽쬸䶎翽⹠〢ȶ璐⼩ȶƦȶ≐쉬ȶ@耀맑填ꌶ退쭰䶎翽쬸䶎翽哠〢ȶ黀⼩ȶƦȶ쉫ȶ@ȶ릩塣ꐀ退쭰䶎翽쬸䶎翽槠〢ȶꁰ⼩ȶƦ쉫ȶ@괾穠릡塻ꔀ退쭰䶎翽쬸䶎翽兠〢ȶ氠⼩ȶƦegῐ쉬ȶ@FT耀릹塳꘶耀㔀묶ȶ䎀묶ȶ㔀묶ȶİȎ릱堋꜀退쭰䶎翽쬸䶎翽᳠〢ȶ鋰⼩ȶƦ쉫ȶ@ꝓ氉릉堃ꠀ退쭰䶎翽쬸䶎翽嶠〢ȶ뻐⼩ȶƦȠ쉬ȶ@阨Ҝ耀릁堛ꤶ耀㜀묶ȶ㪀묶ȶ㜀묶ȶŶ䫓즖芠Ȏ릙堓ꨀ退쭰䶎翽쬸䶎翽㿠〢ȶ렐⼩ȶƦ㒐쉪ȶ@견rs릑堫ꬸ退쭰䶎翽쬸䶎翽ᬠ〢ȶ삀⼩ȶƦ㍐쉪ȶ@町ḕ\0빩堣걑退쭰䶎翽쬸䶎翽浠〢ȶ숰⼩ȶƦ✠쉪ȶ@BT빡堻관耀䜀묶ȶ⮀묶ȶⰀ묶ȶāˌȎ빹堳글退쭰䶎翽쬸䶎翽娠〢ȶ츀⼩ȶƦᡐ쉬ȶ@纃暸耀빱壋꼶耀ր哋翽翽翽빉壃끮退쭰䶎翽쬸䶎翽㕠〢ȶ얐⼩ȶƦȶ㏰쉪ȶ@빁壛넀退쭰䶎翽쬸䶎翽䷠〢ȶ뭰⼩ȶƦȶ⸰쉬ȶ@ȶ耀빙壓눶耀䔀묶ȶ㔀묶ȶ㶀묶ȶซ빑士대耀ꮀ묶ȶ⺀묶ȶꮀ묶ȶ⦀뉤ᴛ牬먒܉븩壣됀退쭰䶎翽쬸䶎翽㇠〢ȶ澀⼩ȶƦ⮰쉬ȶ@䲷耀븡壻딶耀㔀묶ȶ䎀묶ȶ㔀묶ȶ܂븹壳똀退쭰䶎翽쬸䶎翽鲠〢ȶ대⼩ȶƦ獠쉪ȶ@ṛ븱墋뜀退쭰䶎翽쬸䶎翽〢ȶ맀⼩ȶƦȶ酠쉪ȶ@ȶ耀ば⠪ȶ븉境렶退쭰䶎翽쬸䶎翽䆠〢ȶꏐ⼩ȶƦȶ猪쉫ȶ@&quot; 븁墛뤀耀䄀묶ȶ⮀묶ȶ䄀묶ȶं븙墓멤退ば䯆翽䞀묶ȶtime Exe走뭞ȶ彰⡹ȶcd.љ븑墫묶退쭰䶎翽쬸䶎翽素〢ȶ頀⼩ȶƦȶנּ쉫ȶ@୲耀뻩墣뱲耀ᤀ묶ȶẀ묶ȶᤀ묶ȶĂÙ狔⥅釼Ď뻡墻뵜退쭰䶎翽쬸䶎翽侠〢ȶ癀⼩ȶƦFE埠쉪ȶ@ﴺ耀뻹墳빯退쭰䶎翽쬸䶎翽䩠〢ȶꈠ⼩ȶƦFo쉫ȶ@ȶtF뻱孋뼀退쭰䶎翽쬸䶎翽❠〢ȶ텠⼩ȶƦcrઐ쉬ȶ@Mo뻉孃쁐退ば䯆翽䪀묶ȶ烠묽ȶⴐ䈖翽帰뭣ȶ彰⡹ȶӣ䈗翽뻁孛섶退쭰䶎翽쬸䶎翽〢ȶ챐⼩ȶƦȶ碰슳ȶ@&quot; 뻙孓숀退ば䯆翽䮀묶ȶārenMat鮀⚍ȶ栰⡹ȶ뻑孫썩蠀∈䯝翽ᷠ䯝翽꜐ぴȶꜘぴȶꜘぴȶℰ䯝翽≰䯝翽⇀䯝翽倠묂ȶ뺩季쐶退ば䯆翽䲀묶ȶ꺠⚍ȶ栰⡹ȶag&quot;뺡孻씀蠀∈䯝翽ᷠ䯝翽gLay꩐ぴȶ꩘ぴȶ꩘ぴȶℰ䯝翽tera≰䯝翽⇀䯝翽ckerInfo嶠묂ȶ！뺹孳완退ば䯆翽䶀묶ȶᔶ佴馭⹑䜢嘰Β냠⚍ȶ栰⡹ȶ髃䑜➑빬䳾玶ˉ뺱嬋윶退ば䯆翽一묶ȶ꼺䶵ૼ鍻*론⚍ȶ栰⡹ȶᔳ佴馭⹑䜢嘰Ή뺉嬃저退ば䯆翽亀묶ȶ烠묽ȶⴐ䈖翽꩐⚍ȶ栰⡹ȶӣ䈗翽뺁嬛쥧退ば䯆翽伀묶ȶ묶ȶ䴂묶ȶ戰뭣ȶ彰⡹ȶ븃嬜ൻ老뺙嬓쨶退ば䯆翽侀묶ȶ嬣䣯垴黅ӈÀꅐ⚍ȶ栰⡹ȶ꼳䶵ૼ鍻µ뺑嬫쬀退ば䯆翽倀묶ȶāntiiesꠐ⚍ȶ栰⡹ȶ뽩嬣챆蠀∈䯝翽ᷠ䯝翽껐ぴȶ께ぴȶ께ぴȶℰ䯝翽 ≰䯝翽⇀䯝翽愀灭 寀묂ȶ眀੬뽡嬻촶退쭰䶎翽쬸䶎翽쨠〢ȶ걀⼩ȶƦ漰뫵ȶ@Ñ崸ff뽹嬳칥退ば䯆翽冀묶ȶ髍䑜➑빬䳾玶˧丰뭣ȶ彰⡹ȶ꼳䶵ૼ鍻'뽱寋켺退쭰䶎翽쬸䶎翽뛠〢ȶ쏠⼩ȶƦȶ褀뭨ȶ@ᔀ老뽉寃퀶蠀∈䯝翽ᷠ䯝翽ꭐぴȶꭘぴȶꭘぴȶℰ䯝翽 ≰䯝翽⇀䯝翽 &#10;忀묂ȶ+뽁寛턀蠀∈䯝翽ᷠ䯝翽렄Ṕ膊ᕔ넀ぴȶ너ぴȶ너ぴȶℰ䯝翽≰䯝翽⇀䯝翽擠묂ȶ騂䑜➑빬뽙寓툀退ば䯆翽厀묶ȶ묶ȶ　⠪ȶ酰뭞ȶ彰⡹ȶ뼃寔ᥴ老뽑寫팶退ば䯆翽吀묶ȶꉰ⚍ȶ栰⡹ȶMod뼩寣퐀退ば䯆翽咀묶ȶā044500䨰뭣ȶ彰⡹ȶ뼡寻픠退ば䯆翽唀묶ȶ묶ȶ　⠪ȶ娰뭣ȶ彰⡹ȶ뼃导ᴳ老뼹寳혶退ば䯆翽喀묶ȶꀰ⚍ȶ栰⡹ȶ&quot;, 뼱宋휀退ば䯆翽嘀묶ȶꪀをȶ⹫ȶ嘰뭣ȶ彰⡹ȶԓ섋䭧䂧⎺乣숓꽦뼉它退ば䯆翽嚀묶ȶā묶ȶ　⠪ȶ诀⚍ȶ栰⡹ȶ뼃宄℠老뼁宛退ば䯆翽圀묶ȶ겐⚍ȶ栰⡹ȶ宜葉耀뼙宓退ば䯆翽垀묶ȶWai唰뭣ȶ彰⡹ȶ뼑宫退ば䯆翽堀묶ȶ烠묽ȶⴐ䈖翽뗰⚍ȶ栰⡹ȶӣ䈗翽뿩宣退ば䯆翽墀묶ȶ烠묽ȶⴐ䈖翽弰뭣ȶ彰⡹ȶӣ䈗翽뿡宻退ば䯆翽夀묶ȶ&quot;1F0D2껐⚍ȶ栰⡹ȶ뿹害退쭰䶎翽쬸䶎翽욠〢ȶ쾰⼩ȶƦ睐뫵ȶ@狣猲e\뿱婋退ば䯆翽娀묶ȶ0\0ꭀ⚍ȶ栰⡹ȶPGM뿉婃退ば䯆翽媀묶ȶXBT倰뭣ȶ彰⡹ȶ뿁婛退ば䯆翽嬀묶ȶ烠묽ȶⴐ䈖翽갰⚍ȶ栰⡹ȶӣ䈗翽뿙婓退ば䯆翽宀묶ȶ挰뭣ȶ彰⡹ȶta.뿑婫退ば䯆翽尀묶ȶāue,到뭣ȶ彰⡹ȶ뾩婣退ば䯆翽岀묶ȶ髍䑜➑빬䳾玶˄맠⚍ȶ栰⡹ȶ髃䑜➑빬䳾玶̈뾡婻退ば䯆翽崀묶ȶ烠묽ȶⴐ䈖翽夰뭣ȶ彰⡹ȶӣ䈗翽°뾹婳退ば䯆翽嶀묶ȶ烠묽ȶⴐ䈖翽䣐⚍ȶ栰⡹ȶӣ䈗翽뾱娋蠀∈䯝翽ᷠ䯝翽ꮰぴȶꮸぴȶꮸぴȶℰ䯝翽 ≰䯝翽⇀䯝翽＀ &#10;忠묂ȶ+뾉娃退ば䯆翽庀묶ȶ吰뭣ȶ彰⡹ȶ뾁娛退쭰䶎翽쬸䶎翽藠〢ȶ紀⼩ȶƦȶ迠뭨ȶ@뾙娓退ば䯆翽往묶ȶ묶ȶ、⠪ȶꄠ⚍ȶ栰⡹ȶ뼃娔㤀老뾑娫退ば䯆翽怀묶ȶ䴰뭣ȶ彰⡹ȶ뱩娣退ば䯆翽悀묶ȶ娡฀老估뭣ȶ彰⡹ȶ뱡娻退ば䯆翽愀묶ȶā묶ȶ띀⚍ȶ栰⡹ȶ밃娼㴀老뱹娳退쭰䶎翽쬸䶎翽餠〢ȶ념⼩ȶƦȶ瓐뫵ȶ@ᄀ老뱱嫋退쭰䶎翽쬸䶎翽춠〢ȶ쪠⼩ȶƦ46腰슳ȶ@ft뱉嫃退ば䯆翽技묶ȶāleC儰뭣ȶ彰⡹ȶG7G뱁嫛退ば䯆翽挀묶ȶVHJ陰뭞ȶ彰⡹ȶ뱙嫓退ば䯆翽掀묶ȶ䜰뭣ȶ彰⡹ȶ뱑嫫退ば䯆翽搀묶ȶā묶ȶ挂묶ȶ䠰뭣ȶ彰⡹ȶ밃嫬䔀老방嫣蠀∈䯝翽ᷠ䯝翽뉀ぴȶ뉈ぴȶ뉈ぴȶℰ䯝翽 ≰䯝翽⇀䯝翽 惠묂ȶ+밡嫻蠀∈䯝翽ᷠ䯝翽＀뉐ぴȶ뉘ぴȶ뉘ぴȶℰ䯝翽 ≰䯝翽⇀䯝翽 娠묂ȶ翽밹嫳退ば䯆翽斀묶ȶ꼺䶵ૼ鍻*鿐⚍ȶ栰⡹ȶᔳ佴馭⹑䜢嘰Ή백媋退ば䯆翽昀묶ȶ譠⚍ȶ栰⡹ȶ밉媃退ば䯆翽暀묶ȶ꼺䶵ૼ鍻*地뭣ȶ彰⡹ȶᔳ佴馭⹑䜢嘰Ή밁媛豈退쭰䶎翽쬸䶎翽〢ȶ纰⼩ȶƦXP称슳ȶ@en䴀老밙媓喝退ば䯆翽枀묶ȶ怰뭣ȶ彰⡹ȶ밑媫ﬀ退ば䯆翽栀묶ȶꒀ⚍ȶ栰⡹ȶ볩媣ﰀ退ば䯆翽梀묶ȶ묶ȶ栁묶ȶ뮐⚍ȶ栰⡹ȶ밃媤儀老볡媻ﴶ退ば䯆翽椀묶ȶ堰뭣ȶ彰⡹ȶ媼଀耀볹媳︀退ば䯆翽榀묶ȶ烠묽ȶⴐ䈖翽므⚍ȶ栰⡹ȶӣ䈗翽볱啋＀退쭰䶎翽쬸䶎翽螠〢ȶ꾠⼩ȶƦȶ桐뫵ȶ@ȶ唀老볉啃6送ば䯆翽檀묶ȶ힀뭞ȶ彰⡹ȶl\M볁啛Ŧ送ば䯆翽欀묶ȶāOffceF꺀뭞ȶ彰⡹ȶFGG볙啓ȷ老⺀묶ȶ鈀묶ȶꖀ묶ȶ쓿벡櫦츤成뽒ꏹ塚Љ병啫̶送ば䯆翽氀묶ȶā㺀⚍ȶ栰⡹ȶ啬⤀老벩啣Ѐ送ば䯆翽沀묶ȶ㼐⚍ȶ栰⡹ȶ벡啻Ԁ送ᤨ䯄翽览゜ȶᦨ䯄翽麐ⷝȶ᫠䯄翽ꀐⷝȶᬘ䯄翽쫐ⶍȶ裘䯄翽飰ⷝȶڸ䯅翽쨐ⶍȶ嘰䯵翽䯅翽벹啳ض蠁ᝣȶ曀⺗ȶᝣȶa46ppᄀ벋ȶ矰ⶮȶ砠ⶮȶ砠ⶮȶⅴ쥜ϿꨈϿ瞰ⶮȶ벱唋܀送ば䯆翽渀묶ȶāꢀ뭞ȶ彰⡹ȶseS벉唃ࠀ蠁결⽜ȶ镰⡓ȶᐰ⽝ȶ㡀⼻ȶ⻰뭠ȶ⼠뭠ȶ⼠뭠ȶ쑔皋р류脏рⴰ뭠ȶ벁唛श蠁やꨠ翽灰葌翽恐䬲翽༰⟯ȶ벙唓਀老ⴀ묶ȶ炀묶ȶⴀ묶ȶЂ벑唫଀送ば䯆翽瀀묶ȶ묶ȶ挂묶ȶ䌰⚍ȶ栰⡹ȶ봃唬攀老뵩唣శ老澀묶ȶⴀ묶ȶ皀묶ȶ姊祯泒Ћ뵡唻ഀ送ば䯆翽焀묶ȶ匰뭣ȶ彰⡹ȶ뵹唳฀送⪨䈖翽瑮摉⇀벮ȶroĂ搰Ư뵱嗋༶老笀묶ȶ简묶ȶ麀묶ȶāċ뵉嗃က送ば䯆翽犀묶ȶ꾀뭞ȶ彰⡹ȶ뵁嗛ᄀ蠁∈䯝翽ᷠ䯝翽t.Of뀰ぴȶ뀸ぴȶ뀸ぴȶℰ䯝翽ate.≰䯝翽⇀䯝翽outButto柠묂ȶeta뵙嗓ቜ送ば䯆翽玀묶ȶāce\6.0몀뭞ȶ彰⡹ȶD5E뵑嗫ፇ送ば䯆翽琀묶ȶ搰뭣ȶ彰⡹ȶoxe봩嗣᐀送ば䯆翽璀묶ȶā묶ȶ叠⚍ȶ栰⡹ȶ봃嗤焀老봡嗻ᔶ送ば䯆翽甀묶ȶ늀뭞ȶ彰⡹ȶ봹嗳ᘀ鐁Microsoft.Office.OEP.ChangeGate.AddinFlyoutButtonType봱喋ᜀ送⪨䈖翽.F獀りȶCSĂ漗_봉喃ᠶ老ⴀ묶ȶ炀묶ȶⴀ묶ȶųÜe夎봁喛ᤀ送C:\Users\a467287\OneDrive - Enel Spa\CAMPI NOVOLIĀ봙喓ᨀ送ば䯆翽瞀묶ȶ묶ȶ䰰뭣ȶ彰⡹ȶ봃喔礀老봑喫ᬶ送https://enelcom.sharepoint.com/sites/Engineeringmgmt漗뷩喣ᰀ蠁ﾨ哊翽iluntime Execute forCam妈哌缀cesslsx缁뷡喻ᴀ送https://enelcom.sharepoint.com/sites/PolizziGenerosaWF뷹喳Ḷ送https://enelcom.sharepoint.com/sites/PolizziGenerosaWF뷱呋ἀ送ば䯆翽稀묶ȶ堰⚍ȶ栰⡹ȶ뷉呃 老ꮀ묶ȶꖀ묶ȶꮀ묶ȶ쓿벡櫦츤成뽒ꏹ塚Љ뷁呛ℶ老爀묶ȶ简묶ȶ爀묶ȶข뷙呓∀老笀묶ȶ爀묶ȶ麀묶ȶĀ¬&#10;ȿࠋ뷑呫⍴送ば䯆翽簀묶ȶoftOff勰⚍ȶ栰⡹ȶBQD붩呣␵送https://enelcom.sharepoint.com/sites/Engineeringmgmt搰Ŕ붡呻─送C:\Users\a467287\OneDrive - Enel Spa\santa croce TS WTG붹味☀送ば䯆翽綀묶ȶ묶ȶ횀뭞ȶ彰⡹ȶ봃呴褀老붱吋✶送C:\Users\a467287\OneDrive - Enel Spa\santa croce TS WTG搰Ư붉吃⠀送Microsoft.Office.Excel.ChangeGate.PartialRecalcFixeshar북君⥥送ば䯆翽缀묶ȶ묶ȶ輀묶ȶ唰⚍ȶ栰⡹ȶ봃吜贀老붙吓⨶送ば䯆翽羀묶ȶ캀뭞ȶ彰⡹ȶ붑含⬀送ば䯆翽耀묶ȶā吩嘀老䈐⚍ȶ栰⡹ȶ뉩吣Ⰰ送ば䯆翽肀묶ȶ攰뭣ȶ彰⡹ȶ눃吤鄀老뉡吻ⴶ送ば䯆翽脀묶ȶ䬐⚍ȶ栰⡹ȶ吼夀老뉹吳⸀送ᤨ䯄翽薸゜ȶ᫠䯄翽锰ⷝȶᬘ䯄翽酠ⶎȶ裘䯄翽鹠ⷝȶڸ䯅翽鋠ⶎȶ랐䯢翽璈䯫翽侠䯵翽ᒰ⡫ȶ뉱哋⼀送C:\Users\a467287\OneDrive - Enel Spa\CAMPI NOVOLI漗뉉哃〶送ば䯆翽芀묶ȶ尰뭣ȶ彰⡹ȶ뉁哛㄀送ば䯆翽茀묶ȶ愰뭣ȶ彰⡹ȶ뉙哓㈀送ば䯆翽莀묶ȶā묶ȶ攂묶ȶ䌀⚍ȶ栰⡹ȶ눃哔餀老뉑哫㌶送ば䯆翽萀묶ȶ䪀⚍ȶ栰⡹ȶers눩哣㐸送ば䯆翽蒀묶ȶl\Mꦀ뭞ȶ彰⡹ȶ0\0눡哻㕑送ば䯆翽蔀묶ȶFGG嬀⚍ȶ栰⡹ȶNAM눹哳㘀送ば䯆翽薀묶ȶā愰⚍ȶ栰⡹ȶ눱咋㜀送ば䯆翽蘀묶ȶā䤰뭣ȶ彰⡹ȶ눉咃㠀送ば䯆翽蚀묶ȶā묶ȶ嬰뭣ȶ彰⡹ȶ눃咄ꄀ老눁咛㤶送ば䯆翽蜀묶ȶ䁠⚍ȶ栰⡹ȶ눙咓㨀送ば䯆翽螀묶ȶ因⚍ȶ栰⡹ȶ눑咫㬀鐁Microsoft.Office.OEP.ChangeGate.AddinFlyoutButtonTypeꔀ老旰묶ȶ닩咣㰶送ば䯆翽袀묶ȶ䦐⚍ȶ栰⡹ȶ닡咻㴀送ば䯆翽褀묶ȶ䬰뭣ȶ彰⡹ȶ당咳㸀送ば䯆翽覀묶ȶ묶ȶ凐⚍ȶ栰⡹ȶ눃咴꤀老닱坋㽯送ば䯆翽言묶ȶl.RchP뺀뭞ȶ彰⡹ȶ닉坃䀀老ꮀ묶ȶꖀ묶ȶꮀ묶ȶ쓿벡櫦츤成뽒ꏹ塚̉닁坛䄀老ꢀ묶ȶ鎀묶ȶꢀ묶ȶ؂닙坓䈶老ꉸ䶎翽敔慮瑮摉CA-8FBE-496B-A264-0EBD3F4883A8@⺓ȶ닑坫䌀老⾟ȶ⾟ȶ⾟ȶā俾뾃䫈鼗㗠鈨ȿ؉늩坣䐀訁i:0#.f|membership|francesco.tamma@enel.com坰䈲翽늡坻䕲送microsoft.office.excel.lookuprangesizelimitsmallceF leC늹坳䙜蠁黀⺗ȶ钀묶ȶ贠〬ȶCSww䩐⠪ȶ礰ⶮȶ祠ⶮȶ祠ⶮȶٵЃ꣐቙Ѓ砰ⶮȶ늱國䜀送C:\Users\a467287\OneDrive - Enel Spa\santa croce TS WTG늉圃䡯老屸䶘翽潄c䀰슈ȶ躸묶ȶ坰䈲翽ꕐ⼉ȶ軘묶ȶ岐䶘翽殰䳨翽쫠⽽ȶ늁圛䤀送https://enelcom.sharepoint.com/sites/PolizziGenerosaWF늙圓䨀老ꢀ묶ȶ鎀묶ȶꢀ묶ȶųeȿ؎늑圫䬶送C:\Users\a467287\OneDrive - Enel Spa\CAMPI NOVOLIᰋ뫚ȶ덩圣䰀老ꉸ䶎翽硅tabel_797ad33d-ed35-43c0-b526-22bc8lsx덡圻䴀送rt:B635C0CA-8FBE-496B-A264-0EBD3F4883A8@00000000509덹圳丶蠁钠䫉翽ȶ㔱㤰2잘뱠俰䢀㮆礐芝䍭泰㵸㩢Ǜꍧ﫨㫴Ȁ泰㵸㩢Ǜ꩜⌘砙䯘箥뷳눪덱埋伀老殀묶ȶᦀ묶ȶ⾟ȶ⨨齘댵乨ȿԉ덉埃倀老ꉸ䶎翽硅t쬸䶎翽ņlsx덁埛兯老懸К翾戰К翾 Ѣ덙埓刀老謀묶ȶꢀ묶ȶ辀묶ȶ쬀ᝓㇵ娻苣蛼팲夋덑埫匀老懸К翾戰К翾Ѽ fୠ댩埣吶蠁趀묶ȶ㵰⹬ȶꐀ묶ȶSeryy꽰♧ȶ蝐⸥ȶ螀⸥ȶ螀⸥ȶ蝕Є釫Є踐⸥ȶ댡埻售送C:\Users\a467287\OneDrive - Enel Spa\CAMPI NOVOLIĂ댹埳嘀送C:\Users\a467287\OneDrive - Enel Spa\Solutions Fase BD댱型坥送C:\Users\a467287\OneDrive - Enel Spa\Solutions Fase BD댉垃堀送C:\Users\a467287\OneDrive - Enel Spa\santa croce TS WTG댁垛夀送C:\Users\a467287\OneDrive - Enel Spa\santa croce TS WTG댙垓娶送C:\Users\a467287\OneDrive - Enel Spa\CAMPI NOVOLIᰋ뫚ȶ댑垫孮送Microsoft.Office.Excel.LookupRangeSizeLimitSmall 돩垣尀蠁䷠䳙翽껀䳮翽Ă87⵱ȶ⤍ȶ돡垻崶老ꘀ묶ȶꚀ묶ȶꞀ묶ȶāȂ돹垳帀送浠䳚翽ȶ⸔ȶ䳝翽成䱎翽09??0馨묶ȶĀey돱噋开送C:\Users\a467287\OneDrive - Enel Spa\Solutions Fase BD돉噃怶送懸К翾懀К翾诰゗ȶѺeᗀ뫸ȶ췤돁噛愮送C:\Users\a467287\OneDrive - Enel Spa\Solutions Fase BD동噓戀老懸К翾戰К翾V%ƺ돑噫挶老ꉸ䶎翽硅tilxetelsx뎩噣搀老屸䶘翽潄cabel_797ad33d-ed35-43c0-b526-22bc8鳘묶ȶ岐䶘翽殰䳨翽⽽ȶ뎡噻敮老ꉸ䶎翽煆湤bel_797ad33d-ed35-43c0-b526-22bc8⽽ȶۓČ뎹噳昶送⾇ȶꂀ묶ȶ퀀Ɛ&#10;Tri㾀er榀〄ȶ앰⺴ȶ연⺴ȶ연⺴ȶ܀ৰ뎱嘋最老懸К翾戰К翾ʚñÜe奒뎉嘃桦老爀묶ȶ简묶ȶ爀묶ȶųȎ뎁嘛楄老ꉸ䶎翽敔慮瑮摉.Office.Identity.ShouldEnablePo⼺ȶ뎙嘓樀送懸К翾懀К翾㱰⺔ȶƝѲVⵐ뫸ȶ蟠뎑嘫欀老屸䶘翽潄cileRuntime Execute for Cam successꁘ묶ȶ岐䶘翽殰䳨翽숐⽽ȶ끩嘣氶送鶀묶ȶ⽜ȶ Ɛ3d-㾀35甐〄ȶ떰⺴ȶ똰⺴ȶ똰⺴ȶ܁ৰ끡嘻浲送懸К翾懀К翾诰゗ȶȖf⸠뫸ȶୠ끹嘳渀老ꉸ䶎翽煆湤鍻(곇쒭⛶䊯隟疈⬮ۓĩ劢﷘ᔶ佴馭⹑䜢嘰Β䂏뀾꼺䶵ૼ鍻V⽽ȶۓĊ끱囋漶送C:\Users\a467287\OneDrive - Enel Spa\CAMPI NOVOLIᰎ뫚ȶ끉囃瀀老懸К翾戰К翾̆ผ끁四焀蠁騨䈙翽敔慮瑮摉F2-6A1C-4B5B-B0E2-8C517D171F9A@⺓ȶ$'끙囓父送MSIP_Label_797ad33d-ed35-43c0-b526-22bc83c17deb_SiteId끑囫猀蠁좠⾇ȶ钀묶ȶ净⺗ȶllT{{벊ȶ⠫ȶ⠫ȶ⠫ȶ嘄鈓Ћ䣴鸁Ћ⠫ȶ뀩団琀送C:\Users\a467287\OneDrive - Enel Spa\Solutions Fase BD뀡囻甶送C:\Users\a467287\OneDrive - Enel Spa\Solutions Fase BD뀹図瘀老窀묶ȶ殀묶ȶ誀묶ȶ쓿벡櫦츤成뽒ꏹ塚ȿԉ뀱嚋眀老餀묶ȶꚀ묶ȶ餀묶ȶԂ뀉嚃砶老ꘀ묶ȶ餀묶ȶꞀ묶ȶᬀ%ȿȋ뀁嚛祥老ꉸ䶎翽煆湤Docs.DocumentActivities.TransmitQ⽽ȶ뀙嚓稀老餀묶ȶꚀ묶ȶ餀묶ȶųĎ뀑嚫笶送C:\Users\a467287\OneDrive - Enel Spa\santa croce TS WTG냩嚣簀老謀묶ȶ鎀묶ȶ辀묶ȶāࠂ냡嚻紀老ꉸ䶎翽敔慮瑮摉load request finish with result⼻ȶ냹嚳縶蠁奰⹬ȶ镰⡓ȶ퀰⽜ȶ69¢¢쮠⼻ȶᒐ⠬ȶᓀ⠬ȶᓀ⠬ȶ坠ь뉐ㇼэᵐ⠬ȶ냱克缀送https://enelcom.sharepoint.com/sites/PolizziGenerosaWF냉元耀老욀묶ȶ얀묶ȶ윀묶ȶimeExecute for Camsucessfully finishd.냁兛脶老懸К翾戰К翾ԫyń냙兓舀老뚀묶ȶ⛠⾡ȶ瘦ȶāime Execute for Cam successfully finished.や냑八茀老픀묶ȶ캀묶ȶ묶ȶā납兣萶老뚀묶ȶ턀묶ȶ퐀묶ȶ䀐䀐ぷᰔ濼뺿䡼᧡缠횼0㆏ 䀐낡养蔀老ArialƐȀ  낹关蘀老䏘䳙翽桃楡敮呤条sȶ 砀ㅥ2낱儋蜶老㭘䶎翽쬸䶎翽Ʀ扱@킥낉儃蠀老㭘䶎翽쬸䶎翽Ʀ=䗛@ȶ낁儛褀老因䳚翽敆敤慲楴湯敔慮瑮摉ContextualUIFromResourceLo⻱ȶ낙儓試老㭘䶎翽쬸䶎翽Ʀ@낑儫謷老㭘䶎翽쬸䶎翽Ʀ扱@ᑐ녩儣谀老懸К翾戰К翾8@¢ȿૂ녡儻贶老㭘䶎翽쬸䶎翽Ʀ@녹儳踀老懸К翾戰К翾8U¢$ȏᛈ녱凋輀送MSIP_Label_797ad33d-ed35-43c0-b526-22bc83c17deb_SetDate녉凃逶蠁ᝣȶ蓰、ȶᝣȶ뱩ȶ餀⹳ȶⵥȶⵥȶⵥȶꥬЧ諀Чⵥȶ녁凛鄀老ArialʼȀ  녙凓鈀蠁譨䈕翽牆湯䑴潯r䰐슈ȶ뎸묶ȶ坰䈲翽䙁D녑凫錶老懸К翾戰К翾ԫÄ넩凣鐀老懸К翾戰К翾ԫń넡击销老ArialʼȀ  넹凳阶蠁騨䈙翽前剔捥牯獤숰슈ȶ떸묶ȶ坰䈲翽㄀⻭ȶìï넱冋需蠁騨䈙翽潃牲汥瑡潩噮捥潴r뭻ȶ똸묶ȶ坰䈲翽췐⼉ȶ浀〄ȶ넉冃頀老ꮀ묶ȶ검묶ȶꮀ묶ȶmovfor eviꨋ좁減类멓蘆⟼to batch d.넁军餶老㭘䶎翽쬸䶎翽Ʀ@ȶ넙冓騀老㭘䶎翽쬸䶎翽Ʀti@4/넑冫魜老ArialʼȀ  뇩冣鱇老ր哋翽ȶȶm_뇡冻鴀老屸䶘翽潄c.D怀䁠䀬류묶ȶ岐䶘翽殰䳨翽땐ㄼȶ䀬뇹决鸀老㭘䶎翽쬸䶎翽Ʀ@pt뇱偋鼶老ꉸ䶎翽煆湤LYe¨¶ÄÒàîúĆĒĞĪĶㄼȶ뇉偃ꀀ老⫐ĉ翷潗歲潢歯摉⻱ȶ뇁偛ꄀ老㭘䶎翽쬸䶎翽Ʀ@翽뇙偓ꈶ老㭘䶎翽쬸䶎翽Ʀ@ȶ뇑偫ꌀ蠁钠䫉翽㔱㤰2ꎅل惈䳕钖괙꟞ኅꁐ㩢Ǜ㫴ꁐ㩢Ǜ꩜⌘砙䯘箥뷳눪놩偣ꐀ老䏘䳙翽敓癲捩卥慴畴䙳慬獧慔g　〰0놡偻ꔶ老ꉸ䶎翽硅tileRuntime Execute for Cam successlsx놹偳ꘀ蠁屸䶘翽潄c瓠뭻ȶ붸묶ȶ坰䈲翽춰⼉ȶ뷘묶ȶ岐䶘翽殰䳨翽￀⽽ȶ놱個꜀老懸К翾戰К翾U|Ɔ景뱁ᴘ놉倃꠶老⋝焏ⴰĚ翷髀ķ翷ﶀ᥿ȶ`놁倛꤀老ꇠৡ㔱ⵏ뼀묶ȶ耀놙倓ꨀ老䏘䳙翽瑓瑡獵汆条味条 砀ㅥ2놑倫ꬶ老懸К翾戰К翾ԫ¯ń뙩倣건老懸К翾戰К翾Ǚeȿۗ뙡倻괵老ArialʼȀ&#10;&#10;뙹倳긶老Arial¨ʼȀ뙱僋꼀老뜘䂂翽∠䁹翽䫨⡨ȶ䫐⡨ȶ뙉僃뀀蠁ᝣȶ䴠⾈ȶᝣȶ摉枀⹳ȶ≀ⵦȶ≰ⵦȶ≰ⵦȶ⁜必в㛤ꁷв⪀ⵦȶ뙁僛녯老㭘䶎翽쬸䶎翽Ʀ=䗛@ȶ翽뙙僓눀蠁ꉸ䶎翽硅tabel_797ad33d-ed35-43c0-b526-22bc8xlsx뙑僫대老Arial~ƐȀ&#10;똩僣됶老懸К翾戰К翾ɀeȿۗ똡僻딀老䏘䳙翽慔gȶ뺀묶ȶ 䨀朷眀栴c똹僳똀老욀묶ȶꪀ묶ȶ윀묶ȶāmove operation for revision id to batchd.䀐똱傋뜶老⫐ĉ翷潗歲潢歯摉⡮ȶ똉傃렀老얀묶ȶꪀ묶ȶ얀묶ȶ똁傛뤀老얀묶ȶꪀ묶ȶ얀묶ȶӤㄻȶ똙傓먶送MSIP_Label_797ad33d-ed35-43c0-b526-22bc83c17deb_Name똑傫묀蠁騨䈙翽敓癲牥敒灳湯敳瑓瑡sȶ져묶ȶ坰䈲翽츐⼉ȶ梐〄ȶ뛩傣뱰蠁ꉸ䶎翽敔慮瑮摉둰슈ȶ좸묶ȶ坰䈲翽⺓ȶ$'뛡傻봸老因䳚翽敆敤慲楴湯牐癯摩牥摉Ц⻱ȶĀ뛹傳빑老㭘䶎翽쬸䶎翽Ʀ@翽a뛱卋뼀蠁ꉸ䶎翽煆湤菠뭻ȶ쨸묶ȶ坰䈲翽촰⼉ȶﺠ⽽ȶ뛉千쀶老묶ȶ묶ȶ묶ȶÀlsx뛁卛섀老㭘䶎翽쬸䶎翽Ʀoc@inache뛙卓숀谁Arial ƐȀ뛑卫쌶老㭘䶎翽쬸䶎翽Ʀ@ou뚩卣쐀老묶ȶ묶ȶ묶ȶcCotroller:PushEndoinƌOnCompleted뚡卻씀老힀묶ȶ묶ȶ힀묶ȶÀкৰㄼȶ紎⽦ȶ뚹即옶老묶ȶ묶ȶ묶ȶÀ뚱匋윀送CacheFile:{2587DFD3-A6D7-4902-867D-7277723029F1}ᰋ뫚ȶ뚉匃저老픀묶ȶ가묶ȶ묶ȶiceIdentity.ShouldnabePo㤀6뚁匛줶老묶ȶ묶ȶ묶ȶiceIdentity.Shouldnab뚙匓쨀老묶ȶ혀묶ȶ묶ȶāÀಐㄼȶ緐⽦ȶ뚑匫쬀老ꮀ묶ȶ묶ȶꮀ묶ȶÀꝀǼ֠乌ꮕᮢ紉⽦ȶ띩匣찶送ꡀ⺗ȶ술ⷽȶ॰쇣ȶ¿嚒娩溳䊂鮨쵣휦ঀ▇ꛗ䤂綆睲ひ휀묶ȶ07ﰨ⺘ȶ띡医촀老검묶ȶ묶ȶ묶ȶÀ踨ꇒｑ렧瘸맵詇紉⽦ȶ띹匳칲老묶ȶ묶ȶ묶ȶÀ띱友콜老묶ȶ묶ȶ묶ȶÀ紂⽦ȶ띉參큄老懸К翾戰К翾Ωhlݎ띁叛턀老횀묶ȶ묶ȶ햀묶ȶāÀԐㄼȶ緐⽦ȶ띙叓툶老㭘䶎翽쬸䶎翽Ʀrm@sh/main띑叫팀老ꮀ묶ȶ검묶ȶꮀ묶ȶ287al\Mcro⅕䢪ꗖ㾭龦閅ꩫﰃdows\INe Cac뜩口퐀谁Calibri»ƐȀ뜡叻픶老가묶ȶ캀묶ȶ가묶ȶÀ紂⽦ȶ뜹右혀老팀묶ȶ묶ȶ팀묶ȶÄĎ뜱压휀老묶ȶ쾀묶ȶ묶ȶÀຠㄼȶ紋⽦ȶ뜉厃老팀묶ȶ묶ȶ팀묶ȶiceIdentity.Shouldnab紂⽦ȶ뜁厛送CacheFile:{2587DFD3-A6D7-4902-867D-7277723029F1}뜙厓老묶ȶ묶ȶ촀묶ȶāice.Identity.ShouldEnablePo䴀倴偅う〰㔳ㅄ7뜑厫老묶ȶ힀묶ȶ촀묶ȶÀ言⿖ȶ럩厣老춀묶ȶ묶ȶ묶ȶāÀ묶ȶ岐䶘翽殰䳨翽搠ㄼȶ럡去老톀묶ȶ묶ȶ묶ȶāÀༀㄼȶ緐⽦ȶ럹厳老ꮀ묶ȶ묶ȶꮀ묶ȶiceouldnabⶬ諐坋Ⴍ盈鞮port紉⽦ȶ럱剋老묶ȶ턀묶ȶ묶ȶÀᇵﺱ楞鮤곶밿軡聎紉⽦ȶ량剃老ꮀ묶ȶ묶ȶꮀ묶ȶÀࡒ䒓飖莦얾擡칕圓紉⽦ȶ럁剛老묶ȶ묶ȶ묶ȶāÀሀㄼȶ緐⽦ȶ럙剓老懸К翾戰К翾̻hlȿݎ럑剫老톀묶ȶ묶ȶ묶ȶÀীㄼȶ紋⽦ȶ랩剣老가묶ȶ캀묶ȶ가묶ȶÀ»ࠐㄼȶ紎⽦ȶ랡剻老힀묶ȶ묶ȶ힀묶ȶÀ紂⽦ȶ랹剳老묶ȶ묶ȶ묶ȶEndointOpFacade::OComÌed OnCompletd랱刋老묶ȶ쪀묶ȶ묶ȶāServiceMapping] GetADALServiceParams緐⽦ȶ랉刃蠁ᝣȶ〬ȶᝣȶ㷠⼻ȶ䡰쇫ȶ䢠쇫ȶ䢠쇫ȶ齠в덲в䐰쇫ȶ랁创老묶ȶ묶ȶ묶ȶÀ෠ㄼȶ紋⽦ȶ랙刓老묶ȶ묶ȶ묶ȶÀ랑别老횀묶ȶ팀묶ȶ햀묶ȶÀᏠㄼȶ紋⽦ȶ둩刣老케묶ȶ묶ȶ묶ȶāÀᄐㄼȶ緐⽦ȶ둡刻老묶ȶ묶ȶ묶ȶÀÁﾠㄻȶ紎⽦ȶ둹刳老쾀묶ȶ혀묶ȶ쾀묶ȶÀ둱勋老쾀묶ȶ혀묶ȶ쾀묶ȶiceIdentity.Shouldnab¹PSupport紎⽦ȶ둉勃老묶ȶ쪀묶ȶ묶ȶiceIdentity.Shouldnab紂⽦ȶ둁勛老묶ȶ쪀묶ȶ묶ȶ湯摉identity.shouldnabÓ蔀⿖ȶ둙勓老춀묶ȶ묶ȶ묶ȶ둑勫老묶ȶ묶ȶ묶ȶSericeMapping] GetDALțiceParams紎⽦ȶ됩勣老턀묶ȶᦀ묶ȶ묵ȶÀ㡖픞ꐛ㺇⏡쳎⻸紉⽦ȶ됡勻老퀀묶ȶ묵ȶ묶ȶÀ⯂씷㷎慃➗呖ᴤ紉⽦ȶ됹勳老묶ȶ묶ȶ묶ȶE 汴⵳敳癲牥攭摮瀭椈瑮촺潊Á㺞㗈傺⮅索战㡘쑍뒀퀶㰎鰶忁Ⳙ됱劋老케묶ȶ묶ȶ묶ȶ䳝翽얠⿕ȶ뒀〩ȶ됈〩ȶ＀䳙翽ｸ䳙翽⽷ȶ됉劃老㭘䶎翽쬸䶎翽Ʀ@ᙵꞙ됁力虜老툀묶ȶ묶ȶ첀묶ȶāÀᑰㄼȶ緐⽦ȶ됙劓切老㭘䶎翽쬸䶎翽Ʀ@ȶ됑劫ﬀ老ꮀ묶ȶ묶ȶꮀ묶ȶiceouldnab贰ﷃꌁ녀瀦䯂歚port紉⽦ȶ듩劣ﱯ老툀묶ȶ묶ȶ첀묶ȶSericeMapping] GetDALerviceParams듡劻ﴀ老㭘䶎翽쬸䶎翽Ʀ@듶劲ꠀ耂낐묶ȶ묶ȶ낐묶ȶ뫘ȶ櫠⚎ȶ铯Ⴀ⤕ȶ偀묁ȶ타〮贎묶ȶ듊嵏耀ᤨ䯄翽앨⡒ȶᦨ䯄翽ᕰ⡐ȶᨨ䯄翽ᳰ⡐ȶ᩠䯄翽ᘰ⡐ȶ᪨䯄翽ᳰ⡐ȶᬘ䯄翽揰뱪ȶڸ䯅翽怰뱪ȶ泐䯅翽➀밤ȶ뺀䯵翽ᕀ⡐ȶ숀䯵翽틨䯨翽쏠䯵翽섀䯫翽쑰䯵翽틨䯨翽쑰䯵翽틨䯨翽000000046}득嵘Ā蠀였뫦ȶ䦰묳ȶ$/rtn猀뤫⅙Ǜps-撰무ȶaouo箰⤕ȶi%202025.xlsn뒬嵩ȯ蠀ᝰ㺀翽Ā뱃ȶᕐ㺀翽Ā반ȶᕐ㺀翽Ā묚ȶȶ띐뮇ȶ$耀ᛰ㺀翽Ā묚ȶᕐ㺀翽Ā묚ȶᕐ㺀翽Ā묚ȶȶ판뮇ȶ$耀뗜밽ȶ뒿嵺̀蠀였뫦ȶ䅰묳ȶ$/攀锕⅌Ǜ欰무ȶao箰⤕ȶ뒎崋Ѐ蠀였뫦ȶ䢰묳ȶ$/88.ꪀ簂₟Ǜ5.0掰무ȶaols箰⤕ȶTS/C-BOP뒁崄Ԁ蠀였뫦ȶ䨰묳ȶ$/poi씀訙ỿǛm/s㰀묹ȶaont箰⤕ȶTS/C-BOP뒐崕؀退https://enelcom.sharepoint.com/sites/Engineeringmgmt/Shared Documents/People and Organization/Formazione/eok/땣崦܀蠀였뫦ȶ㚰묳ȶ$/딁崻؀耀踀媫ỨǛ㪀묹ȶao箰⤕ȶ땲崷ࠀ耀㇘䯅翽Ѐl.7((㾀㾀ᓿ∛䎓Ҕ莄,oor\Exce땅巀ऀ退Eng Knowledge &amp; Partnerships - Stewardship ‎» Stewardship ‎» STEWARDSHIP ‎» GL ‎» E_C Services cataloguetes/engknow땔巑੤蠀였뫦ȶ䜰묳ȶ$/iva혪⛧Ǜhar枰무ȶaos.箰⤕ȶs://enelcom.hr딧巢୯蠀였뫦ȶ䮰묳ȶ$/edg椹⎗Ǜner朰무ȶaoiv箰⤕ȶESS.xlsx딶巳ఀ耀㇘䯅翽Ѐl.7(((㾀㾀ᓿ∛䎓Ҕ茄oor\Ex6}딉嶌൏蠀였뫦ȶ䤰묳ȶ$/딁嶁୯耀묀ﶀ⛥Ǜm/s氰무ȶao/0箰⤕ȶg_HandBook/딘嶝฀蠀였뫦ȶ䈰묳ȶ$/rtnᤀ┢Ǜps-洰무ȶaouo箰⤕ȶi%202025.xls뗫嶮ༀ蠀였뫦ȶ䶰묳ȶ$/ᘀᘁ⨃Ǜ殰무ȶao箰⤕ȶﱹ팙藯Ⴀ즐문ȶ偀묁ȶ타„赾ÿ懲묶ȶ綿￷￷馾⫗秥뗉嵍蠀坐슈ȶ視묶ȶ坰䈲翽﫠묶ȶ坰䈲翽뗁嵅Ā退쭰䶎翽쬸䶎翽㓐⹹ȶࠀ뭰ȶƦ耐ⷩȶ@剣游뗙嵝Ȁ蠀䲰슈ȶ﮸묶ȶ坰䈲翽㠀묂ȶﯠ묶ȶ坰䈲翽뗑嵕̀蠀 䒐슈ȶﰸ묶ȶ坰䈲翽ﱠ묶ȶ坰䈲翽떩嵭Ѐ退쭰䶎翽쬸䶎翽੐⹺ȶ뭯ȶƦ钰ⷩȶ@ȶ떡嵥Ԁ退쭰䶎翽쬸䶎翽〣ȶ硰⼪ȶƦⵧȶ@떹嵽؀退쭰䶎翽쬸䶎翽龐⹹ȶِ뭰ȶƦ螐ⷩȶ@떱嵵܀蠀.㘰슈ȶ︸묶ȶ坰䈲翽﹠묶ȶ坰䈲翽떉崍ࠀ退쭰䶎翽쬸䶎翽닐⹹ȶ﷠뭯ȶƦ驐ⷩȶ@㽬灧떁崅ऀ退쭰䶎翽쬸䶎翽ꓐ⹹ȶ뭯ȶƦȶꁀⷩȶ@翽떙崝਀退쭰䶎翽쬸䶎翽〣ȶ沠⼪ȶƦⵧȶ@떑崕଀退쭰䶎翽쬸䶎翽捐瘰ȶⲀ슎ȶƦ헰皛ȶ@翽ꩩ崭ఀ退쭰䶎翽쬸䶎翽ⵠ〤ȶ螠⼪ȶƦⵧȶ@ꩡ崥ഀ蠀.䗐슈ȶĸ묷ȶ坰䈲翽㩠묂ȶŠ묷ȶ坰䈲翽꩹崽฀退쭰䶎翽쬸䶎翽脐瘰ȶ⤠슎ȶƦ皛ȶ@ጿ⿯ꩱ崵ༀ退쭰䶎翽쬸䶎翽ᚠ〤ȶ䐠⼪ȶƦ몂픷ⵧȶ@ꩉ巍က退쭰䶎翽쬸䶎翽ጐ⹺ȶ˰뭰ȶƦꎰⷩȶ@╇硜ȶꩁ巅ᄀ退쭰䶎翽쬸䶎翽옐⹹ȶᾠ뭰ȶƦ鳐ⷩȶ@뿨/m꩙川ሀ蠀㶰슈ȶθ묷ȶ坰䈲翽䡠묂ȶϠ묷ȶ坰䈲翽꩑巕ጀ退쭰䶎翽쬸䶎翽〣ȶ塠⼪ȶƦ਀ﯠⵧȶ@਴ꨩ巭᐀退쭰䶎翽쬸䶎翽⧠〤ȶ张⼪ȶƦ᝼ⵧȶ@០ꨡ工ᔀ退쭰䶎翽쬸䶎翽䮐⹹ȶ뭯ȶƦ謀ⷩȶ@翽ain꨹巽ᘀ退쭰䶎翽쬸䶎翽〣ȶ篐⼪ȶƦẔⵧȶ@Ứꨱ巵ᜀ鐀&amp;巀⚎ȶ؜묷ȶ{6584B617-AEC2-4AAB-9E1A-646D09A1ACC0}⚎ȶꨉ嶍᠀退ꋠ뫅ȶ얐벱ȶ鳠벸ȶꄀ벸ȶ莀뭧ȶꞐ벯ȶ退벸ȶ釀벸ȶ탐벱ȶ챰벱ȶ貀볝ȶ砐볣ȶꮠ뭧ȶ벱ȶᄐ묷ȶꨁ嶅ᤀ蠀㖐슈ȶܸ묷ȶ坰䈲翽ݠ묷ȶ坰䈲翽ꨙ嶝ᨀ退쭰䶎翽쬸䶎翽珐⹹ȶ뭯ȶƦȶꓰⷩȶ@ꨑ嶕ᬀ退쭰䶎翽쬸䶎翽䙐⹹ȶ뭯ȶƦOLﻠⷪȶ@arꫩ嶭ᰀ退쭰䶎翽쬸䶎翽臐⹹ȶᏐ뭰ȶƦȶ鑠ⷩȶ@ꫡ嶥ᴀ退쭰䶎翽쬸䶎翽扐⹹ȶ뭯ȶƦOL膠ⷩȶ@22 CAMP꫹嶽Ḁ退쭰䶎翽쬸䶎翽蠐瘰ȶ㚠슎ȶƦ폀皛ȶ@翽꫱嶵ἀ退쭰䶎翽쬸䶎翽踐⹹ȶ婢뭯ȶƦ跐ⷩȶ@翽꫉屍 退쭰䶎翽쬸䶎翽䠐⹹ȶ뭯ȶƦ誰ⷩȶ@ȶ꫁居℀退쭰䶎翽쬸䶎翽繠〣ȶ无⼪ȶƦⵧȶ@꫙屝∀退쭰䶎翽쬸䶎翽妐⹹ȶ뭯ȶƦ蹰ⷩȶ@ȶ꫑展⌀退쭰䶎翽쬸䶎翽鰠〣ȶ惐⼪ȶƦⵧȶ@ꪩ屭␀退쭰䶎翽쬸䶎翽⒠〤ȶ稠⼪ȶƦⵧȶ@沏힗ꪡ履─退쭰䶎翽쬸䶎翽粐⹹ȶ᱀뭰ȶƦꐀⷩȶ@땤ꪹ屽☀耀檀묷ȶ嶀묷ȶༀ묷ȶ뭻ȶම묷ȶ坰䈲翽坰䈲翽ꪱ屵✀退쭰䶎翽쬸䶎翽颐⹹ȶ뭯ȶƦﷰⷪȶ@ȶꪉ對⠀蠀 㠐슈ȶຸ묷ȶ坰䈲翽묁ȶ໠묷ȶ坰䈲翽ꪁ尅⤀耀嶀묷ȶ඀묷ȶ嶀묷ȶ뭻ȶ坰䈲翽ͻ餺䢠ꊓ坰䈲翽ꪙ尝⨀退쭰䶎翽쬸䶎翽运⹹ȶ뭯ȶƦ鮐ⷩȶ@ꪑ尕⬀蠀䜐슈ȶး묷ȶ坰䈲翽ၠ묷ȶ坰䈲翽ꭩ尭Ⰰ退쭰䶎翽쬸䶎翽豐⹹ȶ펰뭯ȶƦ魀ⷩȶ@ȶꭡ尥ⴀ蠀脘䶎翽镐䶘翽뿰볡ȶ←뱉ȶ⋸뱉ȶ⋸뱉ȶɡꭹ尽⸀退쭰䶎翽쬸䶎翽醐⹹ȶᖀ뭰ȶƦ銀ⷩȶ@翽ꭱ尵⼀耀▀묷ȶ㚀묷ȶᰀ묷ȶā뭻ȶሸ묷ȶ坰䈲翽Յ坰䈲翽ꭉ峍　退쭰䶎翽쬸䶎翽呐⹹ȶ쒀뭯ȶƦOL聠ⷩȶ@22onꭁ峅㄀退쭰䶎翽쬸䶎翽源⹹ȶᷰ뭰ȶƦ罰ⷩȶ@⤖뼡ȶꭙ峝㈀蠀㓰슈ȶᎸ묷ȶ坰䈲翽Ꮰ묷ȶ坰䈲翽ꭑ峕㌀耀ﺰ쉝ȶ撀묷ȶﺰ쉝ȶ뭻ȶ坰䈲翽鈀벊ȶᬕ㜄᯦宬錟耾罬ए坰䈲翽 ꬩ峭㐀退쭰䶎翽쬸䶎翽繐⹹ȶ⌀뭰ȶƦȶ釠ⷩȶ@ꬡ峥㔀退쭰䶎翽쬸䶎翽锠〣ȶ俰⼪ȶƦ흐ⵧȶ@ꬹ峽㘀退쭰䶎翽쬸䶎翽즐⹹ȶᜰ뭰ȶƦ鐐ⷩȶ@ȶꬱ峵㜀退쭰䶎翽쬸䶎翽͠〤ȶ芐⼪ȶƦⵧȶ@ꬉ岍㠀退쭰䶎翽쬸䶎翽۠〤ȶ嚰⼪ȶƦ㵬ⵧȶ@ȶꬁ岅㤀退쭰䶎翽쬸䶎翽㯐⹹ȶ뭯ȶƦ鏀ⷩȶ@ȶ꬙岝㨀蠀㛐슈ȶី묷ȶ坰䈲翽宠묂ȶ០묷ȶ坰䈲翽ꬑ岕㬀退쭰䶎翽쬸䶎翽〣ȶ娐⼪ȶƦǜⵧȶ@ȴꯩ岭㰀退Microsoft.Office.Excel.FixVisibleLinkNullPtrReadating뭑ȶꯡ岥㴀退쭰䶎翽쬸䶎翽攐瘰ȶ㓰슎ȶƦ팠皛ȶ@꯹岽㸀蠀㪐슈ȶᦸ묷ȶ坰䈲翽묁ȶ᧠묷ȶ坰䈲翽꯱岵㼀退쭰䶎翽쬸䶎翽僐⹹ȶ쳰뭯ȶƦȶ郰ⷩȶ@翽ꯉ彍䀀退microsoft.office.docs.isdocsonedriveconvergenceenabledꯁ彅䄀退杒䅁䅁塁䙤稳剒䭸䱒䉒樸䑧橙㥫睂䍂㌰坩㙇券䩒獑敺其䵄呋䅁畄潗㡦䅁兄坂㙩㑅硗䥔㕑䙘扰瑖䡦䅁㉔流䌶䅁䅁0䶎翽︀⠨ȶꯙ彝䈀退杒䅁䅁塁䙤稳剒䭸䱒䉒樸䑧橙㥫睂䍂㌰坩㙇券䩒獑敺其䵄呋䅁畄潗㡦䅁兄坂㙩㑅硗䥔㕑䙘扰瑖䡦䅁牔䅧危䅁䅁0䶎翽⠨ȶꯑ录䌀耀ሀ묷ȶ㚀묷ȶሀ묷ȶ뭻ȶ坰䈲翽ւּ뎂Ⳡ景坰䈲翽ꮩ彭䐀退microsoft.office.graphics.vectorcompressionearlyexitꮡ彥䔀退杒䅁䅁塁䙤稳剒䭸䱒䉒樸䑧橙㥫睂䍂㌰坩㙇券䩒獑敺其䵄呋䅁畄潗㡦䅁兄坂㙩㑅硗䥔㕑䙘扰瑖䡦䅁㉔流張䅁䅁0ng/⠩ȶꮹ彽䘀退杒䅁䅁塁䙤稳剒䭸䱒䉒樸䑧橙㥫睂䍂㌰坩㙇券䩒獑敺其䵄呋䅁畄潗㡦䅁兄坂㙩㑅硗䥔㕑䙘扰瑖䡦䅁㡔㥬睙䅁䅁0䶎翽ﻰ⠨ȶꮱ彵䜀退杒䅁䅁塁䙤稳剒䭸䱒䉒樸䑧橙㥫睂䍂㌰坩㙇券䩒獑敺其䵄呋䅁畄潗㡦䅁兄坂㙩㑅硗䥔㕑䙘扰瑖䡦䅁㝔䝦㡕䅁䅁0䶎翽౰⠩ȶꮉ弍䠀退쭰䶎翽쬸䶎翽苐瘰ȶ슍ȶƦ푠皛ȶ@翽ꮁ弅䤀蠀0㢰슈ȶἸ묷ȶ坰䈲翽쁰뭱ȶὠ묷ȶ坰䈲翽ꮙ弝䨀退杒䅁䅁塁䙤稳剒䭸䱒䉒樸䑧橙㥫睂䍂㌰坩㙇券䩒獑敺其䵄呋䅁畄潗㡦䅁兄坂㙩㑅硗䥔㕑䙘扰瑖䡦䅁穔昴啭䅁䅁0䶎翽Ā⠩ȶꮑ引䬀退쭰䶎翽쬸䶎翽〣ȶ䲐⼪ȶƦⵧȶ@創ῆꡩ弭䰀退杒䅁䅁塁䙤稳剒䭸䱒䉒樸䑧橙㥫睂䍂㌰坩㙇券䩒獑敺其䵄呋䅁畄潗㡦䅁兄坂㙩㑅硗䥔㕑䙘扰瑖䡦䅁㙔呵晤䅁䅁0䶎翽ﶠ⠨ȶꡡ弥䴀退쭰䶎翽쬸䶎翽ム〤ȶ缰⼪ȶƦⵧȶ@꡹弽一退瑨灴㩳⼯湥汥潣⹭桳牡灥楯瑮挮浯猯瑩獥䔯杮湋睯敬杤健牡湴牥桳灩⵳瑓睥牡獤楨⽰桓牡摥㈥䐰捯浵湥獴匯整慷摲桳灩ఀ⠩ȶꡱ張伀退杒䅁䅁塁䙤稳剒䭸䱒䉒樸䑧橙㥫睂䍂㌰坩㙇券䩒獑敺其䵄呋䅁畄潗㡦䅁兄坂㙩㑅硗䥔㕑䙘扰瑖䡦䅁桔浱㉮䅁䅁0sktop/ꡉ忍倀耀㠀묷ȶ➀묷ȶⰀ묷ȶā뭻ȶ坰䈲翽圀봛ꔒ鿙墝㇟ኗ奪坰䈲翽ꡁ必儀退杒䅁䅁塁䙤稳剒䭸䱒䉒樸䑧橙㥫睂䍂㌰坩㙇券䩒獑敺其䵄呋䅁畄潗㡦䅁兄坂㙩㑅硗䥔㕑䙘扰瑖䡦䅁㡔㥬䡚䅁䅁0䶎翽ሠ⠨ȶꡙ忝刀退杒䅁䅁塁䙤稳剒䭸䱒䉒樸䑧橙㥫睂䍂㌰坩㙇券䩒獑敺其䵄呋䅁畄潗㡦䅁兄坂㙩㑅硗䥔㕑䙘扰瑖䡦䅁啔佊剉䅁䅁0ogue/ꡑ忕匀退쭰䶎翽쬸䶎翽讐瘰ȶ슍ȶƦ햠皛ȶ@翽꠩忭吀退杒䅁䅁塁䙤稳剒䭸䱒䉒樸䑧橙㥫睂䍂㌰坩㙇券䩒獑敺其䵄呋䅁畄潗㡦䅁兄坂㙩㑅硗䥔㕑䙘扰瑖䡦䅁㝔䝦畕䅁䅁0䶎翽ཀ⠩ȶꠡ忥唀退쭰䶎翽쬸䶎翽䤐瘰ȶ᧰슎ȶƦ픀皛ȶ@翽꠹忽嘀耀ሀ묷ȶ㚀묷ȶሀ묷ȶ뭻ȶ▸묷ȶ坰䈲翽坰䈲翽꠱念圀退쭰䶎翽쬸䶎翽䲐瘰ȶ䉰슎ȶƦ皛ȶ@翽ꠉ徍堀退Microsoft.Office.Docs.IsDocsOneDriveConvergenceEnabledꠁ待夀耀ﺰ쉝ȶ⺀묷ȶﺰ쉝ȶ뭻ȶ坰䈲翽꤀벉ȶ縚⡩ጕ洙칥쏱坰䈲翽 ꠙ徝娀耀㠀묷ȶ⊀묷ȶⰀ묷ȶ뭻ȶ➸묷ȶ坰䈲翽Ā坰䈲翽ꠑ徕嬀退쭰䶎翽쬸䶎翽氐瘰ȶ䃀슎ȶƦ皛ȶ@翽꣩徭尀退쭰䶎翽쬸䶎翽乐瘰ȶ⸰슎ȶƦ皛ȶ@翽꣡徥崀耀졀⺗ȶﺰ쉝ȶ날ギȶ⚄ȶ坰䈲翽勨褐䣘弎ϴꌖꚢ৕坰䈲翽 ꣹徽帀耀ㆀ묷ȶ㈀묷ȶ㊀묷ȶā⚄ȶ坰䈲翽坰䈲翽꣱徵开退쭰䶎翽쬸䶎翽啐瘰ȶ슍ȶƦ皛ȶ@翽꣉幍怀退microsoft.office.excel.changegate.downloadfallbackᕐ⠨ȶꣁ幅愀谀https://autodiscover.com.cn/autodiscover/autodiscover.xmlȶ꣙幝戀退쭰䶎翽쬸䶎翽纐⹼ȶ٠きȶƦꀰⷪȶ@ӿ䨑꣑幕挀耀⊀묷ȶ➀묷ȶ⊀묷ȶ뭻ȶⰸ묷ȶ坰䈲翽餈벊ȶ˔Ⱡ묷ȶ坰䈲翽ꢩ幭搀蠀)䵐슈ȶⲸ묷ȶ坰䈲翽獀묂ȶⳠ묷ȶ坰䈲翽ꢡ幥攀耀⾀묷ȶむ묷ȶ⾀묷ȶ⚄ȶ坰䈲翽됈벉ȶ˘땝狱慠坰䈲翽ꢹ幽昀退瑨灴㩳⼯湥汥潣⹭桳牡灥楯瑮挮浯猯瑩獥猯捥牵瑩潹数慲楴湯彳⼲祃敢卲捥牵瑩偹扵楬⽣楓整獁敳獴䔯敮䱬杯䍯䵓瀮杮ᤀ⚕ȶꢱ幵最退Microsoft.Office.Excel.ChangeGate.DownloadFallbackndꢉ帍栀耀✀묷ȶ㌠뮎ȶ⠠뮎ȶ뭻ȶ坰䈲翽頀벊ȶ㍞蕜滨ḕ辠⫼ౌ坰䈲翽 ꢁ帅椀退쭰䶎翽쬸䶎翽屐瘰ȶ㼐슎ȶƦ톐皛ȶ@翽ꢙ帝樀耀㐀묷ȶむ묷ȶⴀ묷ȶā뭻ȶ⾸묷ȶ坰䈲翽坰䈲翽ꢑ帕欀退杒䅁䅁塁䙤稳剒䭸䱒䉒樸䑧橙㥫睂䍂㌰坩㙇券䩒獑敺其䵄呋䅁畄潗㡦䅁兄坂㙩㑅硗䥔㕑䙘扰瑖䡦䅁穔昴乭䅁䅁0䶎翽༰⚕ȶꥩ席氀耀㐀묷ȶ⾀묷ȶⴀ묷ȶ⚄ȶ坰䈲翽Ѐᶳ◶⨼坰䈲翽ꥡ帥洀退杒䅁䅁塁䙤稳剒䭸䱒䉒樸䑧橙㥫睂䍂㌰坩㙇券䩒獑敺其䵄呋䅁畄潗㡦䅁兄坂㙩㑅硗䥔㕑䙘扰瑖䡦䅁穔昴卭䅁䅁0䶎翽Რ⠨ȶꥹ帽渀耀⦀묷ȶ㈀묷ȶ⦀묷ȶ뭻ȶ坰䈲翽꼈벉ȶ坰䈲翽ꥱ帵漀耀ㆀ묷ȶ⦀묷ȶ㊀묷ȶ뭻ȶ㈸묷ȶ坰䈲翽錈벊ȶ坰䈲翽ꥉ廍瀀耀⦀묷ȶ㈀묷ȶ⦀묷ȶ⚄ȶ坰䈲翽쀈벉ȶ˄蠧䖛澦촄坰䈲翽ꥁ廅焀退쭰䶎翽쬸䶎翽꬐瘰ȶﮐ슍ȶƦ皛ȶ@翽꥙廝爀退杒䅁䅁塁䙤稳剒䭸䱒䉒樸䑧橙㥫睂䍂㌰坩㙇券䩒獑敺其䵄呋䅁畄潗㡦䅁兄坂㙩㑅硗䥔㕑䙘扰瑖䡦䅁穔昴塭䅁䅁0䶎翽㪰⚕ȶꥑ廕猀耀⾀묷ȶむ묷ȶ⾀묷ȶ뭻ȶ㐸묷ȶ坰䈲翽坰䈲翽ꤩ廭琀蠀)䨰슈ȶ㒸묷ȶ坰䈲翽㓠묷ȶ坰䈲翽ꤡ廥甀退쭰䶎翽쬸䶎翽澐瘰ȶ㮰슎ȶƦ皛ȶ@翽ꤹ廽瘀退쭰䶎翽쬸䶎翽⋠〤ȶ綀⼪ȶƦⵧȶ@䨰ໍꤱ廵眀言C:\Users\a467287\AppData\Local\Microsoft\Windows\INetCache꤉庍砀耀▀묷ȶሀ묷ȶᰀ묷ȶ⚄ȶ㚸묷ȶ坰䈲翽坰䈲翽꤁庅礀蠀0㯐슈ȶ㜸묷ȶ坰䈲翽㝠묷ȶ坰䈲翽ꤙ庝稀退瑨灴㩳⼯湥汥潣⹭桳牡灥楯瑮挮浯猯瑩獥䔯杮湋睯敬杤健牡湴牥桳灩⵳瑓睥牡獤楨⽰桓牡摥㈥䐰捯浵湥獴匯整慷摲桳灩⚔ȶꤑ底笀耀⊀묷ȶ➀묷ȶ⊀묷ȶ뭻ȶ坰䈲翽坰䈲翽ꧩ庭簀退OP 1900 &quot;E&amp;C Project Execution&quot; - Rev. n. 4 ‎» Generalral/ꧡ庥紀退쭰䶎翽쬸䶎翽堐⹼ȶḀきȶƦ鱰ⷪȶ@꧹庽縀退쭰䶎翽쬸䶎翽皐瘰ȶ슍ȶƦ皛ȶ@翽꧱庵缀退쭰䶎翽쬸䶎翽䫐瘰ȶᓠ슎ȶƦ皛ȶ@翽꧉奍耀退rt:30ED8F7B-20D0-4989-89E7-E3A594938405@00000000022꧁奅脀退https://enelcom.sharepoint.com/sites/Engineeringmgmtd.꧙奝舀退䦠䯼翽㮀묷ȶူ뭲ȶ蔠쉔ȶ೨⺑ȶ쉘កȶ鷠❂ȶ銨⵽ȶ銨⵽ȶ쓠ⵧȶ贀㊢ȶ⳧ȶ鸰❂ȶ୦꧑奕茀退https://enelcom.sharepoint.com/sites/Engineeringmgmtꦩ奭萀退쭰䶎翽쬸䶎翽࣐⹽ȶ廀몝ȶƦ섀ⷪȶ@翽ꦡ奥蔀退쭰䶎翽쬸䶎翽Ԡ〤ȶ搰⼪ȶƦⵧȶ@༩墌&#10;ꦹ好蘀退쭰䶎翽쬸䶎翽듐⹼ȶ齠⡲ȶƦ쾰ⷪȶ@ꦱ奵蜀退쭰䶎翽쬸䶎翽⹼ȶ檐몝ȶƦ애ⷪȶ@䍊㾾ꦉ复蠀退https://enelcom.sharepoint.com/sites/PolizziGenerosaWFx\ꦁ夅褀蠀ᫀ哋翽ȶ田벊ȶ田벊ȶꦙ夝言退C:\Users\a467287\OneDrive - Enel Spa\santa croce TS WTGxꦑ夕謀退䦠䯼翽䀀묷ȶ⨐뭱ȶ뻐쉔ȶࣘ⺑ȶ쉘កȶ黐❂ȶ糨⵽ȶ糨⵽ȶ숐ⵧȶ诀㊢ȶ⳧ȶ鼠❂ȶୖ깩夭谀退쭰䶎翽쬸䶎翽ퟐ⹼ȶᝀきȶƦ밀ⷪȶ@翽깡夥贀退C:\Users\a467287\OneDrive - Enel Spa\CAMPI NOVOLIthod깹夽踀退쭰䶎翽쬸䶎翽⹼ȶ␀묁ȶƦ뫀ⷪȶ@翽깱夵輀退C:\Users\a467287\OneDrive - Enel Spa\Solutions Fase BD" userProvider="眍ȶ䵠眍ȶ你眍ȶ偀眍ȶ䰠眍ȶ傀眍ȶ䬀眍ȶ䮀眍ȶ嚀眍ȶ埠眍ȶ堀眍ȶ删眍ȶ壠眍ȶ嘀眍ȶ剀眍ȶ冠眍ȶlasses\WOW6432Node\CLSID\{00000339-0000-0000-C000-000000000046}̄չ％蘏尢ᔀ耀쥐묵ȶ롐묵ȶ쥐묵ȶr\S瀀⹰慎敭砀散l蘜就ᘣ蠀䅁燵䏬ꭰ蚲禶阜ನ벏퓦퀯䪘؄靠崱ꐔ譌扪제湶䆋봹杋简笴궹◫龍弈刲ꡯ黮邗ዣ䜏槓쏥蚨ꄧ쐝৬菉赹褓䅿즒瑩趛ꬔ㐞霱槫滙覅ଧ爖낗琔ਔ恱禫ㆠ鋄꧹朵⏨౵憎尹봄椩l࿁蟽﬑铃㆟ﬄ岮绛ᡊ蓾형予☘効鿶ﯹ귗վ㗜ᨳ⥙킋恍뒮窓ꆺ㾉ÿ샔薅䐱ᅁⱏ團ܴ㗂嗝䧵觇䚨ꎪ蛭峀ᜢ耀Ơ⼅ȶ쥐묵ȶ⩠쉷ȶ퀀ⵝȶ　〮蛺峗ᣃ耀첀묵ȶ졀묵ȶẰ쉷ȶā⁫஗귓핽쒄֟戎ꤷ翧Һ鼊⿬⒧タ쏬恘隗嬨ý 鞕쒙褯埆两溉願⾍뿞椑䓦⺻䲳ࢩ⍙抚湖∞卂Ȕఏᤖजᔃᴆ἟἟἟἟἟἟἟἟἟἟恞ꭩ፿߱蛋峦ᤀ耀蛘峵ᨀ退喐⺉ȶ艐ⶺȶ뗐⽅ȶ뼐⽅ȶ뫐⽅ȶ붐⽅ȶ땐⽅ȶ믐⽅ȶ떐⽅ȶ또⽅ȶ볐⽅ȶ뚐⽅ȶ멐⽅ȶ뛐⽅ȶ뽐⽅ȶ뜐⽅ȶ띐⽅ȶ럐⽅ȶﲰ슌ȶ倨䯄翽㙰䯆翽틨䯨翽㪀䯆翽䯅翽叀䯵翽㦰ᥡȶ漐䯵翽ﳰ⡔ȶ熀䯵翽䯅翽爀䯵翽䯅翽蚩岄ᬀ耀쥐묵ȶ롐묵ȶ쥐묵ȶ瀀⹰牂湡档漀歲蚶岫ᰀ退䅁燵䏬ꭰ蚲禶阜ನ벏퓦퀯䪘؄靠崱ꐔ譌扪제湶䆋봹杋简笴궹◫龍弈刲ꡯ黮邗ዣ䜏槓쏥蚨ꄧ쐝৬菉赹褓䅿즒瑩趛ꬔ㐞霱槫滙覅ଧ爖낗琔ਔ恱禫ㆠ鋄꧹朵⏨౵憎尹봄椩l࿁蟽﬑铃㆟ﬄ岮绛ᡊ蓾형予☘効鿶ﯹ귗վ㗜ᨳ⥙킋恍뒮窓ꆺ㾉ÿ샔薅䐱ᅁⱏ團ܴ㗂嗝䧵觇䚨ꎪA眑蛯ᶟ꫏䥩ఁ⁘윯궬꼦齂袖⹵팫耆巻馘ᴜ䔢䎳㌟⾇f쀀鐪곇쒭⛶䊯隟疈⬮ۓ眃⻀ᥠ곇쒭⛶䊯隟疈⬮ۓ縃%甀ώς숩ȃ⤀ǧôꂰ怃윙궬꼦齂袖⹵팫ﱷࠀ⤫湱媝ꃿక蠓잘禍慓ᄐय़⭸㈩Ꙉ㹡긍몔᮫鞷鎰䚸絯²዆╾䭐Ѓ!濽爵ऩ⃜汸眯牯獫敨瑥⽳桳敥㝴砮汭閜潝ペ蘔⟯㿭비褧႓舂ⵖ괔팷緔᭝Ⴧ熫泌恓ﻓ軻䗳嘪嚚踂㡃秏ﭟ゜㺽批獊챙瘐芰铊鬗神淾䠹ꎐ⤍鉒苋탍榑絴瓃픯캣㌘ဎ㴊饃驩䄱⮴겷㮀ꥫ㄄ꥰ鸶⫞퉆䤲廤ﯠ➱⼈䕐ꢘా庹쩳鈖Ӯ䰫儅✬賫畯㭃붤ꥸ笢屈睔Ṛ캎৴镎狔屭蔪䥗眻쿆੼쟚₨燪ᶷ砀㱖蹅鎠䷻ᔡ≰ᰇᐜʼ蝸석볤罒蓉꒶鷳藬釁뜓疭Ղ㱅奬ু븖ᘓシ嶻뉪ﴌޙቑ惭먹ᦽ썄뮻ቁ퇻ॠ碫᝾ꎆ崗卍봎嵧訹枭ۨṏ葰ꮼ㿚컫栗ꔭ䫸㶉ҫꯆﲽ䝬꼣뒾듓⛑菟἖棊㎖ﭪ⇚鸐鳘ﯫఱ꿤ゲꄬ힨ᮮ쬅ﹲ⢾攧뉫췋礿㉪㠦ﲎᠸ菦翜籢ᦓቸ⹄彼훶㴤頮ウꁮ෋뚇锨吹侀灇Ꚁ蜤᳚玲꧗ቕ掜ҙ亱紊蠷쏇嬐鵍本듅牙ଫ琹趧디ﰉࢌ妇ℒ䚾磌늚壘怅͔혡懀꺶௄〔쩓墂뢔䂦⡬௱痛쭁ꚨ汀ࣩᓾ䝊弐푳ꮠ≋髄뮷ッ啟숣⻸贞擣뻴슞潭ꋃف⺟낽룭癩蜜꧉庛竘픻蓥Ͻ＀꓿殘၆뾆끿ꎬ֪〕ƾ䠥౜騘唤迕焮ᐒ⦂鉶羞姟읻笻⠡ꟊ꼤ᷞ쳬瞎㾘榦䬱撊㰴潦盂⭬␿᳻᭾㴸竛⸬ཬ湾笢Ꙟߛ肦碫滜⚞翇鞎٬楧䦾ꃷ婵㶞渚쑘଱苉냸싨䇎ᵿ麅氷躿眍葍춫ꦥ촮⥴ꗒ⺹琭ꥩ녋괮楴䤭䡭鵜꺽笡띮샥꺿퀥㎐꿗욓崢巘斟錚⯦䌩ﰏ㶬띝묧浲┌኏鞑ꦑ꼩蜮釋☖눅楫蕶⮲靆囼뿊㊼勇毞牭臺堒ŗʹ㪤軏䧏ॕ略㙀琌芻ମтቑ䝾쯡九牟ਹ豟ਕ岾盪⥪쥂ꖩ䨹嫝ꁚ勊抗범䡊쿦鿋ᕠ㋾犳﹗㖳線䄖㑊交㿫⁽绵낵ⱕ킟䢨Ծ닋䴑쮸씽犅嶊씹㨊硒莥틥ඒ땽큢뉅኎뫉씮넨竆娿쵸밥⦀⮻颱⍞ꍜ♐ꫩ꩐弰횩덫ꥋ꿖쮕짫峛ꭔṄꠞᾅ鱮谬ᖾ炟尊䐊첅鉐޸曊뢎೫瑷ᄨ뫮ꌔ맄췻氥〈녷㟮Ꮲ㗎ऺ䫷롒䨇릳먶镼胲媞냞㐓⻈囍䱩딃림㊋ዥ詥첒꥔裸캻䔰愗ኊꩡㅋ鱊큩䉜ᦁ誙◅ꃓ鼑깰䧑嚘쪒흛靆듆煲斦๦ᨯ咞僞᫉ù臎짷喳示ᮥ롍銋ዧ輥ᴒ슗ᆻ鵷輡䈮┞幂抗㢔냹蒹〗ធ䮋懲㸣峡鎣꾐锤㊼崧嶛垢J䪡耥Ჟ墁洸਄ᇕ뮈ᇤ吨⁇䖌⁆턮ࠑ㈥ꄂい䒢챒㣀꽔에㲦Ⱦߵ윫㔹ः愤턘╊龃Ⱀ嚌ꄻ㗚讹軖촮ᒸ觀خ催髭痜皦䗐躒䤒⺺⣅㟩낗赕⎵霖펵쑯鰧瑫鏪Ψ萧䌁ซྷ⢂됤怯䃶冰렔梔퐳砂ȓ᥃⌴鶴冡ࣛ媎㰣娌歜袜槓ᴮ愨ጣꀒᩴ߄浂瀶崱ᛜ幼᡽꼥㝼魰䘄曗叨ꣀధ컚灏ᠩ⣔崘⁇ܘ䃀㓗ᆃ⨁ะ㦀幡釗怍侏႞帎쁁䆜맶衲큍鲦쨑㿄ꎭ䎑㔂䩺᫔☹赪흯⢥⵴뗆ꣴ뎑燂ᵏ쐔麭踔⽺껁㭇帔䠢퀟⸴ꜟ⡶臭⟾⸴␍㶘ⓥ킏깶ꕃ䃚ʍ뗑纸현ஆƵ餧㚹聄㚪ꡜᎍ痦᭐箦켍녯ꮙ뱕࣒㧪쉤揊汄槴◄솑焗謬㥣ힷ⷟ꟻ理锍퟼㛸曺蹝욯먲떺﹮릾⺍㼇烾ᖕ샩홶ﭦ潙뜩⣊멖㝋燅䦻홶飡鈞剣덬떽㝏鹩윧囯妑緛⑞몰䱸ﮭ띬﮶沐銞㒇孯뿩㏃㟜拏鏽鋂⻥莽쩟뜅佥﹭瘂뽔꿁鷙湶뉍⶯ﻹ⹧苒䮂뢾孢⒢䜚䮬鐫ㅜ먦嗍릯멲ᬧ䕀꧔显ꆪⶼ߿＀擿澐썋ీ뿆ᇊ韁鵶믿ꅫ알ᴱ琉清穫氽⎛ᣍ佭ᅪ⋳秤뼠䐧젷霖흘㪝뇐ᒕ郦忩ㅗ⦖燤躲﨡濧銯췭䟠☓籘氵᪩ị묹ָ컅箃樍≏賔䊪⁓吒⑉ك໮㞕礞뻧蔰偻ໄㅛ꣢셍ଓ✛幽諢研葕翋俀颁⩩钐鮝⿆ꆖ칃퓎킻돗ꭐ﯍缦帉꙼榣䝝셿娵恼牳鶭顎➇袝먿儊澲＀Ͽ礀禙悻﹩呛᤻贗葋႟죐⤔ȶ偀묁ȶ타ώ赭묵ȶ蟌嵏退Engineering Mgmt ‎» People and Organization ‎» Formazione‎» STEared蟅嵆İ蠀鯰묵ȶ斣삙ㆎ䖐精횚Ｕ烁║䍔石ᆕ끘⁖韉챝䡫貹墄不炞␐묳ȶZ_䛰묳ȶ蟚嵝Ȁ退⒀묳ȶ*/䙀⤕ȶ&#10;ᷰ묰ȶ䯠⤕ȶites蟓嵔́退Microsoft.Office.Shared.GraphImportAccessTokenAutoRefreshnutesg_Ha螨嵣т退Eng Knowledge &amp; Partnerships - EKP ‎» EMP ‎» Budget ICT ‎» _oldhttp螡嵺ԯ退C:\Users\a467287\AppData\Roaming\Microsoft\Windows\Recent螶嵱ٵ退microsoft.office.fileio.verifydocumentstoragemodetelemetry&#10;螏崈܀退QA&amp;CI䔠⤕ȶ&#10;Generalᶠ묰ȶINor螄崇ࡁ蠀鬐묵ȶ맊塶Ṥ䳈暴⹷ꭴ൭ʧ⻸䀫厮ᅴ破竞ᇑ䔨垵壯Ⓓ窈㱠묰ȶMO䏰묳ȶBok/螝崞य退䣀묰ȶ&quot;'䴰⤕ȶ&#10;EKP䜀⤕ȶ&#10;enel螒崕੭退䍰묳ȶ䌐⤕ȶ&#10;䯰묳ȶ䣠⤕ȶ&#10;/02.葫崬ର蠀錰묵ȶ㷇斘썑䣃ꎘ킩䕦揟骥䒍誵虉ᰱ劯룃囎价⪂藤ⅰ묳ȶU_EGP‎»葠崻ఀ退㵰묳ȶ䲠⤕ȶ&#10;ENEL㢰묳ȶeric葹崲൓蠀픠뫢ȶ稠奆崜䵮斲ー鞊⾋┳ε䙢ⶉ㽔採珑ﻟ鴕䄨エ婐붬ecura葎巉ะ蠀੨翾✇T⛨뫆ȶ벲ȶȶ묵ȶ䀃蛁䵫仳뒧؅㭦栮༾䇩囁䘳쎁譮讬烝䕃 묵ȶߠ묕ȶߠ묕ȶ뇐뮓ȶ葇巀཯退Microsoft.Office.FileIO.SyncProgressUI.EnabledForSyncBackedapab葜巟ၩ蠀푀뫢ȶ蠣걝灲䰲솁ऑ褊ꓭ殐鮂뒾䙅䆂ལ꘎Ç鋂บ묚䥣犯嵱叟쳹⠀묳ȶW_䉰묳ȶge葕巖ᄀ蠀饐묵ȶ灉㑧넁䠆▾ᚵ䏱Ẳᗜ詯䀐₸￙㎷◚ᔯ䬮ဌ䧤떎᯿㹭ꩵ⬐묳ȶP_GeneralShred萪巭ሰ蠀쿠뫢ȶ⁵Ȩﷆ䷻಻嘝滰줂㥇ꁁ䍼䮸깯蔥鷎揀敭䦺瑰美ᇔ≐묳ȶR_䆰묳ȶ萣巤ጀ蠀੨翾✇T㇀ੵ翾㇀ੵ翾ȶ묵ȶ숢蚾ヲ䟠▟텠휜⡜༾䇩囁䘳쎁譮讬烝䕃 묵ȶ易묔ȶ易묔ȶȶ蛐뭫ȶ萸巳ᐯ蠀쪠뫢ȶ찑꺗䇞즊빪̜含퉡죫䝚첣ѷ蚞秵甆뮯鰬䗲窗隨彟徰무ȶco䖰묳ȶlsx萱嶊ᕩ退 $(,edTimeInMinutes授ੵ翾萆嶁ᘀ蠀鶰묵ȶƬ禔ಽ䘗覽篕曷䦂㬧庂浝䶿䮧ᛁｽ䆾㝋몕ꋩ䉀캊횎콤ꎸ㺠묰ȶFO㯰묳ȶcum萟嶘᝴退Microsoft.Office.FileIO.EnablePrefetchFilePrepCacheAsync萔嶗᠀蠀鯰묵ȶ斣삙ㆎ䖐精횚Ｕ烁║䍔石ᆕ끘䝠훋䯐즼턛◛ກ⇠묳ȶZ_㼰묳ȶ3.lsx蓭嶮᥁退띠てȶ띠てȶ띠てȶ띠てȶ띠てȶ띠てȶ띠てȶ띠てȶ띠てȶ띠てȶ띠てȶ띠てȶ띠てȶ띠てȶ띠てȶ띠てȶ뚰뮓ȶ蓢嶥ᩂ退Microsoft.Office.FileIO.VerifyDocumentStorageModeTelemetry913\쬙藯႟ྰ⡤ȶ鹠뮅ȶ타㌞赽Ǿ묵ȶ翿霔ﻑﵟ嶾毻﻿￸櫰둃젾耀ÅH鰅ႄȐĀ쀀\AppData\Loc蓉嵃\退쭰䶎翽쬸䶎翽ﾠ〠ȶ髐뭰ȶƦeFـ슴ȶ@5E蓁嵛Ň退ば䯆翽묵ȶtime Exe鹰뭞ȶ彰⡹ȶcd.蓙嵓Ȁ退쭰䶎翽쬸䶎翽〠ȶﳀ⼨ȶƦ㤰슴ȶ@㴠ꝯ蓑嵫̀退쭰䶎翽쬸䶎翽〠ȶ䁀⼩ȶƦㄐ슴ȶ@䠹旳Ԁ耀蒩嵣ж退ば䯆翽묵ȶ10B051B-迠⚍ȶ栰⡹ȶ蒡嵻Ԁ退쭰䶎翽쬸䶎翽〠ȶ㟐⼩ȶƦ䚠슴ȶ@늠＿蒹嵳؀退쭰䶎翽쬸䶎翽⃠〡ȶ鸰뭰ȶƦ᧰슴ȶ@ꉈ놪ऀ耀蒱崋ܶ退ば䯆翽묵ȶfice.Fil貀⚍ȶ栰⡹ȶcr蒉崃ࠀ退ば䯆翽묵ȶfice.Fil詀⚍ȶ栰⡹ȶcr蒁崛ऀ退ば䯆翽묵ȶ虰뭞ȶ彰⡹ȶ萃崜ഀ耀蒙崓ਸ਼退ば䯆翽묵ȶ鈠⚍ȶ栰⡹ȶ몗ȶ蒑崫଀退쭰䶎翽쬸䶎翽帠〡ȶ΀⼩ȶƦȶ僰슴ȶ@蕩崣ఀ退쭰䶎翽쬸䶎翽罠〡ȶ⛰⼩ȶƦ什슴ȶ@✮ᅁᄀ耀蕡崻ശ退쭰䶎翽쬸䶎翽캠〠ȶꨀ뭰ȶƦȶ‰슴ȶ@蕹崳฀退쭰䶎翽쬸䶎翽脠〡ȶ௰⼩ȶƦ槰슴ȶ@჈렻蕱巋ༀ退쭰䶎翽쬸䶎翽௠〡ȶ嘰⼩ȶƦȶⰐ슴ȶ@ᔀ耀蕉巃ံ退쭰䶎翽쬸䶎翽툠〠ȶꆐ뭰ȶƦȶᜠ슴ȶ@87蕁巛ᅴ退쭰䶎翽쬸䶎翽쐠〠ȶ뗐뭰ȶƦ.0װ슴ȶ@heQD蕙巓ስ退쭰䶎翽쬸䶎翽᧠〡ȶ࢐⼩ȶƦㅠ슴ȶ@ꂨ逢耀蕑巫ጶ退ば䯆翽묵ȶЀ慐⡹ȶ蔩巣᐀谀Microsoft.Office.Security.CLP.FG.ShowTrackAndRevokeButton蔡巻ᔀ退쭰䶎翽쬸䶎翽曠〡ȶኰ⼩ȶƦȶ祠슲ȶ@ȶᴀ耀蔹巳ᘶ退쭰䶎翽쬸䶎翽Š〡ȶ꼐뭰ȶƦȶ㓐슴ȶ@ &quot;蔱嶋ᜀ退쭰䶎翽쬸䶎翽几〡ȶ䕐⼩ȶƦ买슴ȶ@✻蔉嶃ᡩ耀묵ȶȀ묶ȶᲀ묶ȶā⸇ȶ蔁嶛ᤶ退쭰䶎翽쬸䶎翽憠〡ȶච⼩ȶƦȶ筀슲ȶ@gT蔙嶓ᨀ耀묶ȶ묶ȶက묶ȶ䜟䰢㫬㓿㳞ⱘ暓鴉p 蔑嶫᭥退쭰䶎翽쬸䶎翽捠〡ȶ峰⼩ȶƦȶ捰슳ȶ@ȶ╱耀藩嶣ᰶ耀묵ȶȀ묶ȶ묵ȶ藡嶻ᴀ退쭰䶎翽쬸䶎翽硠〡ȶẀ⼩ȶƦ惠슴ȶ@옹斉藹嶳ṥ退ば䯆翽呂묵ȶ鄀⚍ȶ栰⡹ȶ蔃嶴⥡耀藱屋ἶ退쭰䶎翽쬸䶎翽̠〡ȶꓰ뭰ȶƦẠ슴ȶ@槸栌ve藉屃 退ば䯆翽婢묵ȶ詰뭞ȶ彰⡹ȶ藁屛Ⅷ退쭰䶎翽쬸䶎翽⊠〡ȶ굠뭰ȶƦȶ᫠슴ȶ@rs藙屓∸退쭰䶎翽쬸䶎翽〠ȶⶰ⼩ȶƦ䲐슴ȶ@\0藑屫⍑退ば䯆翽ﰀ묵ȶfice.fil豰뭞ȶ彰⡹ȶcr7薩屣␀退쭰䶎翽쬸䶎翽㗠〡ȶ⎐⼩ȶƦ涰슴ȶ@ㅴ耀薡屻┶退쭰䶎翽쬸䶎翽橠〡ȶ‰⼩ȶƦȶ猠슲ȶ@ȶvi薹屳☀退ば䯆翽ﶀ묵ȶtime Exe蝰뭞ȶ彰⡹ȶcd.薱尋❴退ば䯆翽︀묵ȶ蝀⚍ȶ栰⡹ȶ蔃尌㕥耀薉尃⠶退쭰䶎翽쬸䶎翽虠〡ȶ戀⼩ȶƦȶ塰슴ȶ@ȶ &quot;薁尛⤀退쭰䶎翽쬸䶎翽⟠〡ȶ妐⼩ȶƦ㘐슴ȶ@Ṻ䰷薙尓⩣退쭰䶎翽쬸䶎翽厠〡ȶ㬰⼩ȶƦ繠슲ȶ@䡊㥽耀薑尫⬶退쭰䶎翽쬸䶎翽稠〡ȶㄐ⼩ȶƦ盠슲ȶ@礄勆et멩尣Ⰰ退쭰䶎翽쬸䶎翽攠〡ȶ孀⼩ȶƦ幠슴ȶ@멡尻⵮退쭰䶎翽쬸䶎翽ᵠ〡ȶ鲀뭰ȶƦȶ◐슴ȶ@㵳耀멹尳⸶退ば䯆翽ƀ묶ȶЀ⡱ȶice멱峋⼮耀묵ȶ묵ȶᲀ묶ȶㄼȶ멉峃づ退쭰䶎翽쬸䶎翽㳠〡ȶ԰⼩ȶƦȶ萀슲ȶ@ȶ䅇耀멁峛ㄶ退쭰䶎翽쬸䶎翽⻠〡ȶꚠ뭰ȶƦȶỰ슴ȶ@ce멙峓㉧退쭰䶎翽쬸䶎翽ᠠ〡ȶꮰ뭰ȶƦᗠ슴ȶ@ﲠꮶ̀耀멑峫㍲退쭰䶎翽쬸䶎翽〠ȶ냀뭰ȶƦroᯐ슴ȶ@eC먩峣㑜退쭰䶎翽쬸䶎翽འ〡ȶ䇰⼩ȶƦFEⷰ슴ȶ@HO먡峻㕂退ば䯆翽Ԁ묶ȶfice.Fil矀슳ȶ挰⡹ȶcr먹峳㙡退쭰䶎翽쬸䶎翽큠〠ȶ뉰뭰ȶƦȶ₀슴ȶ@ȶ䤢耀먱岋㜶退쭰䶎翽쬸䶎翽〠ȶ䎠⼩ȶƦȶ㡀슴ȶ@ȶ&quot; ⣶ȶ먉岃㠀退ば䯆翽ڀ묶ȶfice.Fil葰뭞ȶ彰⡹ȶcr먁岛㥭退쭰䶎翽쬸䶎翽Ӡ〡ȶꍀ뭰ȶƦȶᓰ슴ȶ@䵴耀먙岓㨶退쭰䶎翽쬸䶎翽㉠〡ȶ᳐⼩ȶƦȶ䔐슴ȶ@ }먑岫㬀退쭰䶎翽쬸䶎翽ⴠ〡ȶꡐ뭰ȶƦȶ⃐슴ȶ@뫩岣㱴退쭰䶎翽쬸䶎翽馠〡ȶ儠⼩ȶƦ堠슴ȶ@﫝ꯊ儠耀뫡岻㴶退ば䯆翽ऀ묶ȶ踰⚍ȶ栰⡹ȶtFl뫹岳㸀退쭰䶎翽쬸䶎翽䲠〡ȶﹰ⼨ȶƦȶ垀슴ȶ@ȶ뫱彋㽥退쭰䶎翽쬸䶎翽梠〡ȶ埠⼩ȶƦ䏐슴ȶ@啫耀뫉彃䀶退쭰䶎翽쬸䶎翽〡ȶ敠⼩ȶƦȶꃰ쉫ȶ@: 뫁彛䄀退쭰䶎翽쬸䶎翽ঠ〢ȶៀ⼩ȶƦȶ변쉫ȶ@뫙当䉽退쭰䶎翽쬸䶎翽〡ȶᥰ⼩ȶƦȶ뚀쉫ȶ@奶耀뫑彫䌶退쭰䶎翽쬸䶎翽黠〡ȶ䜀⼩ȶƦȶ晀슳ȶ@&quot;S목彣䐀退쭰䶎翽쬸䶎翽〡ȶᬠ⼩ȶƦoc뻰쉫ȶ@ff몡彻䕥谀Calibri»ƐȀ몹彳䙈退쭰䶎翽쬸䶎翽〡ȶ酀⼩ȶƦȶ륐쉫ȶ@儀耀몱弋䜀退쭰䶎翽쬸䶎翽㐠〡ȶ䢰⼩ȶƦ嗰쉫ȶ@몉弃䠀耀⠀묶ȶ▀묶ȶ℀묶ȶā ̄몁弛䤶耀᐀묶ȶ⢀묶ȶኀ묶ȶā 餀﯈戯﷯鈝볺몙弓䨀退쭰䶎翽쬸䶎翽Ѡ〢ȶ㺐⼩ȶƦ龰쉫ȶ@⦛㾧몑弫䬀耀⒀묶ȶ묵ȶᔀ묶ȶṞ㔬嶥僑삷봴 뭩弣䰶退쭰䶎翽쬸䶎翽꺠〡ȶ咀⼩ȶƦ깠쉫ȶ@ꩤǀ뭡弻䴀退쭰䶎翽쬸䶎翽屠〡ȶⰀ⼩ȶƦ楠슳ȶ@醭ꙩ뭹弳丶退쭰䶎翽쬸䶎翽蒠〡ȶ⇠⼩ȶƦ牰슳ȶ@椶耀뭱忋伶退쭰䶎翽쬸䶎翽〡ȶ㘠⼩ȶƦȶ鉀쉫ȶ@ȶ뭉心倀耀ༀ묶ȶ⢀묶ȶༀ묶ȶƏᒣ꿱橰ųȿ뭁忛儀耀᠀묶ȶᖀ묶ȶᘀ묶ȶā ਂ뭙忓制退쭰䶎翽쬸䶎翽떠〡ȶ鴐⼩ȶƦ퐰쉫ȶ@ꓴ蟍뭑快匀耀ༀ묶ȶ⢀묶ȶༀ묶ȶĂ묩忣吀退쭰䶎翽쬸䶎翽쎠〡ȶ辐⼩ȶƦȶ퓐쉫ȶ@焀耀묡忻啯耀ꮀ묶ȶက묶ȶꮀ묶ȶ﫶촋瓩爕ᰧࠉ묹忳噦耀᠀묶ȶጀ묶ȶᘀ묶ȶ䔀뼮숎쥽抝풙Ӗ䳅ċ묱律圀耀ጀ묶ȶᖀ묶ȶጀ묶ȶÍ夎묉徃堶退쭰䶎翽쬸䶎翽〡ȶ⩐⼩ȶƦȶ瀰쉫ȶ@묁徛夀退쭰䶎翽쬸䶎翽〡ȶ朐⼩ȶƦ芠쉫ȶ@嬔ՙ묙従娀退쭰䶎翽쬸䶎翽㥠〡ȶᘐ⼩ȶƦ垀쉫ȶ@礀耀묑徫嬶耀ጀ묶ȶᖀ묶ȶጀ묶ȶ̂믩徣尀退쭰䶎翽쬸䶎翽ߠ〢ȶ掰⼩ȶƦ限쉫ȶ@〃犿믡徻崀耀᪀묶ȶẀ묶ȶ䢀묶ȶāƊ&#10;ȀȀ믹徳帶耀묶ȶᓠ⾠ȶ鈀묶ȶ໲鞓篶溲抋澴騒ĉ믱幋彩退쭰䶎翽쬸䶎翽易〡ȶ㋀⼩ȶƦ蝐쉫ȶ@学跷믉幃怀耀ᤀ묶ȶẀ묶ȶᤀ묶ȶĂ믁幛愶退쭰䶎翽쬸䶎翽à〢ȶ㦀⼩ȶƦ驠쉫ȶ@믙幓戀退쭰䶎翽쬸䶎翽ꬠ〡ȶ뒰⼩ȶƦȶ됀쉫ȶ@믑幫挶退쭰䶎翽쬸䶎翽銠〡ȶ⢠⼩ȶƦȶ勐쉫ȶ@ȶ蔶耀뮩幣搶耀묵ȶȀ묶ȶ묵ȶÓĎ뮡幻攀退쭰䶎翽쬸䶎翽끠〡ȶ焰⼩ȶƦcr븀쉫ȶ@in뮹平昳退쭰䶎翽쬸䶎翽뤠〡ȶ봠⼩ȶƦ46윐쉫ȶ@ocft뮱帋来退쭰䶎翽쬸䶎翽ꥠ〡ȶ恐⼩ȶƦ窀쉫ȶ@7G뮉布框耀᪀묶ȶᤀ묶ȶ䢀묶ȶ관ȋ뮁帛椀退쭰䶎翽쬸䶎翽赠〡ȶ ⼩ȶƦ〠쉫ȶ@禂誏贀耀뮙帓樶退쭰䶎翽쬸䶎翽讠〡ȶ佰⼩ȶƦȶ撰슳ȶ@ȶȶ뮑師欀退쭰䶎翽쬸䶎翽阠〡ȶǐ⼩ȶƦȶ兀쉫ȶ@ȶ롩帣汵退쭰䶎翽쬸䶎翽쪠〡ȶੀ⼩ȶƦ汰쉫ȶ@논颜鄀耀롡帻洶耀຀묶ȶ▀묶ȶ຀묶ȶÓĎ롹帳渀退쭰䶎翽쬸䶎翽챠〡ȶ勐⼩ȶƦȶ낐쉫ȶ@롱廋漀退쭰䶎翽쬸䶎翽〡ȶᄀ⼩ȶƦꏀ쉫ȶ@丶ꇰ销耀롉廃瀶退쭰䶎翽쬸䶎翽쀠〡ȶꜰ⼩ȶƦȶ타쉫ȶ@ȶ脀耀롁廛焀退쭰䶎翽쬸䶎翽习〡ȶ䩠⼩ȶƦȶ朠쉫ȶ@ȶ롙廓爀退쭰䶎翽쬸䶎翽淠〡ȶ╀⼩ȶƦ斠슳ȶ@죶쪀餀耀롑廫猶退쭰䶎翽쬸䶎翽〡ȶᑠ⼩ȶƦ紀쉫ȶ@렩廣琀耀ꮀ묶ȶက묶ȶꮀ묶ȶ鏈⫭㼗ҩ祩㞊⸋䢞̉렡廻甀退쭰䶎翽쬸䶎翽＠〡ȶ㑰⼩ȶƦ鞐쉫ȶ@ꟹ鴀耀령廳瘶耀⠀묶ȶ຀묶ȶ℀묶ȶȋ렱庋眀退쭰䶎翽쬸䶎翽〡ȶ䰐⼩ȶƦ血쉫ȶ@䗖中\M렉広硦退쭰䶎翽쬸䶎翽䤠〡ȶ⽠⼩ȶƦhe䭐쉫ȶ@GG렁庛礷退쭰䶎翽쬸䶎翽䁠〡ȶ۠⼩ȶƦH2敀쉫ȶ@렙库稀退쭰䶎翽쬸䶎翽눠〡ȶ庠⼩ȶƦȶ虠쉫ȶ@ȶ렑庫笀耀຀묶ȶ▀묶ȶ຀묶ȶȂ룩庣簶耀᐀묶ȶༀ묶ȶኀ묶ȶȋ룡庻紀退쭰䶎翽쬸䶎翽ﵠ〡ȶ㳠⼩ȶƦ諀쉫ȶ@㥋鹶룹庳縀退쭰䶎翽쬸䶎翽〡ȶཐ⼩ȶƦ긐쉫ȶ@ਘ蠞꤀耀룱奋缶退쭰䶎翽쬸䶎翽ꐠ〡ȶ䷀⼩ȶƦ賰쉫ȶ@튾횾룉奃耀退쭰䶎翽쬸䶎翽遠〢ȶ矰⼩ȶƦ캠쉪ȶ@町ḕ룁奛脀耀㜀묶ȶ㪀묶ȶ㜀묶ȶဂ룙奓舶耀䜀묶ȶ䄀묶ȶⰀ묶ȶ鈀䉰낑㫔ꑾش㋁휃ऋ룑奫茀耀䄀묶ȶ⮀묶ȶ䄀묶ȶİ墉芯披Ȏ뢩奣萀退쭰䶎翽쬸䶎翽⁠〢ȶ馰⼩ȶƦೀ쉬ȶ@ڹ緊넀耀뢡奻蔶耀澀묶ȶ炀묶ȶ皀묶ȶāɞȋ뢹女虳退쭰䶎翽쬸䶎翽绠〢ȶ魠⼩ȶƦȶǐ쉬ȶ@뢱夋蜀退쭰䶎翽쬸䶎翽애〡ȶ检⼩ȶƦȶ쯀쉫ȶ@ȶ딀耀뢉夃蠶耀㘀묶ȶ殀묶ȶ䐀묶ȶ똼걡瞉첑氉ĉ뢁夛襜退쭰䶎翽쬸䶎翽矠〢ȶꖀ⼩ȶƦeF⚀쉪ȶ@RB5E뢙夓詇退쭰䶎翽쬸䶎翽瑠〢ȶ판⼩ȶƦ쉫ȶ@르耀뢑夫謶退쭰䶎翽쬸䶎翽㜠〢ȶ狠⼩ȶƦȶ⩀쉪ȶ@ȶai륩夣谀退쭰䶎翽쬸䶎翽匠〢ȶ谰⼩ȶƦ㢠쉪ȶ@錱륡夻贺退쭰䶎翽쬸䶎翽멠〢ȶ꣠⼩ȶƦ쬰쉪ȶ@㲁㹹뵤耀륹夳踶蠀륱始輀退ば䯆翽㈀묶ȶ10B051B-躐⚍ȶ栰⡹ȶă翽љ륉姃遏蠀륁姛鄶退쭰䶎翽쬸䶎翽〢ȶ筐⼩ȶƦ鍻睰슳ȶ@髍䑜ૼ鍻'륙姓鈀退ば䯆翽㎀묶ȶ⛶䊯隟疈⬮ۓ¬鵰뭞ȶ彰⡹ȶ⛳䊯隟疈⬮ۓ°륑姫鍇退ば䯆翽㐀묶ȶ髍䑜➑빬䳾玶˧蠀⚍ȶ栰⡹ȶ꼳䶵ૼ鍻'뤩姣鐶退ば䯆翽㒀묶ȶᔶ佴馭⹑䜢嘰Β鑰뭞ȶ彰⡹ȶ髃䑜➑빬䳾玶ˉ뤡姻销耀䔀묶ȶ䎀묶ȶ㶀묶ȶā½Ď뤹姳陒退쭰䶎翽쬸䶎翽유〡ȶ橰⼩ȶƦeg쵐쉫ȶ@d쥓耀뤱妋霶耀ꮀ묶ȶ⺀묶ȶꮀ묶ȶ⦀뉤ᴛ牬먒ĉ뤉妃頀退쭰䶎翽쬸䶎翽殠〢ȶ限⼩ȶƦcr︐쉫ȶ@egOX뤁妛餢耀⬀묶ȶ㪀묶ȶ㼀묶ȶā᭺Ď뤙妓驴退쭰䶎翽쬸䶎翽ហ〢ȶ淐⼩ȶƦ.0쉫ȶ@QD뤑妫鬵退쭰䶎翽쬸䶎翽犠〢ȶ钠⼩ȶƦ쉫ȶ@⹡岊맩妣鱴退쭰䶎翽쬸䶎翽撠〢ȶ귰⼩ȶƦܠ쉬ȶ@옣떝텲耀맡妻鴶退쭰䶎翽쬸䶎翽⤠〢ȶ뙠⼩ȶƦᓠ쉬ȶ@Ꮵ뵍on맹妳鸀退쭰䶎翽쬸䶎翽漠〢ȶ聠⼩ȶƦȶｐ쉫ȶ@맱塋齆退쭰䶎翽쬸䶎翽⫠〢ȶꪐ⼩ȶƦȶᶠ쉬ȶ@ȶ핧耀막塃ꀶ耀⬀묶ȶ㜀묶ȶ㼀묶ȶ鈝볺ጋ링塛ꄀ退쭰䶎翽쬸䶎翽塠〢ȶ은⼩ȶƦ┠쉬ȶ@맙塓ꈀ退쭰䶎翽쬸䶎翽⹠〢ȶ璐⼩ȶƦȶ≐쉬ȶ@耀맑填ꌶ退쭰䶎翽쬸䶎翽哠〢ȶ黀⼩ȶƦȶ쉫ȶ@ȶ릩塣ꐀ退쭰䶎翽쬸䶎翽槠〢ȶꁰ⼩ȶƦ쉫ȶ@괾穠릡塻ꔀ退쭰䶎翽쬸䶎翽兠〢ȶ氠⼩ȶƦegῐ쉬ȶ@FT耀릹塳꘶耀㔀묶ȶ䎀묶ȶ㔀묶ȶİȎ릱堋꜀退쭰䶎翽쬸䶎翽᳠〢ȶ鋰⼩ȶƦ쉫ȶ@ꝓ氉릉堃ꠀ退쭰䶎翽쬸䶎翽嶠〢ȶ뻐⼩ȶƦȠ쉬ȶ@阨Ҝ耀릁堛ꤶ耀㜀묶ȶ㪀묶ȶ㜀묶ȶŶ䫓즖芠Ȏ릙堓ꨀ退쭰䶎翽쬸䶎翽㿠〢ȶ렐⼩ȶƦ㒐쉪ȶ@견rs릑堫ꬸ退쭰䶎翽쬸䶎翽ᬠ〢ȶ삀⼩ȶƦ㍐쉪ȶ@町ḕ\0빩堣걑退쭰䶎翽쬸䶎翽浠〢ȶ숰⼩ȶƦ✠쉪ȶ@BT빡堻관耀䜀묶ȶ⮀묶ȶⰀ묶ȶāˌȎ빹堳글退쭰䶎翽쬸䶎翽娠〢ȶ츀⼩ȶƦᡐ쉬ȶ@纃暸耀빱壋꼶耀ր哋翽翽翽빉壃끮退쭰䶎翽쬸䶎翽㕠〢ȶ얐⼩ȶƦȶ㏰쉪ȶ@빁壛넀退쭰䶎翽쬸䶎翽䷠〢ȶ뭰⼩ȶƦȶ⸰쉬ȶ@ȶ耀빙壓눶耀䔀묶ȶ㔀묶ȶ㶀묶ȶซ빑士대耀ꮀ묶ȶ⺀묶ȶꮀ묶ȶ⦀뉤ᴛ牬먒܉븩壣됀退쭰䶎翽쬸䶎翽㇠〢ȶ澀⼩ȶƦ⮰쉬ȶ@䲷耀븡壻딶耀㔀묶ȶ䎀묶ȶ㔀묶ȶ܂븹壳똀退쭰䶎翽쬸䶎翽鲠〢ȶ대⼩ȶƦ獠쉪ȶ@ṛ븱墋뜀退쭰䶎翽쬸䶎翽〢ȶ맀⼩ȶƦȶ酠쉪ȶ@ȶ耀ば⠪ȶ븉境렶退쭰䶎翽쬸䶎翽䆠〢ȶꏐ⼩ȶƦȶ猪쉫ȶ@&quot; 븁墛뤀耀䄀묶ȶ⮀묶ȶ䄀묶ȶं븙墓멤退ば䯆翽䞀묶ȶtime Exe走뭞ȶ彰⡹ȶcd.љ븑墫묶退쭰䶎翽쬸䶎翽素〢ȶ頀⼩ȶƦȶנּ쉫ȶ@୲耀뻩墣뱲耀ᤀ묶ȶẀ묶ȶᤀ묶ȶĂÙ狔⥅釼Ď뻡墻뵜退쭰䶎翽쬸䶎翽侠〢ȶ癀⼩ȶƦFE埠쉪ȶ@ﴺ耀뻹墳빯退쭰䶎翽쬸䶎翽䩠〢ȶꈠ⼩ȶƦFo쉫ȶ@ȶtF뻱孋뼀退쭰䶎翽쬸䶎翽❠〢ȶ텠⼩ȶƦcrઐ쉬ȶ@Mo뻉孃쁐退ば䯆翽䪀묶ȶ烠묽ȶⴐ䈖翽帰뭣ȶ彰⡹ȶӣ䈗翽뻁孛섶退쭰䶎翽쬸䶎翽〢ȶ챐⼩ȶƦȶ碰슳ȶ@&quot; 뻙孓숀退ば䯆翽䮀묶ȶārenMat鮀⚍ȶ栰⡹ȶ뻑孫썩蠀∈䯝翽ᷠ䯝翽꜐ぴȶꜘぴȶꜘぴȶℰ䯝翽≰䯝翽⇀䯝翽倠묂ȶ뺩季쐶退ば䯆翽䲀묶ȶ꺠⚍ȶ栰⡹ȶag&quot;뺡孻씀蠀∈䯝翽ᷠ䯝翽gLay꩐ぴȶ꩘ぴȶ꩘ぴȶℰ䯝翽tera≰䯝翽⇀䯝翽ckerInfo嶠묂ȶ！뺹孳완退ば䯆翽䶀묶ȶᔶ佴馭⹑䜢嘰Β냠⚍ȶ栰⡹ȶ髃䑜➑빬䳾玶ˉ뺱嬋윶退ば䯆翽一묶ȶ꼺䶵ૼ鍻*론⚍ȶ栰⡹ȶᔳ佴馭⹑䜢嘰Ή뺉嬃저退ば䯆翽亀묶ȶ烠묽ȶⴐ䈖翽꩐⚍ȶ栰⡹ȶӣ䈗翽뺁嬛쥧退ば䯆翽伀묶ȶ묶ȶ䴂묶ȶ戰뭣ȶ彰⡹ȶ븃嬜ൻ老뺙嬓쨶退ば䯆翽侀묶ȶ嬣䣯垴黅ӈÀꅐ⚍ȶ栰⡹ȶ꼳䶵ૼ鍻µ뺑嬫쬀退ば䯆翽倀묶ȶāntiiesꠐ⚍ȶ栰⡹ȶ뽩嬣챆蠀∈䯝翽ᷠ䯝翽껐ぴȶ께ぴȶ께ぴȶℰ䯝翽 ≰䯝翽⇀䯝翽愀灭 寀묂ȶ眀੬뽡嬻촶退쭰䶎翽쬸䶎翽쨠〢ȶ걀⼩ȶƦ漰뫵ȶ@Ñ崸ff뽹嬳칥退ば䯆翽冀묶ȶ髍䑜➑빬䳾玶˧丰뭣ȶ彰⡹ȶ꼳䶵ૼ鍻'뽱寋켺退쭰䶎翽쬸䶎翽뛠〢ȶ쏠⼩ȶƦȶ褀뭨ȶ@ᔀ老뽉寃퀶蠀∈䯝翽ᷠ䯝翽ꭐぴȶꭘぴȶꭘぴȶℰ䯝翽 ≰䯝翽⇀䯝翽 &#10;忀묂ȶ+뽁寛턀蠀∈䯝翽ᷠ䯝翽렄Ṕ膊ᕔ넀ぴȶ너ぴȶ너ぴȶℰ䯝翽≰䯝翽⇀䯝翽擠묂ȶ騂䑜➑빬뽙寓툀退ば䯆翽厀묶ȶ묶ȶ　⠪ȶ酰뭞ȶ彰⡹ȶ뼃寔ᥴ老뽑寫팶退ば䯆翽吀묶ȶꉰ⚍ȶ栰⡹ȶMod뼩寣퐀退ば䯆翽咀묶ȶā044500䨰뭣ȶ彰⡹ȶ뼡寻픠退ば䯆翽唀묶ȶ묶ȶ　⠪ȶ娰뭣ȶ彰⡹ȶ뼃导ᴳ老뼹寳혶退ば䯆翽喀묶ȶꀰ⚍ȶ栰⡹ȶ&quot;, 뼱宋휀退ば䯆翽嘀묶ȶꪀをȶ⹫ȶ嘰뭣ȶ彰⡹ȶԓ섋䭧䂧⎺乣숓꽦뼉它退ば䯆翽嚀묶ȶā묶ȶ　⠪ȶ诀⚍ȶ栰⡹ȶ뼃宄℠老뼁宛退ば䯆翽圀묶ȶ겐⚍ȶ栰⡹ȶ宜葉耀뼙宓退ば䯆翽垀묶ȶWai唰뭣ȶ彰⡹ȶ뼑宫退ば䯆翽堀묶ȶ烠묽ȶⴐ䈖翽뗰⚍ȶ栰⡹ȶӣ䈗翽뿩宣退ば䯆翽墀묶ȶ烠묽ȶⴐ䈖翽弰뭣ȶ彰⡹ȶӣ䈗翽뿡宻退ば䯆翽夀묶ȶ&quot;1F0D2껐⚍ȶ栰⡹ȶ뿹害退쭰䶎翽쬸䶎翽욠〢ȶ쾰⼩ȶƦ睐뫵ȶ@狣猲e\뿱婋退ば䯆翽娀묶ȶ0\0ꭀ⚍ȶ栰⡹ȶPGM뿉婃退ば䯆翽媀묶ȶXBT倰뭣ȶ彰⡹ȶ뿁婛退ば䯆翽嬀묶ȶ烠묽ȶⴐ䈖翽갰⚍ȶ栰⡹ȶӣ䈗翽뿙婓退ば䯆翽宀묶ȶ挰뭣ȶ彰⡹ȶta.뿑婫退ば䯆翽尀묶ȶāue,到뭣ȶ彰⡹ȶ뾩婣退ば䯆翽岀묶ȶ髍䑜➑빬䳾玶˄맠⚍ȶ栰⡹ȶ髃䑜➑빬䳾玶̈뾡婻退ば䯆翽崀묶ȶ烠묽ȶⴐ䈖翽夰뭣ȶ彰⡹ȶӣ䈗翽°뾹婳退ば䯆翽嶀묶ȶ烠묽ȶⴐ䈖翽䣐⚍ȶ栰⡹ȶӣ䈗翽뾱娋蠀∈䯝翽ᷠ䯝翽ꮰぴȶꮸぴȶꮸぴȶℰ䯝翽 ≰䯝翽⇀䯝翽＀ &#10;忠묂ȶ+뾉娃退ば䯆翽庀묶ȶ吰뭣ȶ彰⡹ȶ뾁娛退쭰䶎翽쬸䶎翽藠〢ȶ紀⼩ȶƦȶ迠뭨ȶ@뾙娓退ば䯆翽往묶ȶ묶ȶ、⠪ȶꄠ⚍ȶ栰⡹ȶ뼃娔㤀老뾑娫退ば䯆翽怀묶ȶ䴰뭣ȶ彰⡹ȶ뱩娣退ば䯆翽悀묶ȶ娡฀老估뭣ȶ彰⡹ȶ뱡娻退ば䯆翽愀묶ȶā묶ȶ띀⚍ȶ栰⡹ȶ밃娼㴀老뱹娳退쭰䶎翽쬸䶎翽餠〢ȶ념⼩ȶƦȶ瓐뫵ȶ@ᄀ老뱱嫋退쭰䶎翽쬸䶎翽춠〢ȶ쪠⼩ȶƦ46腰슳ȶ@ft뱉嫃退ば䯆翽技묶ȶāleC儰뭣ȶ彰⡹ȶG7G뱁嫛退ば䯆翽挀묶ȶVHJ陰뭞ȶ彰⡹ȶ뱙嫓退ば䯆翽掀묶ȶ䜰뭣ȶ彰⡹ȶ뱑嫫退ば䯆翽搀묶ȶā묶ȶ挂묶ȶ䠰뭣ȶ彰⡹ȶ밃嫬䔀老방嫣蠀∈䯝翽ᷠ䯝翽뉀ぴȶ뉈ぴȶ뉈ぴȶℰ䯝翽 ≰䯝翽⇀䯝翽 惠묂ȶ+밡嫻蠀∈䯝翽ᷠ䯝翽＀뉐ぴȶ뉘ぴȶ뉘ぴȶℰ䯝翽 ≰䯝翽⇀䯝翽 娠묂ȶ翽밹嫳退ば䯆翽斀묶ȶ꼺䶵ૼ鍻*鿐⚍ȶ栰⡹ȶᔳ佴馭⹑䜢嘰Ή백媋退ば䯆翽昀묶ȶ譠⚍ȶ栰⡹ȶ밉媃退ば䯆翽暀묶ȶ꼺䶵ૼ鍻*地뭣ȶ彰⡹ȶᔳ佴馭⹑䜢嘰Ή밁媛豈退쭰䶎翽쬸"/>
      </Event>
      <Event time="2024-11-18T17:06:21.37" id="{694973C5-2022-4E29-97A2-45F2F674F426}">
        <Attribution userId="뫔ȶ㡺뫔ȶ㢂뫔ȶ㤐뫔ȶ㤚뫔ȶ㦘뫔ȶ㦤뫔ȶ㨨뫔ȶ㨶뫔ȶ㪼뫔ȶ㫈뫔ȶ㭐뫔ȶ㭞뫔ȶ㯨뫔ȶ㯸뫔ȶ㲀뫔ȶ㲨뫔ȶ㹢뫔ȶ㻢뫔ȶ䆄뫔ȶ䈒뫔ȶ틨䯨翽썐䯵翽诰ⵝȶ쏠䯵翽瘸䯆翽쐨䯵翽Ꞁ䯅翽쐨䯵翽Ꞁ䯅翽瘿ᚔᇁ뒹y\2孆唋ᄶ耀https://enelcom.sharepoint.com/sites/EngKnowledgePartnerships-EKP/Shared%20Documents/EMP/Master%20Capex/AB%20to%20MC/AB2MC.xlsx字唘ሂ耀https://enelcom.sharepoint.com/sites/engknowledgepartnerships-ekp/shared%20documents/emp/master%20capex/ab%20to%20mc/ab2mc.xlsx32嬤啩ጃ耀https://enelcom.sharepoint.com/sites/EngKnowledgePartnerships-EKP/Shared%20Documents/EMP/Master%20Capex/AB%20to%20MC/AB2MC.xlsx嬵啶ᑠ耀https://enelcom.sharepoint.com/sites/engknowledgepartnerships-ekp/shared%20documents/ekp/master%20capex/ab%20to%20mc/ab2mc.xlsx嬂啇ᔦ退粀ⶽȶ肀⢠〙ȶ脀긠⡹ȶ脀議⡹ȶ脀ꪀ뮀ȶ腀鋰⡹ȶ脀赐⡹ȶ脀嬓啔ᘁ耀㲎뫔ȶ㳪뫔ȶ㴆뫔ȶ㴠뫔ȶ㴸뫔ȶ㵒뫔ȶ㵪뫔ȶ㶀뫔ȶ㶒뫔ȶ㶲뫔ȶ㷊뫔ȶ㷪뫔ȶ㸆뫔ȶ㸜뫔ȶ㹊뫔ȶ㻴뫔ȶ㼒뫔ȶ㼠뫔ȶ㽈뫔ȶ㽸뫔ȶ㾪뫔ȶ㿆뫔ȶ㿨뫔ȶ㿾뫔ȶ䀘뫔ȶ䀴뫔ȶ䁌뫔ȶ䁬뫔ȶ䂊뫔ȶ䂠뫔ȶ䂶뫔ȶ䃆뫔ȶ寠喥ᜀ耀https://enelcom.sharepoint.com/sites/EngKnowledgePartnerships-EKP/Shared%20Documents/EMP/Master%20Capex/AB%20to%20MC/AB2MC.xlsx寱喲᠀耀https://enelcom.sharepoint.com/sites/EngKnowledgePartnerships-EKP/Shared%20Documents/EMP/Master%20Capex/AB%20to%20MC/AB2MC.xlsx寞喃ᥠ退ﵐ⢁ȶ䄂ó뤀⻈ȶĀꐠ⻈ȶĀ႐뱁ȶĀऐ뱁ȶĀ炀疻ȶĀ甀疻ȶĀ甀疻ȶĀ炀疻ȶĀ䭀⿚ȶĀ慠⿚ȶĀ扠⿚ȶĀ자ベȶĀᝰ벊ȶĀፐ벊ȶĀ旘䯴翽鎸䯄翽宯喐ᨀ耀https://enelcom.sharepoint.com/sites/EngKnowledgePartnerships-EKP/Shared%20Documents/EMP/Master%20Capex/AB%20to%20MC/AB2MC.xlsx32宼嗡ᬑ退꼐〗ȶY\USER\S-1-5-21-209216993-2763362892-3104057069-389913\Software\Policies\Microsoft\Cloud\Office\16.0\Common\InternetTm宍嗎ᰏ耀https://enelcom.sharepoint.com/sites/EngKnowledgePartnerships-EKP/Shared%20Documents/EMP/Master%20Capex/AB%20to%20MC/AB2MC.xlsx2È䂠䂠䋰뭑ȶ̇呄ｪ5#``⬀뭪ȶÈ䃠&#10;&#10;䃠&#10;&#10;㤰뭑ȶ蛯သ㷠⡻ȶꕀ⢿ȶ&#10;타﩮ᭀ耀$⁰⵨ȶ耆⠪￴⢚⢚囀⵱ȶ塦吪耀䦈䈙翽㠠䈗翽㟸䈗翽㟘䈗翽ᤀ쇱ȶᤀ쇱ȶᤐ쇱ȶ؀ĆĆĆ윰묵ȶ坐슘ȶ址슘ȶ씀﵋ĀĂ塸吼ĉ蠀阸䯨翽⻞ȶﻐ⻂ȶ⻂ȶ솰슍ȶЀෘ♚ȶ&quot;吐うȶ㾀㾀᧿Ѐলǁ茌塊后Ȁ退⪠⠺ȶ틨䯨翽൘䯄翽峀ᦽȶ่䯄翽䯅翽၀䯄翽섀䯫翽ሰ䯄翽䯅翽ቸ䯄翽嶀ᦽȶ莸䯄翽섀䯫翽蒸䯄翽䯅翽蚸䯄翽䯅翽⾈䯅翽䯅翽땘䯅翽䈰⡈ȶ튈䯪翽鎸䯄翽ᇠ䯵翽ꢀ⠻ȶ塜吀̄耀䦈䈙翽㠠䈗翽㟸䈗翽㟘䈗翽᐀쇱ȶ᐀쇱ȶᐐ쇱ȶÐ탤탤탤꽠싍ȶ凐슘ȶ净슘ȶĂ堮吒Ѐ耀䦈䈙翽㠠䈗翽㟸䈗翽㟘䈗翽렠쇰ȶ렠쇰ȶ렰쇰ȶ吀͔͔͔褰⻸ȶ媰슘ȶ媠슘ȶĂ堠呤Ԁ耀䦈䈙翽㠠䈗翽㟸䈗翽㟘䈗翽鷠쇰ȶ鷠쇰ȶ鷰쇰ȶ଀̋̋̋떐〺ȶ嶰슘ȶ嶠슘ȶĂ堲呶؀耀䦈䈙翽㠠䈗翽㟸䈗翽㟘䈗翽뙀쇰ȶ뙀쇰ȶ뙐쇰ȶ؀ĆĆĆ벐묵ȶᇰ슘ȶᇠ슘ȶĂ堄呈܀耀䦈䈙翽㠠䈗翽㟸䈗翽㟘䈗翽껀쇰ȶ껀쇰ȶ껐쇰ȶ䨀͊͊͊ꦰ⿡ȶᲰ슘ȶᲠ슘ȶĂ堖呚ࠀ耀䦈䈙翽㠠䈗翽㟸䈗翽㟘䈗翽5魠쇰ȶ魠쇰ȶ魰쇰ȶ˦˦˦⢾ȶṐ슘ȶṀ슘ȶ씀﵋ĀĂ壨咬ऀ耀䦈䈙翽㠠䈗翽㟸䈗翽㟘䈗翽֠쇱ȶ֠쇱ȶְ쇱ȶåᗐ슠ȶ鲀뱫ȶ鱰뱫ȶĂ壺咾਀耀䦈䈙翽㠠䈗翽㟸䈗翽㟘䈗翽딀쇰ȶ딀쇰ȶ딐쇰ȶǴǴǴࢰ⽃ȶ忐슘ȶ忀슘ȶĂ壌咰଀耀䦈䈙翽㠠䈗翽㟸䈗翽㟘䈗翽쇰ȶ쇰ȶ쇰ȶǱǱǱڰ⽃ȶ㺐슘ȶ㺀슘ȶĂ壞咂ఀ耀䦈䈙翽㠠䈗翽㟸䈗翽㟘䈗翽缀鼠쇰ȶ鼠쇰ȶ鼰쇰ȶ缀ǰǰǰ⽂ȶཐ슘ȶཀ슘ȶĂ壐咔ഀ耀䦈䈙翽㠠䈗翽㟸䈗翽㟘䈗翽ꁠ쇰ȶꁠ쇰ȶꁰ쇰ȶ怀·띠띠띠р숚ȶᚰ슘ȶᚠ슘ȶĂ墢哦฀耀䦈䈙翽㠠䈗翽㟸䈗翽㟘䈗翽 쇱ȶ 쇱ȶ°쇱ȶ뼀ʿʿʿꪠ盕ȶ鶀뱫ȶ鵰뱫ȶĂ墴哸ༀ蠀䯨翽謐묮ȶ㠰⵨ȶ㄰⵨ȶ흰♿ȶЁߐⶺȶ෸♚ȶȹ&quot;ႀぇȶ⻀ȶ{￹翿{㾀㾀᣿؃Ƴ⇀茄,墆哊က耀䦈䈙翽㠠䈗翽㟸䈗翽㟘䈗翽ـ쇱ȶـ쇱ȶِ쇱ȶ봀ʽʽʽ군盕ȶꅠ뱫ȶꅐ뱫ȶĂ墘哜ᄀ退暰䯨翽謐묮ȶ㧰⵨ȶ㠰⵨ȶ⺘ȶЀ๸♚ȶȱ&quot;ఀぇȶ먀⻀ȶ￹翿㾀㾀ჿ؃Ʊ⇀茄,奪售ሓ耀䦈䈙翽㠠䈗翽㟸䈗翽㟘䈗翽๠쇱ȶ๠쇱ȶ๰쇱ȶ㘀ȶȶȶ⵰ȶ䝐슘ȶ䝀슘ȶĂ奼唠ጒ退暰䯨翽謐묮ȶ㧰⵨ȶ༠뮓ȶ Ё๸♚ȶȲ&quot;춐うȶ유⻀ȶ­￹翿㾀㾀᠀؃Ʊǀ茄奎唲᐀耀䦈䈙翽㠠䈗翽㟸䈗翽㟘䈗翽燎쇰ȶ燎쇰ȶ類쇰ȶ섀ˁˁˁ댐盕ȶꕀ뱫ȶꔰ뱫ȶĂ奀唄ᔀ蠀阸䯨翽⻞ȶ⻂ȶѰ⻃ȶ쒰슍ȶЀෘ♚ȶ&quot;苀うȶ㾀㾀᧿Ѐলǁ茌奒唖ᘀ耀䦈䈙翽㠠䈗翽㟸䈗翽㟘䈗翽ઠ쇱ȶઠ쇱ȶર쇱ȶ대ʳʳʳ骐뮋ȶ㧐슘ȶ㧀슘ȶĂ夤啨ᜀ耀䦈䈙翽㠠䈗翽㟸䈗翽㟘䈗翽Ȁ쇰ȶ쇰ȶ쇰ȶ؀ĆĆĆ띀묵ȶ鳠뱫ȶ鳐뱫ȶꔀ䳜翽Ă夶啺᠐耀䦈䈙翽㠠䈗翽㟸䈗翽㟘䈗翽Ȁ쇱ȶ쇱ȶ쇱ȶ븀ʾʾʾ荀盕ȶ㭐슘ȶ㭀슘ȶĂ夈啌ᤛ耀䦈䈙翽㠠䈗翽㟸䈗翽㟘䈗翽쇰ȶ쇰ȶ쇰ȶ㸀ȾȾȾ絠쇩ȶ䒐슘ȶ䒀슘ȶĂ多啞ᨔ耀䦈䈙翽㠠䈗翽㟸䈗翽㟘䈗翽o쇰ȶ쇰ȶ쇰ȶrǱǱǱice⽂ȶ倰슘ȶ倠슘ȶOpeĂ姬啐ᬗ退ঈ䯱翽謐묮ȶ⽰⵨ȶⶰ⵨ȶа슍ȶЁ在䰳翽ȴ&quot;7ﺀうȶ⻀ȶ*￹翿㾀㾀᣿؃Ʋǀ茄,e姾喢ᰓ耀䦈䈙翽㠠䈗翽㟸䈗翽㟘䈗翽ༀ쇱ȶༀ쇱ȶ༐쇱ȶ쀀ˀˀˀ酐盕ȶ㿐슘ȶ㿀슘ȶĂ姰喴ᴛ退ঈ䯱翽謐묮ȶ㄰⵨ȶ⽰⵨ȶ슍ȶЀ在䰳翽ȳ&quot;콀うȶ⻀ȶ￹翿㾀㾀᣿؃Ʋǀ茄,姂喆ḓ耀䦈䈙翽㠠䈗翽㟸䈗翽㟘䈗翽ව쇱ȶව쇱ȶැ쇱ȶ茀ʃʃʃ錐⺄ȶ䖰슘ȶ䖠슘ȶĂ委喘἗耀䦈䈙翽㠠䈗翽㟸䈗翽㟘䈗翽쇰ȶ쇰ȶ쇰ȶ쀀ˀˀˀ盕ȶ颀뱫ȶ顰뱫ȶĂ妦嗪‒耀䦈䈙翽㠠䈗翽㟸䈗翽㟘䈗翽ᗠ쇱ȶᗠ쇱ȶᗰ쇱ȶﬀǻǻǻ䶠⻘ȶ䵐슘ȶ䵀슘ȶ씀﵋ĀĂ妸嗼ℛ耀䦈䈙翽㠠䈗翽㟸䈗翽㟘䈗翽5｠쇰ȶ｠쇰ȶｰ쇰ȶ뼀ʿʿʿ躀盕ȶꌠ뱫ȶꌐ뱫ȶ씀﵋ĀĂ妊嗎∖退⪠⠺ȶ틨䯨翽൘䯄翽嚐ᦽȶ၀䯄翽倨䯄翽ሰ䯄翽䯅翽ቸ䯄翽侠ᦽȶ莸䯄翽섀䯫翽蒸䯄翽䯅翽蚸䯄翽䯅翽⾈䯅翽䯅翽땘䯅翽䈰⡈ȶ瑘䯨翽成っȶ튈䯪翽鎸䯄翽튈䯪翽鎸䯄翽妜嗀⍪耀䦈䈙翽㠠䈗翽㟸䈗翽㟘䈗翽쇰ȶ쇰ȶ쇰ȶ뼀ʿʿʿꔀ盕ȶ驠뱫ȶ驐뱫ȶ씀﵋ĀĂ䃀䕀슻ȶ蛯သ糀박ȶ셐몚ȶ타驾᧰ȶ䂀⵨ȶ￹∽㐶⼢㰾杢潃潬⁲幧吪e鐀ȴĀ䰱翽䀍쐗﵋ꀀ跍㘨䠀쑓﵋﵋﵋﵋䠀쐎﵋℀赬㘨退쐎﵋Ā赢㘨쏟﵋ᄀ赪㘨퀀얜﵋倀예﵋᠀얞﵋倀예﵋렀쑾﵋䀀㘭쒅﵋섀㘭액﵋﵋怀액﵋﵋ꠀ﵋㘭Ȁ䀁め﵌Ԁ午䯄翽櫰䯴翽鯸䯜翽틨䯨翽䰸䯄翽Ṁ슫ȶ鳐䯅翽ࡐ䯆翽鸘䯅翽ࡐ䯆翽Ă腀䰰翽䀂쐗﵋ 跕㘨뀀쏠﵋怀㘭̀䀁め﵌ࠀᝀ䯄翽⢍ȶ午䯄翽섀䯫翽葰䯄翽촁ⷤȶ䰸䯄翽㷰슫ȶ鯸䯜翽틨䯨翽鳐䯅翽ࡐ䯆翽ꆘ䯅翽ࡐ䯆翽鸘䯅翽ࡐ䯆翽ă腀䰰翽뀁쏠﵋怀㘭̀ă腀䰰翽렂씆﵋က跖㘨얝﵋﵋̀ 幀吇ź耀ヽȶ釠ⷊȶી쉴ȶālagsāād㟫߹翾갰䵕翽&#10;ⷊȶ冈&#10;ime連୲㩥Ǜ㟫߹翾ꬰ窏óヽȶ棰⻶ȶက쉴ȶāⷊȶ翿 ⷊȶ&#10;翿 ⻶ȶ翿 ヽȶ墀뮌ȶీ쉴ȶĂ帽呠ȶ耀ヽȶ飠ⷊȶཀ쉴ȶ鈀罿㖍ǜĂヽȶ連୲㩥Ǜ戴㴌Ǜ⻶ȶ무䵌翽謀窏ó⹍ȶᬉ庞쬩㾀⻶ȶ귐⎪둅ヽȶ؟쭒䵁翽謀窏ó玀۾쳑ⷊȶ쭒䵁翽謀窏ó㌲ㄮ〴ⷊȶ؟쭒䵁翽謀窏ó⸲㌲ㄮuccess؁쭒䵁翽謀窏ó&#10;㌮㈮㄀ヽȶ섰ⷎȶᆠ쉴ȶ㌮ㄮ㄀㌮Ăㄮ㔮㔮㜮㌮㠮帖呝̶退①⸐ȶⷤȶⷤȶⷤȶ骀⸗ȶⷤȶ⒰⸐ȶⷤȶⷤȶⷤȶⷤȶⷤȶ鵀⸗ȶⷤȶⷤȶ醀⸗ȶ⣀⸐ȶἐ⸐ȶⷤȶⷤȶ■⸐ȶ㱰ⷯȶᥰ⸐ȶ─⸐ȶⷤȶⷤȶ⟐⸐ȶ駠ゔȶ釀⸗ȶⷤȶⷤȶⷤȶⷤȶⷤȶⷤȶB廳咶ж退䯃翽⸭ȶ䯃翽鸞⸭ȶ䯃翽⸭ȶ䯃翽⸭ȶ䯃翽⸭ȶຐ䯄翽⸭ȶᣘ䯄翽⸭ȶ 䰸䯄翽⸭ȶ嚀䯄翽⸭ȶ苠䯄翽⸭ȶ蔀䯄翽⸭ȶ懰䯅翽⸭ȶag鶘䯅翽⸭ȶag鷘䯅翽⸭ȶag鸘䯅翽龜⸭ȶagࣈ䯆翽⸭ȶagस䯆翽⸭ȶag랠䯜翽⸭ȶag뱈䯜翽⸭ȶag䯞翽⸭ȶag䈀䯟翽⸭ȶ&#10;ag䛈䯟翽⸭ȶ⛰䯨翽⸭ȶ翰䯨翽⸭ȶ㜮㌮㠮庬咓Զ退ȸĀ䰱翽렇씆﵋꬚㛂䀀쐗﵋跩㘨耀﵋﵋䠀쑓﵋﵋耀옏﵋℀趍㘨頀얝﵋ꀀꭗ㛂얝﵋ꀀꭗ㛂Ȁ送㇩﵌Ā午䯄翽璈䯫翽Ă٠䰲翽耆﵋연﵋怀﵋က跇㘨怀﵋ 跌㘨뀀﵋연﵋怀쏠﵋﵋﵋﵋Ȁ뀁ㇱ﵌Ȁᝀ䯄翽욀⢍ȶ午䯄翽ڸ䯶翽Ă腀䰰翽렂씆﵋ꀀꬿ㛂䠀쑓﵋蠀﵋Ȁ䀁め﵌̀ᝀ䯄翽擰슫ȶڸ䯅翽擰슫ȶ䯃翽틨䯨翽ă腀䰰翽䀃쐗﵋䀀ꭲ㛂렀씆﵋䀀ꭲ㛂怀쏠﵋﵋̀ă︈䰱翽렁씆﵋跉㘨̀䀁め﵌Ѐڸ䯅翽㸠슫ȶ午䯄翽櫰䯴翽鸘䯅翽ࡐ䯆翽葰䯄翽詑⢍ȶ̃̃ ⵐȶⵐȶⵐȶⵐȶⵐȶⵐȶⵐȶⵐȶⵐȶⵐȶⵐȶⵐȶⵐȶⵐȶⵐȶⵐȶ泌ⵐȶ漣ⵐȶ節ⵐȶ쩼ⵐȶ쭂ⵐȶ쭬ⵐȶ찲ⵐȶ챜ⵐȶ촢ⵐȶ쵌ⵐȶ츒ⵐȶ츼ⵐȶ켂ⵐȶ켬ⵐȶ쿲ⵐȶ퀜ⵐȶ탢ⵐȶ턌ⵐȶ퇒ⵐȶ퇼ⵐȶ틂ⵐȶ틬ⵐȶ펲ⵐȶ폜ⵐȶ풢ⵐȶ퓌ⵐȶ햒ⵐȶ햼ⵐȶ횂ⵐȶ횬ⵐȶ흲ⵐȶ힜ⵐȶⵐȶⵐȶⵐȶⵐȶ窱ⵐȶ𥳐ⵐȶﮞⵐȶ﯈ⵐȶﲆⵐȶﲪⵐȶﴆⵐȶﴰⵐȶ꜐藯뀐⹷ȶ좠몜ȶ楆敬╳䵜捩潲潳瑦传晦捩履潲瑯作晦捩ㅥ尶塅䕃⹌塅E%ProgramFiles%\Microsoft Office\root\Office16\EXCEL.EXE`ꀀX瑩〰〰㈰ㄲ㐵㈲쾞ꤵ뚷䥵뚔＆罇㵕跸ᇮ຃ᔀ䡝․쾞ꤵ뚷䥵뚔＆罇㵕跸ᇮ຃ᔀ䡝․ØÎ ꀀ匱卐藠俹ၨ醫✫mἀ⸀圀椀渀搀 䈀伀倀 䈀漀儀 䘀漀爀洀 漀昀 儀甀漀琀愀琀椀漀渀 吀攀洀瀀氀愀琀攀 爀攀瘀　㔀㤀㄀偓녓洖굄炍Ꝉ䁈ꐮ砽ᶌ栀H風௝鐺䡕䂪좮ᔹꬮ.⸀蒨뭰ȶ쵠⣮ȶ௝鐺䡕䂪좮ᔹꬮ*⨀蒤ᵰ⹊ȶ몜ȶ왼ⵐȶ욐ⵐȶ윈ⵐȶ쟸ⵐȶ절ⵐȶ좘ⵐȶ좬ⵐȶⵐȶⵐȶⵐȶⵐȶⵐȶⵐȶⵐȶⵐȶⵐȶⵐȶⵐȶⵐȶⵐȶⵐȶⵐȶⵐȶⵐȶⵐȶⵐȶⵐȶⵐȶⵐȶⵐȶⵐȶⵐȶⵐȶⵐȶⵐȶⵐȶⵐȶ쭜뮑ȶ찦뮑ȶ철뮑ȶ체뮑ȶ쵄뮑ȶ춼뮑ȶ췐뮑ȶ친뮑ȶ켮뮑ȶ콎뮑ȶ쿜뮑ȶ퀼뮑ȶ큶뮑ȶ턄뮑ȶ텀뮑ȶ퇎뮑ȶ툸뮑ȶ튦뮑ȶ퍄뮑ȶ펞뮑ȶ퐬뮑ȶ푮뮑ȶ퓼뮑ȶ핌뮑ȶ핤뮑ȶ헲뮑ȶ혨뮑ȶ혾뮑ȶ후뮑ȶ휄뮑ȶ힊뮑ȶퟔ뮑ȶ뮑ȶ뮑ȶ뮑ȶ뮑ȶ뮑ȶ뮑ȶ뮑ȶ뮑ȶ뮑ȶ뮑ȶ뮑ȶ뭌뮑ȶ蒚သ쏐봅ȶ셐몚ȶ&#10;타趎᪠翷埐⵨ȶᐧ봈쇯ȶ弐吪退ᒰૐ翾⊐♰ȶ犘숮ȶ碘숮ȶà䵤翽꽠뫫ȶ룠볐ȶ猈숮ȶ礈숮ȶ焛য翾ᕠૐ翾❨쇮ȶ❨쇮ȶ忠吺Ā退ᒰૐ翾⊐♰ȶ귘벶ȶ께벶ȶà䵤翽ꮠ〻ȶ룠볐ȶ깈벶ȶ꽈벶ȶ焛য翾ᕠૐ翾❨쇮ȶ❨쇮ȶ忰吊Ȁ退ᒰૐ翾␐♰ȶ搘⵨ȶ炘숮ȶà䵤翽뇀뫫ȶ덀볐ȶ撈⵨ȶ焈숮ȶ焛য翾ᕠૐ翾➸쇮ȶ➸쇮ȶ忀吚̀耀诰䈗翽翾皜ȶ쉛ȶ곇쒭⛶䊯隟疈⬮ۓŒā뮀슛ȶɢ뫀슛ȶ梐看ȶ皜ȶ 耀ȶĂ忐呪Ѐ耀诰䈗翽f0஠皝ȶ쉛ȶ곇쒭⛶䊯隟疈⬮ۓŒsāes륀슛ȶĆ믠슛ȶer攐看ȶภ皝ȶ 耀edĂ徠呺Ԁ退ᒰૐ翾⊐♰ȶ挈볛ȶ焸⢫ȶà䵤翽拠〻ȶ룠볐ȶ捸볛ȶ熨⢫ȶ焛য翾ᕠૐ翾❨쇮ȶ❨쇮ȶ徰告؀耀诰䈗翽f0Ӏ皝ȶ쉛ȶ孈컚퍡䜾麆嶂ᥚ0āIn돐슛ȶ˴됰슛ȶC-斐看ȶِ皝ȶ 耀ckĂ往呚܀耀诰䈗翽f0皜ȶ쉛ȶ곇쒭⛶䊯隟疈⬮ۓŒāЁ翾뤐슛ȶɡ봀슛ȶ提看ȶ皜ȶ 耀翾Ă徐咪ࠀ耀诰䈗翽f0ˠ皝ȶ쉛ȶ孈컚퍡䜾麆嶂ᥚsāes뇰슛ȶӛ뎠슛ȶer曐看ȶ࣐皝ȶ 耀enĂ屠咺ऀ耀诰䈗翽f0ְ皝ȶ쉛ȶ孈컚퍡䜾麆嶂ᥚPāve뽰슛ȶȞ쉰슛ȶat敐看ȶސ皝ȶ 耀tiĂ屰咊਀退ē翷᭘밸ȶㆀ⹰ȶē翷懰⵨ȶ휅⍵０局咚଀耀诰䈗翽翾ര皝ȶ쉛ȶ孈컚퍡䜾麆嶂ᥚā잀슛ȶȝ쁠슛ȶ楰看ȶ௰皝ȶ 耀ȶĂ屐哪ఀ退ᒰૐ翾␐♰ȶ栘⵨ȶ娘⵨ȶà䵤翽빀뫫ȶ덀볐ȶ梈⵨ȶ媈⵨ȶ焛য翾ᕠૐ翾➸쇮ȶ➸쇮ȶ尠哺ഀ耀诰䈗翽f0΀皝ȶ쉛ȶ곇쒭⛶䊯隟疈⬮ۓŒ‎āGe에슛ȶȞ준슛ȶes挐看ȶ﷠皜ȶ 耀olĂ尰哊฀耀诰䈗翽f0݀皝ȶ쉛ȶ곇쒭⛶䊯隟疈⬮ۓőPāve점슛ȶȤ쎐슛ȶat昐看ȶ॰皝ȶ 耀deĂ尀哚ༀ耀诰䈗翽翾ী皝ȶ쉛ȶ곇쒭⛶䊯隟疈⬮ۓőā샰슛ȶɹ죐슛ȶ晐看ȶਐ皝ȶ 耀ȶĂ尐唪က退ᒰૐ翾␐♰ȶ싐ȶ搘⵨ȶà䵤翽꺠뫫ȶ덀볐ȶ싐ȶ撈⵨ȶ焛য翾ᕠૐ翾➸쇮ȶ➸쇮ȶ峠唺ᄀ退ᒰૐ翾␐♰ȶ琘⵨ȶḘ⚍ȶà䵤翽映〻ȶ덀볐ȶ璈⵨ȶẈ⚍ȶ焛য翾ᕠૐ翾➸쇮ȶ➸쇮ȶ峰唊ሀ耀诰䈗翽f0皜ȶ쉛ȶ곇쒭⛶䊯隟疈⬮ۓŒGā -먀슛ȶɣ데슛ȶen槰看ȶ皜ȶ 耀rdĂ峀唚ጀ耀诰䈗翽翷̰皝ȶ쉛ȶ孈컚퍡䜾麆嶂ᥚā뱀슛ȶǰ뇀슛ȶ械看ȶڠ皝ȶ 耀Ă峐啪᐀退ē翷໘묆ȶ痰⵨ȶ늠〵ȶē翷毰⵨ȶ훍⍵０岠啺ᔀ耀诰䈗翽翷ࢀ皝ȶ쉛ȶ孈컚퍡䜾麆嶂ᥚā쀀슛ȶȟ숐슛ȶ柰看ȶठ皝ȶ 耀Ă岰啊ᘀ耀诰䈗翽翾؀皝ȶ쉛ȶ곇쒭⛶䊯隟疈⬮ۓŒā샀슛ȶ͍뾠슛ȶ樰看ȶϐ皝ȶ 耀ȶĂ岀啚ᜀ耀诰䈗翽f0੠皝ȶ쉛ȶ곇쒭⛶䊯隟疈⬮ۓŒaāum쇠슛ȶ̯쉀슛ȶAP曰看ȶჰ皝ȶ 耀s-Ă岐喪᠀耀诰䈗翽f0ર皝ȶ쉛ȶ곇쒭⛶䊯隟疈⬮ۓœAā ‎삐슛ȶឮ선슛ȶzz棐看ȶ଀皝ȶ 耀tTĂ嵠喺ᤀ退遠䯄翽ꖰ⡹ȶ烰⵨ȶ䆐볟ȶЁ♙ȶǴ&quot;䶀뫟ȶ㊠⡹ȶ&#10; 㿿㿿&#10; &#10; 㾀㾀⣿ᘃƓ׀茄,p嵰喊ᨀ耀枰䈕翽廀䈕翽ȶ웛∍ⴐ䈖翽ダȶⴐ䈖翽蓠皝ȶz䑛⏺䜕ᦝ鲺픣䷍믫髋꺙䄢➰漯⋲퀸ⶽȶ盠ȶ嵀喚ᬀ退ē翷᷸밸ȶㆀ⹰ȶē翷狰⵨ȶ휅⍵０嵐嗪ᰀ退ᒰૐ翾␐♰ȶ㐈볛ȶ椘⵨ȶà䵤翽斀〻ȶ덀볐ȶ㑸볛ȶ榈⵨ȶ焛য翾ᕠૐ翾➸쇮ȶ➸쇮ȶ崠嗺ᴀ耀枰䈕翽廀䈕翽ó웛∍缁ⴐ䈖翽殺ダȶⴐ䈖翽翠皝ȶ脒䮒雙䴁䇶깪홹|yᩤ﵍؄䥄쎓E㗱鮍ā盠ȶ崰嗊Ḁ退ē翷薨♺ȶ痘⿸ȶ薨♺ȶ痰⵨ȶē翷痰⵨ȶ훔⍵０pᬑ蛯သ1옘⻍ȶ懠ƍ翷 䀀䀀ᄰ볓ȶ㨏瓱汽䝬뮪㖊ᐋ攸1븸⻍ȶ懠ƍ翷础⵨ȶ㨏瓱汽䝬뮪㖊ᐋ攸1컘⻍ȶ懠ƍ翷 䀀䀀ቐ볓ȶ㨏瓱汽䝬뮪㖊ᐋ攸⻍ȶ懠ƍ翷礐⵨ȶ㨏瓱汽䝬뮪㖊ᐋ攸함⻍ȶ懠ƍ翷 䀀䀀ኰ볓ȶ㨏瓱汽䝬뮪㖊ᐋ攸욈⻍ȶ懠ƍ翷 䀀䀀缐볓ȶ㨏瓱汽䝬뮪㖊ᐋ攸1품⻍ȶ懠ƍ翷穈⵨ȶ㨏瓱汽䝬뮪㖊ᐋ攸1솸⻍ȶ懠ƍ翷窰⵨ȶ㨏瓱汽䝬뮪㖊ᐋ攸참⻍ȶ懠ƍ翷笘⵨ȶ㨏瓱汽䝬뮪㖊ᐋ攸콈⻍ȶ懠ƍ翷简⵨ȶ㨏瓱汽䝬뮪㖊ᐋ攸쌈⻍ȶ懠ƍ翷篨⵨ȶ㨏瓱汽䝬뮪㖊ᐋ攸퉘⻍ȶ懠ƍ翷籐⵨ȶ㨏瓱汽䝬뮪㖊ᐋ攸1퀨⻍ȶ懠ƍ翷粸⵨ȶ㨏瓱汽䝬뮪㖊ᐋ攸1킘⻍ȶ懠ƍ翷素⵨ȶ㨏瓱汽䝬뮪㖊ᐋ攸횸⻍ȶ懠ƍ翷綈⵨ȶ㨏瓱汽䝬뮪㖊ᐋ攸쭘⻍ȶ懠ƍ翷緰⵨ȶ踏滩濙䌠ᖽ挳틈⻍ȶ懠ƍ翷繘⵨ȶ踏滩濙䌠ᖽ挳첨⻍ȶ懠ƍ翷 䀀䀀耰볓ȶ됑鼃岍七䓥楔꟦슘⻍ȶ懠ƍ翷 䀀䀀灰볓ȶ됑鼃岍七䓥楔꟦1⻍ȶ懠ƍ翷羐⵨ȶ됑鼃岍七䓥楔꟦1⻍ȶ懠ƍ翷䀀䀀パȶ됑鼃岍七䓥楔꟦1⻍ȶ懠ƍ翷䀀䀀薀⸭ȶ됑鼃岍七䓥楔꟦1⻍ȶ懠ƍ翷䀀䀀蘐⸭ȶ됑鼃岍七䓥楔꟦⻍ȶ懠ƍ翷䀀䀀癐⸭ȶ됑鼃岍七䓥楔꟦" userName="" userProvider="ttps://enelcom.sharepoint.com/sites/EngKnowledgePartnerships-EKP/Shared%20Documents/EMP/Master%20Capex/A"/>
        <Anchor>
          <Comment id="{0919CC70-914C-4FDA-8716-9631E22B151F}"/>
        </Anchor>
        <SetTitle title="@Pavone Luigi (EGP&amp;TGX) inserite voci personale di costruzione. Aggiungere x favore riferimenti specifica tecnica"/>
      </Event>
    </History>
  </Task>
</Tasks>
</file>

<file path=xl/documenttasks/documenttask2.xml><?xml version="1.0" encoding="utf-8"?>
<Tasks xmlns="http://schemas.microsoft.com/office/tasks/2019/documenttasks">
  <Task id="{E81FE7C5-BB09-4C45-A583-831B4F659A03}">
    <Anchor>
      <Comment id="{82DEBC0E-174F-403C-84A9-2904FF1FAC86}"/>
    </Anchor>
    <History>
      <Event time="2025-02-20T09:50:13.67" id="{F465DEC5-75D8-43D5-916B-2975E14DA1B1}">
        <Attribution userId="S::francesco.tamma@enel.com::dc4c4b90-118f-42c9-8899-3949f601ef92" userName="Tamma Francesco (EGP&amp;TGX)" userProvider="AD"/>
        <Anchor>
          <Comment id="{82DEBC0E-174F-403C-84A9-2904FF1FAC86}"/>
        </Anchor>
        <Create/>
      </Event>
      <Event time="2025-02-20T09:50:13.67" id="{99F4FC41-E481-4E2C-B83D-67080842C74D}">
        <Attribution userId="S::francesco.tamma@enel.com::dc4c4b90-118f-42c9-8899-3949f601ef92" userName="Tamma Francesco (EGP&amp;TGX)" userProvider="AD"/>
        <Anchor>
          <Comment id="{82DEBC0E-174F-403C-84A9-2904FF1FAC86}"/>
        </Anchor>
        <Assign userId="S::roberto.dorsi@enel.com::91aeb6e8-b074-4004-8f03-1e81c27c0d17" userName="D'Orsi Roberto (EGP&amp;TGX)" userProvider="AD"/>
      </Event>
      <Event time="2025-02-20T09:50:13.67" id="{69A0C8A5-9BB3-4F4C-9744-CAFD1E131DDF}">
        <Attribution userId="S::francesco.tamma@enel.com::dc4c4b90-118f-42c9-8899-3949f601ef92" userName="Tamma Francesco (EGP&amp;TGX)" userProvider="AD"/>
        <Anchor>
          <Comment id="{82DEBC0E-174F-403C-84A9-2904FF1FAC86}"/>
        </Anchor>
        <SetTitle title="@D'Orsi Roberto (EGP&amp;TGX) Per la linea MT occorre avere le seguenti righe: 1) fornitura cavo MT ad elica visibile (e corrugato, se applica) 2)posa del cavo 3) scavo e richiusura dello scavo con letto di sabbia e descrizione della protezione (es…"/>
      </Event>
    </History>
  </Task>
  <Task id="{9F76F5F2-19C2-409C-8246-C757F3B68271}">
    <Anchor>
      <Comment id="{A03727F9-09BB-4736-A480-50AF583888BD}"/>
    </Anchor>
    <History>
      <Event time="2025-02-20T09:54:20.33" id="{F9F565CA-6B35-46BF-ACC5-6A8DE00974C8}">
        <Attribution userId="S::francesco.tamma@enel.com::dc4c4b90-118f-42c9-8899-3949f601ef92" userName="Tamma Francesco (EGP&amp;TGX)" userProvider="AD"/>
        <Anchor>
          <Comment id="{A03727F9-09BB-4736-A480-50AF583888BD}"/>
        </Anchor>
        <Create/>
      </Event>
      <Event time="2025-02-20T09:54:20.33" id="{8729319B-15AE-44D1-A9AB-90A020C91354}">
        <Attribution userId="S::francesco.tamma@enel.com::dc4c4b90-118f-42c9-8899-3949f601ef92" userName="Tamma Francesco (EGP&amp;TGX)" userProvider="AD"/>
        <Anchor>
          <Comment id="{A03727F9-09BB-4736-A480-50AF583888BD}"/>
        </Anchor>
        <Assign userId="S::roberto.dorsi@enel.com::91aeb6e8-b074-4004-8f03-1e81c27c0d17" userName="D'Orsi Roberto (EGP&amp;TGX)" userProvider="AD"/>
      </Event>
      <Event time="2025-02-20T09:54:20.33" id="{7937CC8D-AE27-4A5B-95B8-4EAE0168D83F}">
        <Attribution userId="S::francesco.tamma@enel.com::dc4c4b90-118f-42c9-8899-3949f601ef92" userName="Tamma Francesco (EGP&amp;TGX)" userProvider="AD"/>
        <Anchor>
          <Comment id="{A03727F9-09BB-4736-A480-50AF583888BD}"/>
        </Anchor>
        <SetTitle title="@D'Orsi Roberto (EGP&amp;TGX) la linea MT fuori dal parco dove viene considerata? Linea MT fuori dal parco FV (dalla cabina di consegna fino alla sottostazione o altro punto indicato da Edistribuzione). I lavori per la linea MT esterna al parco devono essere…"/>
      </Event>
    </History>
  </Task>
</Tasks>
</file>

<file path=xl/documenttasks/documenttask3.xml><?xml version="1.0" encoding="utf-8"?>
<Tasks xmlns="http://schemas.microsoft.com/office/tasks/2019/documenttasks">
  <Task id="{748AC900-4815-4074-8C72-93F06463A212}">
    <Anchor>
      <Comment id="{598AEB7E-48D6-4722-8F94-94EF4B8908D7}"/>
    </Anchor>
    <History>
      <Event time="2025-03-17T10:07:05.14" id="{1D222FCE-1D81-4667-8643-2B52E4198F41}">
        <Attribution userId="S::giada.tosi@enel.com::d948aad8-e40d-40ba-a99a-5234d3aa66d5" userName="Tosi Giada (EGP&amp;TGX)" userProvider="AD"/>
        <Anchor>
          <Comment id="{598AEB7E-48D6-4722-8F94-94EF4B8908D7}"/>
        </Anchor>
        <Create/>
      </Event>
      <Event time="2025-03-17T10:07:05.14" id="{2E4C3E1A-4A43-446B-86B5-B73E27182209}">
        <Attribution userId="S::giada.tosi@enel.com::d948aad8-e40d-40ba-a99a-5234d3aa66d5" userName="Tosi Giada (EGP&amp;TGX)" userProvider="AD"/>
        <Anchor>
          <Comment id="{598AEB7E-48D6-4722-8F94-94EF4B8908D7}"/>
        </Anchor>
        <Assign userId="S::ginevra.angeliduodo@enel.com::bddf6fa7-5085-4a3e-aac9-02d98686ee3e" userName="Angeli Duodo Ginevra (EGP&amp;TGX)" userProvider="AD"/>
      </Event>
      <Event time="2025-03-17T10:07:05.14" id="{5ABDD410-6D3B-4E1A-AF3C-759DFFCF3846}">
        <Attribution userId="S::giada.tosi@enel.com::d948aad8-e40d-40ba-a99a-5234d3aa66d5" userName="Tosi Giada (EGP&amp;TGX)" userProvider="AD"/>
        <Anchor>
          <Comment id="{598AEB7E-48D6-4722-8F94-94EF4B8908D7}"/>
        </Anchor>
        <SetTitle title="@Angeli Duodo Ginevra (EGP&amp;TGX) controllare se serve ancora"/>
      </Event>
    </History>
  </Task>
  <Task id="{4B5E3C4F-4400-48AA-B876-F770640364CA}">
    <Anchor>
      <Comment id="{B8ABF888-64E9-45DB-860B-13379CC0D88A}"/>
    </Anchor>
    <History>
      <Event time="2025-02-20T07:50:16.75" id="{814358F5-1970-440F-AA2F-C516C6DD82AD}">
        <Attribution userId="S::francesco.tamma@enel.com::dc4c4b90-118f-42c9-8899-3949f601ef92" userName="Tamma Francesco (EGP&amp;TGX)" userProvider="AD"/>
        <Anchor>
          <Comment id="{B8ABF888-64E9-45DB-860B-13379CC0D88A}"/>
        </Anchor>
        <Create/>
      </Event>
      <Event time="2025-02-20T07:50:16.75" id="{5BD81711-D891-4498-9FB4-1C9635F0E0B5}">
        <Attribution userId="S::francesco.tamma@enel.com::dc4c4b90-118f-42c9-8899-3949f601ef92" userName="Tamma Francesco (EGP&amp;TGX)" userProvider="AD"/>
        <Anchor>
          <Comment id="{B8ABF888-64E9-45DB-860B-13379CC0D88A}"/>
        </Anchor>
        <Assign userId="S::andrea.avanzi@enel.com::3da2a041-0a68-4a92-8f3c-cf67c3f87601" userName="Avanzi Andrea (GPROC)" userProvider="AD"/>
      </Event>
      <Event time="2025-02-20T07:50:16.75" id="{1AF2FD90-ED6B-4DE8-9F42-1DA3D36F129B}">
        <Attribution userId="S::francesco.tamma@enel.com::dc4c4b90-118f-42c9-8899-3949f601ef92" userName="Tamma Francesco (EGP&amp;TGX)" userProvider="AD"/>
        <Anchor>
          <Comment id="{B8ABF888-64E9-45DB-860B-13379CC0D88A}"/>
        </Anchor>
        <SetTitle title="@Avanzi Andrea (GPROC) chiarire perché si accorpano voci di safety con quelle commussioning (approccio credo non confermato per il commissionind delle voci in opzione). Chiedo a @Morgantini Paolo (EGP&amp;TGX) e @Melani Walter (EGP&amp;TGX) se l’approccio…"/>
      </Event>
      <Event time="2025-02-20T07:50:37.96" id="{8AD954B1-9AAE-470A-963E-A5F2792452B8}">
        <Attribution userId="S::francesco.tamma@enel.com::dc4c4b90-118f-42c9-8899-3949f601ef92" userName="Tamma Francesco (EGP&amp;TGX)" userProvider="AD"/>
        <Anchor>
          <Comment id="{FB438A8F-5105-46E1-8109-AD413C43B590}"/>
        </Anchor>
        <UnassignAll/>
      </Event>
      <Event time="2025-02-20T07:50:37.96" id="{D6FF6EE9-797B-4392-B770-437951DC7E10}">
        <Attribution userId="S::francesco.tamma@enel.com::dc4c4b90-118f-42c9-8899-3949f601ef92" userName="Tamma Francesco (EGP&amp;TGX)" userProvider="AD"/>
        <Anchor>
          <Comment id="{FB438A8F-5105-46E1-8109-AD413C43B590}"/>
        </Anchor>
        <Assign userId="S::paolo.morgantini@enel.com::93a65a56-c498-453d-844e-ada7747acd40" userName="Morgantini Paolo (EGP&amp;TGX)" userProvider="AD"/>
      </Event>
      <Event time="2025-02-20T07:50:47.43" id="{5CAFF3CF-8283-4224-A5CF-C41B537CBCE4}">
        <Attribution userId="S::francesco.tamma@enel.com::dc4c4b90-118f-42c9-8899-3949f601ef92" userName="Tamma Francesco (EGP&amp;TGX)" userProvider="AD"/>
        <Anchor>
          <Comment id="{3D4B88C0-0C42-493C-9FB1-D6ECA7F024E8}"/>
        </Anchor>
        <UnassignAll/>
      </Event>
      <Event time="2025-02-20T07:50:47.43" id="{50967F8A-A707-44ED-8EDF-509EF8086D5B}">
        <Attribution userId="S::francesco.tamma@enel.com::dc4c4b90-118f-42c9-8899-3949f601ef92" userName="Tamma Francesco (EGP&amp;TGX)" userProvider="AD"/>
        <Anchor>
          <Comment id="{3D4B88C0-0C42-493C-9FB1-D6ECA7F024E8}"/>
        </Anchor>
        <Assign userId="S::walter.melani@enel.com::1e939d83-fab7-45f1-b9db-45dc0f2a88dc" userName="Melani Walter (EGP&amp;TGX)" userProvider="AD"/>
      </Event>
      <Event time="2025-03-05T11:07:57.26" id="{FF145487-EFE0-4F0E-81CA-8BE1A5657EDE}">
        <Attribution userId="S::giada.tosi@enel.com::d948aad8-e40d-40ba-a99a-5234d3aa66d5" userName="Tosi Giada (EGP&amp;TGX)" userProvider="AD"/>
        <Progress percentComplete="100"/>
      </Event>
    </History>
  </Task>
</Tasks>
</file>

<file path=xl/documenttasks/documenttask4.xml><?xml version="1.0" encoding="utf-8"?>
<Tasks xmlns="http://schemas.microsoft.com/office/tasks/2019/documenttasks">
  <Task id="{D769FA03-2009-421A-A1CE-7D3E4A135059}">
    <Anchor>
      <Comment id="{C9B2CFF2-F78B-40A1-8D9E-8B8533FA2EA4}"/>
    </Anchor>
    <History>
      <Event time="2025-02-20T09:26:47.46" id="{AC4B3AAD-02E6-4DF0-A7D2-F65801C2BED1}">
        <Attribution userId="S::francesco.tamma@enel.com::dc4c4b90-118f-42c9-8899-3949f601ef92" userName="Tamma Francesco (EGP&amp;TGX)" userProvider="AD"/>
        <Anchor>
          <Comment id="{C9B2CFF2-F78B-40A1-8D9E-8B8533FA2EA4}"/>
        </Anchor>
        <Create/>
      </Event>
      <Event time="2025-02-20T09:26:47.46" id="{177EA710-42B1-4551-AAE8-542D3CC26298}">
        <Attribution userId="S::francesco.tamma@enel.com::dc4c4b90-118f-42c9-8899-3949f601ef92" userName="Tamma Francesco (EGP&amp;TGX)" userProvider="AD"/>
        <Anchor>
          <Comment id="{C9B2CFF2-F78B-40A1-8D9E-8B8533FA2EA4}"/>
        </Anchor>
        <Assign userId="S::girolamo.russo@enel.com::089a6427-72b9-4c45-9844-f453b7532f9c" userName="Russo Girolamo (EGP&amp;TGX)" userProvider="AD"/>
      </Event>
      <Event time="2025-02-20T09:26:47.46" id="{B73D01D1-470C-46BB-B760-4F0F12509F5B}">
        <Attribution userId="S::francesco.tamma@enel.com::dc4c4b90-118f-42c9-8899-3949f601ef92" userName="Tamma Francesco (EGP&amp;TGX)" userProvider="AD"/>
        <Anchor>
          <Comment id="{C9B2CFF2-F78B-40A1-8D9E-8B8533FA2EA4}"/>
        </Anchor>
        <SetTitle title="@Russo Girolamo (EGP&amp;TGX) cortesemente ti chiedo di indicare i codici TS riferite a questa voce e alle successive due. In caso di dubbi contattami. grazie"/>
      </Event>
      <Event time="2025-02-20T12:45:46.25" id="{2C17D7A7-6012-4520-910E-D9A8DA103A55}">
        <Attribution userId="S::girolamo.russo@enel.com::089a6427-72b9-4c45-9844-f453b7532f9c" userName="Russo Girolamo (EGP&amp;TGX)" userProvider="AD"/>
        <Progress percentComplete="100"/>
      </Event>
    </History>
  </Task>
  <Task id="{394A0409-253F-430E-AC66-C8A263DFA45E}">
    <Anchor>
      <Comment id="{D767E4E1-ECC5-4D4A-ABA1-B79BB67CB406}"/>
    </Anchor>
    <History>
      <Event time="2025-02-20T09:26:47.46" id="{AC4B3AAD-02E6-4DF0-A7D2-F65801C2BED1}">
        <Attribution userId="S::francesco.tamma@enel.com::dc4c4b90-118f-42c9-8899-3949f601ef92" userName="Tamma Francesco (EGP&amp;TGX)" userProvider="AD"/>
        <Anchor>
          <Comment id="{D767E4E1-ECC5-4D4A-ABA1-B79BB67CB406}"/>
        </Anchor>
        <Create/>
      </Event>
      <Event time="2025-02-20T09:26:47.46" id="{177EA710-42B1-4551-AAE8-542D3CC26298}">
        <Attribution userId="S::francesco.tamma@enel.com::dc4c4b90-118f-42c9-8899-3949f601ef92" userName="Tamma Francesco (EGP&amp;TGX)" userProvider="AD"/>
        <Anchor>
          <Comment id="{D767E4E1-ECC5-4D4A-ABA1-B79BB67CB406}"/>
        </Anchor>
        <Assign userId="S::girolamo.russo@enel.com::089a6427-72b9-4c45-9844-f453b7532f9c" userName="Russo Girolamo (EGP&amp;TGX)" userProvider="AD"/>
      </Event>
      <Event time="2025-02-20T09:26:47.46" id="{B73D01D1-470C-46BB-B760-4F0F12509F5B}">
        <Attribution userId="S::francesco.tamma@enel.com::dc4c4b90-118f-42c9-8899-3949f601ef92" userName="Tamma Francesco (EGP&amp;TGX)" userProvider="AD"/>
        <Anchor>
          <Comment id="{D767E4E1-ECC5-4D4A-ABA1-B79BB67CB406}"/>
        </Anchor>
        <SetTitle title="@Russo Girolamo (EGP&amp;TGX) cortesemente ti chiedo di indicare i codici TS riferite a questa voce e alle successive due. In caso di dubbi contattami. grazie"/>
      </Event>
      <Event time="2025-02-20T12:45:46.25" id="{2C17D7A7-6012-4520-910E-D9A8DA103A55}">
        <Attribution userId="S::girolamo.russo@enel.com::089a6427-72b9-4c45-9844-f453b7532f9c" userName="Russo Girolamo (EGP&amp;TGX)" userProvider="AD"/>
        <Progress percentComplete="100"/>
      </Event>
    </History>
  </Task>
  <Task id="{20D0FA7E-6E84-4C3C-9299-961A5438A203}">
    <Anchor>
      <Comment id="{36592370-D4DD-43BA-9798-5815AFC73682}"/>
    </Anchor>
    <History>
      <Event time="2025-02-20T07:47:52.07" id="{CD51955F-558D-4530-A5B3-A9ACBAF92A95}">
        <Attribution userId="S::francesco.tamma@enel.com::dc4c4b90-118f-42c9-8899-3949f601ef92" userName="Tamma Francesco (EGP&amp;TGX)" userProvider="AD"/>
        <Anchor>
          <Comment id="{36592370-D4DD-43BA-9798-5815AFC73682}"/>
        </Anchor>
        <Create/>
      </Event>
      <Event time="2025-02-20T07:47:52.07" id="{1305E588-0144-4F51-BC72-AD46CF138F60}">
        <Attribution userId="S::francesco.tamma@enel.com::dc4c4b90-118f-42c9-8899-3949f601ef92" userName="Tamma Francesco (EGP&amp;TGX)" userProvider="AD"/>
        <Anchor>
          <Comment id="{36592370-D4DD-43BA-9798-5815AFC73682}"/>
        </Anchor>
        <Assign userId="S::andrea.avanzi@enel.com::3da2a041-0a68-4a92-8f3c-cf67c3f87601" userName="Avanzi Andrea (GPROC)" userProvider="AD"/>
      </Event>
      <Event time="2025-02-20T07:47:52.07" id="{61446680-1165-4F28-AC70-E708373DE21A}">
        <Attribution userId="S::francesco.tamma@enel.com::dc4c4b90-118f-42c9-8899-3949f601ef92" userName="Tamma Francesco (EGP&amp;TGX)" userProvider="AD"/>
        <Anchor>
          <Comment id="{36592370-D4DD-43BA-9798-5815AFC73682}"/>
        </Anchor>
        <SetTitle title="@Avanzi Andrea (GPROC) dettaglio non esplicitato per altre tecnologie (WTG)"/>
      </Event>
    </History>
  </Task>
  <Task id="{A95A41B2-8E26-483F-AF26-65F02848CC3B}">
    <Anchor>
      <Comment id="{B4976549-4751-4AC2-90C9-EF7A0FFFBFB1}"/>
    </Anchor>
    <History>
      <Event time="2025-02-20T09:26:47.46" id="{AC4B3AAD-02E6-4DF0-A7D2-F65801C2BED1}">
        <Attribution userId="S::francesco.tamma@enel.com::dc4c4b90-118f-42c9-8899-3949f601ef92" userName="Tamma Francesco (EGP&amp;TGX)" userProvider="AD"/>
        <Anchor>
          <Comment id="{B4976549-4751-4AC2-90C9-EF7A0FFFBFB1}"/>
        </Anchor>
        <Create/>
      </Event>
      <Event time="2025-02-20T09:26:47.46" id="{177EA710-42B1-4551-AAE8-542D3CC26298}">
        <Attribution userId="S::francesco.tamma@enel.com::dc4c4b90-118f-42c9-8899-3949f601ef92" userName="Tamma Francesco (EGP&amp;TGX)" userProvider="AD"/>
        <Anchor>
          <Comment id="{B4976549-4751-4AC2-90C9-EF7A0FFFBFB1}"/>
        </Anchor>
        <Assign userId="S::girolamo.russo@enel.com::089a6427-72b9-4c45-9844-f453b7532f9c" userName="Russo Girolamo (EGP&amp;TGX)" userProvider="AD"/>
      </Event>
      <Event time="2025-02-20T09:26:47.46" id="{B73D01D1-470C-46BB-B760-4F0F12509F5B}">
        <Attribution userId="S::francesco.tamma@enel.com::dc4c4b90-118f-42c9-8899-3949f601ef92" userName="Tamma Francesco (EGP&amp;TGX)" userProvider="AD"/>
        <Anchor>
          <Comment id="{B4976549-4751-4AC2-90C9-EF7A0FFFBFB1}"/>
        </Anchor>
        <SetTitle title="@Russo Girolamo (EGP&amp;TGX) cortesemente ti chiedo di indicare i codici TS riferite a questa voce e alle successive due. In caso di dubbi contattami. grazie"/>
      </Event>
      <Event time="2025-02-20T12:45:46.25" id="{2C17D7A7-6012-4520-910E-D9A8DA103A55}">
        <Attribution userId="S::girolamo.russo@enel.com::089a6427-72b9-4c45-9844-f453b7532f9c" userName="Russo Girolamo (EGP&amp;TGX)" userProvider="AD"/>
        <Progress percentComplete="100"/>
      </Event>
    </History>
  </Task>
</Tasks>
</file>

<file path=xl/documenttasks/documenttask5.xml><?xml version="1.0" encoding="utf-8"?>
<Tasks xmlns="http://schemas.microsoft.com/office/tasks/2019/documenttasks">
  <Task id="{B4690B03-9681-45DF-BFD3-72A29E92CA94}">
    <Anchor>
      <Comment id="{413FB4A3-4CA5-42F8-9BAC-6BE7522F11DC}"/>
    </Anchor>
    <History>
      <Event time="2025-01-09T09:07:11.72" id="{FE83B22C-191D-4475-A6BB-CEC531E76E96}">
        <Attribution userId="S::francesco.tamma@enel.com::dc4c4b90-118f-42c9-8899-3949f601ef92" userName="Tamma Francesco (EGP&amp;TGX)" userProvider="AD"/>
        <Anchor>
          <Comment id="{413FB4A3-4CA5-42F8-9BAC-6BE7522F11DC}"/>
        </Anchor>
        <Create/>
      </Event>
      <Event time="2025-01-09T09:07:11.72" id="{3BCB0AAE-0ED9-41A6-9659-6402934351A0}">
        <Attribution userId="S::francesco.tamma@enel.com::dc4c4b90-118f-42c9-8899-3949f601ef92" userName="Tamma Francesco (EGP&amp;TGX)" userProvider="AD"/>
        <Anchor>
          <Comment id="{413FB4A3-4CA5-42F8-9BAC-6BE7522F11DC}"/>
        </Anchor>
        <Assign userId="S::danilo.tringali@enel.com::bb3e7a03-a14e-4ff5-ab48-4f45939c7a35" userName="Tringali Danilo (EGP&amp;TGX)" userProvider="AD"/>
      </Event>
      <Event time="2025-01-09T09:07:11.72" id="{1129632C-53D4-4570-95A2-A6AAD778744C}">
        <Attribution userId="S::francesco.tamma@enel.com::dc4c4b90-118f-42c9-8899-3949f601ef92" userName="Tamma Francesco (EGP&amp;TGX)" userProvider="AD"/>
        <Anchor>
          <Comment id="{413FB4A3-4CA5-42F8-9BAC-6BE7522F11DC}"/>
        </Anchor>
        <SetTitle title="@Tringali Danilo (EGP&amp;TGX) Vedere foglio design ed eventualmente ne parliamo per aggiornamento"/>
      </Event>
    </History>
  </Task>
  <Task id="{B4F2C72C-9EC4-441C-9146-5D39497236EC}">
    <Anchor>
      <Comment id="{6F7B1C0B-0151-4860-B099-2E8B09AB3C76}"/>
    </Anchor>
    <History>
      <Event time="2025-01-09T09:07:59.56" id="{F4A3AEC6-2CDE-498F-9964-265FB3FC81F6}">
        <Attribution userId="S::francesco.tamma@enel.com::dc4c4b90-118f-42c9-8899-3949f601ef92" userName="Tamma Francesco (EGP&amp;TGX)" userProvider="AD"/>
        <Anchor>
          <Comment id="{6F7B1C0B-0151-4860-B099-2E8B09AB3C76}"/>
        </Anchor>
        <Create/>
      </Event>
      <Event time="2025-01-09T09:07:59.56" id="{39F63E7C-CE11-436E-A811-ACCDB5750D8C}">
        <Attribution userId="S::francesco.tamma@enel.com::dc4c4b90-118f-42c9-8899-3949f601ef92" userName="Tamma Francesco (EGP&amp;TGX)" userProvider="AD"/>
        <Anchor>
          <Comment id="{6F7B1C0B-0151-4860-B099-2E8B09AB3C76}"/>
        </Anchor>
        <Assign userId="S::flavio.mirra@enel.com::ab7beacc-1ce4-4173-881b-c12a53ca969f" userName="Mirra Flavio (EGP&amp;TGX)" userProvider="AD"/>
      </Event>
      <Event time="2025-01-09T09:07:59.56" id="{2AB75E06-6677-4E91-ADDA-165B0676CF34}">
        <Attribution userId="S::francesco.tamma@enel.com::dc4c4b90-118f-42c9-8899-3949f601ef92" userName="Tamma Francesco (EGP&amp;TGX)" userProvider="AD"/>
        <Anchor>
          <Comment id="{6F7B1C0B-0151-4860-B099-2E8B09AB3C76}"/>
        </Anchor>
        <SetTitle title="@Mirra Flavio (EGP&amp;TGX) lo lasciamo qui?"/>
      </Event>
    </History>
  </Task>
  <Task id="{53835646-49F5-4B27-9113-254F55609004}">
    <Anchor>
      <Comment id="{37391BAB-614D-49D5-9565-A3AE57FD975D}"/>
    </Anchor>
    <History>
      <Event time="2025-01-09T09:10:09.94" id="{748C36A8-E742-4ACF-ACD5-9373409697F1}">
        <Attribution userId="S::francesco.tamma@enel.com::dc4c4b90-118f-42c9-8899-3949f601ef92" userName="Tamma Francesco (EGP&amp;TGX)" userProvider="AD"/>
        <Anchor>
          <Comment id="{37391BAB-614D-49D5-9565-A3AE57FD975D}"/>
        </Anchor>
        <Create/>
      </Event>
      <Event time="2025-01-09T09:10:09.94" id="{E4FB858E-1B6C-4BB0-AC0E-10111E47947E}">
        <Attribution userId="S::francesco.tamma@enel.com::dc4c4b90-118f-42c9-8899-3949f601ef92" userName="Tamma Francesco (EGP&amp;TGX)" userProvider="AD"/>
        <Anchor>
          <Comment id="{37391BAB-614D-49D5-9565-A3AE57FD975D}"/>
        </Anchor>
        <Assign userId="S::flavio.mirra@enel.com::ab7beacc-1ce4-4173-881b-c12a53ca969f" userName="Mirra Flavio (EGP&amp;TGX)" userProvider="AD"/>
      </Event>
      <Event time="2025-01-09T09:10:09.94" id="{8016E85D-D37D-4653-83CE-33A271073633}">
        <Attribution userId="S::francesco.tamma@enel.com::dc4c4b90-118f-42c9-8899-3949f601ef92" userName="Tamma Francesco (EGP&amp;TGX)" userProvider="AD"/>
        <Anchor>
          <Comment id="{37391BAB-614D-49D5-9565-A3AE57FD975D}"/>
        </Anchor>
        <SetTitle title="@Mirra Flavio (EGP&amp;TGX) / @Tringali Danilo (EGP&amp;TGX) come richiesto da Proc ogni foglio dovrebbe contenuere se possibile tutte le voci riguardanti le aree di impianto. Questo è un esempio in cui opere civili dovrebbero star qui e non nel foglio civile…"/>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6</xdr:col>
      <xdr:colOff>151666</xdr:colOff>
      <xdr:row>1</xdr:row>
      <xdr:rowOff>173991</xdr:rowOff>
    </xdr:from>
    <xdr:ext cx="1639365" cy="927734"/>
    <xdr:pic>
      <xdr:nvPicPr>
        <xdr:cNvPr id="2" name="Immagine 1" descr="logo-trans-it-IT.png">
          <a:extLst>
            <a:ext uri="{FF2B5EF4-FFF2-40B4-BE49-F238E27FC236}">
              <a16:creationId xmlns:a16="http://schemas.microsoft.com/office/drawing/2014/main" id="{7ED4D5F2-901A-47AA-A2BE-E7B0ED0BB187}"/>
            </a:ext>
          </a:extLst>
        </xdr:cNvPr>
        <xdr:cNvPicPr>
          <a:picLocks noChangeAspect="1"/>
        </xdr:cNvPicPr>
      </xdr:nvPicPr>
      <xdr:blipFill>
        <a:blip xmlns:r="http://schemas.openxmlformats.org/officeDocument/2006/relationships" r:embed="rId1" cstate="print"/>
        <a:srcRect b="34407"/>
        <a:stretch>
          <a:fillRect/>
        </a:stretch>
      </xdr:blipFill>
      <xdr:spPr>
        <a:xfrm>
          <a:off x="6228616" y="364491"/>
          <a:ext cx="1639365" cy="927734"/>
        </a:xfrm>
        <a:prstGeom prst="rect">
          <a:avLst/>
        </a:prstGeom>
        <a:solidFill>
          <a:sysClr val="window" lastClr="FFFFFF"/>
        </a:solidFill>
      </xdr:spPr>
    </xdr:pic>
    <xdr:clientData/>
  </xdr:oneCellAnchor>
  <xdr:oneCellAnchor>
    <xdr:from>
      <xdr:col>6</xdr:col>
      <xdr:colOff>151666</xdr:colOff>
      <xdr:row>1</xdr:row>
      <xdr:rowOff>173991</xdr:rowOff>
    </xdr:from>
    <xdr:ext cx="1639365" cy="927734"/>
    <xdr:pic>
      <xdr:nvPicPr>
        <xdr:cNvPr id="3" name="Immagine 2" descr="logo-trans-it-IT.png">
          <a:extLst>
            <a:ext uri="{FF2B5EF4-FFF2-40B4-BE49-F238E27FC236}">
              <a16:creationId xmlns:a16="http://schemas.microsoft.com/office/drawing/2014/main" id="{59055B8F-372A-4531-A1C8-A7E10BA62912}"/>
            </a:ext>
          </a:extLst>
        </xdr:cNvPr>
        <xdr:cNvPicPr>
          <a:picLocks noChangeAspect="1"/>
        </xdr:cNvPicPr>
      </xdr:nvPicPr>
      <xdr:blipFill>
        <a:blip xmlns:r="http://schemas.openxmlformats.org/officeDocument/2006/relationships" r:embed="rId1" cstate="print"/>
        <a:srcRect b="34407"/>
        <a:stretch>
          <a:fillRect/>
        </a:stretch>
      </xdr:blipFill>
      <xdr:spPr>
        <a:xfrm>
          <a:off x="6228616" y="364491"/>
          <a:ext cx="1639365" cy="927734"/>
        </a:xfrm>
        <a:prstGeom prst="rect">
          <a:avLst/>
        </a:prstGeom>
        <a:solidFill>
          <a:sysClr val="window" lastClr="FFFFFF"/>
        </a:solidFill>
      </xdr:spPr>
    </xdr:pic>
    <xdr:clientData/>
  </xdr:one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25</xdr:col>
          <xdr:colOff>0</xdr:colOff>
          <xdr:row>0</xdr:row>
          <xdr:rowOff>47625</xdr:rowOff>
        </xdr:from>
        <xdr:to>
          <xdr:col>37</xdr:col>
          <xdr:colOff>257175</xdr:colOff>
          <xdr:row>3</xdr:row>
          <xdr:rowOff>47625</xdr:rowOff>
        </xdr:to>
        <xdr:sp macro="" textlink="">
          <xdr:nvSpPr>
            <xdr:cNvPr id="41985" name="Check Box 1" hidden="1">
              <a:extLst>
                <a:ext uri="{63B3BB69-23CF-44E3-9099-C40C66FF867C}">
                  <a14:compatExt spid="_x0000_s41985"/>
                </a:ext>
                <a:ext uri="{FF2B5EF4-FFF2-40B4-BE49-F238E27FC236}">
                  <a16:creationId xmlns:a16="http://schemas.microsoft.com/office/drawing/2014/main" id="{00000000-0008-0000-0F00-000001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25</xdr:col>
          <xdr:colOff>276225</xdr:colOff>
          <xdr:row>0</xdr:row>
          <xdr:rowOff>47625</xdr:rowOff>
        </xdr:from>
        <xdr:to>
          <xdr:col>37</xdr:col>
          <xdr:colOff>257175</xdr:colOff>
          <xdr:row>3</xdr:row>
          <xdr:rowOff>47625</xdr:rowOff>
        </xdr:to>
        <xdr:sp macro="" textlink="">
          <xdr:nvSpPr>
            <xdr:cNvPr id="41987" name="Check Box 3" hidden="1">
              <a:extLst>
                <a:ext uri="{63B3BB69-23CF-44E3-9099-C40C66FF867C}">
                  <a14:compatExt spid="_x0000_s41987"/>
                </a:ext>
                <a:ext uri="{FF2B5EF4-FFF2-40B4-BE49-F238E27FC236}">
                  <a16:creationId xmlns:a16="http://schemas.microsoft.com/office/drawing/2014/main" id="{00000000-0008-0000-0F00-000003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26</xdr:col>
          <xdr:colOff>276225</xdr:colOff>
          <xdr:row>0</xdr:row>
          <xdr:rowOff>47625</xdr:rowOff>
        </xdr:from>
        <xdr:to>
          <xdr:col>37</xdr:col>
          <xdr:colOff>257175</xdr:colOff>
          <xdr:row>3</xdr:row>
          <xdr:rowOff>47625</xdr:rowOff>
        </xdr:to>
        <xdr:sp macro="" textlink="">
          <xdr:nvSpPr>
            <xdr:cNvPr id="41988" name="Check Box 4" hidden="1">
              <a:extLst>
                <a:ext uri="{63B3BB69-23CF-44E3-9099-C40C66FF867C}">
                  <a14:compatExt spid="_x0000_s41988"/>
                </a:ext>
                <a:ext uri="{FF2B5EF4-FFF2-40B4-BE49-F238E27FC236}">
                  <a16:creationId xmlns:a16="http://schemas.microsoft.com/office/drawing/2014/main" id="{00000000-0008-0000-0F00-000004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27</xdr:col>
          <xdr:colOff>276225</xdr:colOff>
          <xdr:row>0</xdr:row>
          <xdr:rowOff>47625</xdr:rowOff>
        </xdr:from>
        <xdr:to>
          <xdr:col>37</xdr:col>
          <xdr:colOff>257175</xdr:colOff>
          <xdr:row>3</xdr:row>
          <xdr:rowOff>47625</xdr:rowOff>
        </xdr:to>
        <xdr:sp macro="" textlink="">
          <xdr:nvSpPr>
            <xdr:cNvPr id="41989" name="Check Box 5" hidden="1">
              <a:extLst>
                <a:ext uri="{63B3BB69-23CF-44E3-9099-C40C66FF867C}">
                  <a14:compatExt spid="_x0000_s41989"/>
                </a:ext>
                <a:ext uri="{FF2B5EF4-FFF2-40B4-BE49-F238E27FC236}">
                  <a16:creationId xmlns:a16="http://schemas.microsoft.com/office/drawing/2014/main" id="{00000000-0008-0000-0F00-000005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276225</xdr:colOff>
          <xdr:row>0</xdr:row>
          <xdr:rowOff>47625</xdr:rowOff>
        </xdr:from>
        <xdr:to>
          <xdr:col>37</xdr:col>
          <xdr:colOff>257175</xdr:colOff>
          <xdr:row>3</xdr:row>
          <xdr:rowOff>47625</xdr:rowOff>
        </xdr:to>
        <xdr:sp macro="" textlink="">
          <xdr:nvSpPr>
            <xdr:cNvPr id="41990" name="Check Box 6" hidden="1">
              <a:extLst>
                <a:ext uri="{63B3BB69-23CF-44E3-9099-C40C66FF867C}">
                  <a14:compatExt spid="_x0000_s41990"/>
                </a:ext>
                <a:ext uri="{FF2B5EF4-FFF2-40B4-BE49-F238E27FC236}">
                  <a16:creationId xmlns:a16="http://schemas.microsoft.com/office/drawing/2014/main" id="{00000000-0008-0000-0F00-000006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29</xdr:col>
          <xdr:colOff>0</xdr:colOff>
          <xdr:row>0</xdr:row>
          <xdr:rowOff>47625</xdr:rowOff>
        </xdr:from>
        <xdr:to>
          <xdr:col>37</xdr:col>
          <xdr:colOff>257175</xdr:colOff>
          <xdr:row>3</xdr:row>
          <xdr:rowOff>47625</xdr:rowOff>
        </xdr:to>
        <xdr:sp macro="" textlink="">
          <xdr:nvSpPr>
            <xdr:cNvPr id="41991" name="Check Box 7" hidden="1">
              <a:extLst>
                <a:ext uri="{63B3BB69-23CF-44E3-9099-C40C66FF867C}">
                  <a14:compatExt spid="_x0000_s41991"/>
                </a:ext>
                <a:ext uri="{FF2B5EF4-FFF2-40B4-BE49-F238E27FC236}">
                  <a16:creationId xmlns:a16="http://schemas.microsoft.com/office/drawing/2014/main" id="{00000000-0008-0000-0F00-000007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29</xdr:col>
          <xdr:colOff>0</xdr:colOff>
          <xdr:row>0</xdr:row>
          <xdr:rowOff>47625</xdr:rowOff>
        </xdr:from>
        <xdr:to>
          <xdr:col>37</xdr:col>
          <xdr:colOff>257175</xdr:colOff>
          <xdr:row>3</xdr:row>
          <xdr:rowOff>47625</xdr:rowOff>
        </xdr:to>
        <xdr:sp macro="" textlink="">
          <xdr:nvSpPr>
            <xdr:cNvPr id="41992" name="Check Box 8" hidden="1">
              <a:extLst>
                <a:ext uri="{63B3BB69-23CF-44E3-9099-C40C66FF867C}">
                  <a14:compatExt spid="_x0000_s41992"/>
                </a:ext>
                <a:ext uri="{FF2B5EF4-FFF2-40B4-BE49-F238E27FC236}">
                  <a16:creationId xmlns:a16="http://schemas.microsoft.com/office/drawing/2014/main" id="{00000000-0008-0000-0F00-000008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29</xdr:col>
          <xdr:colOff>276225</xdr:colOff>
          <xdr:row>0</xdr:row>
          <xdr:rowOff>47625</xdr:rowOff>
        </xdr:from>
        <xdr:to>
          <xdr:col>37</xdr:col>
          <xdr:colOff>266700</xdr:colOff>
          <xdr:row>3</xdr:row>
          <xdr:rowOff>47625</xdr:rowOff>
        </xdr:to>
        <xdr:sp macro="" textlink="">
          <xdr:nvSpPr>
            <xdr:cNvPr id="41993" name="Check Box 9" hidden="1">
              <a:extLst>
                <a:ext uri="{63B3BB69-23CF-44E3-9099-C40C66FF867C}">
                  <a14:compatExt spid="_x0000_s41993"/>
                </a:ext>
                <a:ext uri="{FF2B5EF4-FFF2-40B4-BE49-F238E27FC236}">
                  <a16:creationId xmlns:a16="http://schemas.microsoft.com/office/drawing/2014/main" id="{00000000-0008-0000-0F00-000009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30</xdr:col>
          <xdr:colOff>276225</xdr:colOff>
          <xdr:row>0</xdr:row>
          <xdr:rowOff>47625</xdr:rowOff>
        </xdr:from>
        <xdr:to>
          <xdr:col>37</xdr:col>
          <xdr:colOff>257175</xdr:colOff>
          <xdr:row>3</xdr:row>
          <xdr:rowOff>47625</xdr:rowOff>
        </xdr:to>
        <xdr:sp macro="" textlink="">
          <xdr:nvSpPr>
            <xdr:cNvPr id="41994" name="Check Box 10" hidden="1">
              <a:extLst>
                <a:ext uri="{63B3BB69-23CF-44E3-9099-C40C66FF867C}">
                  <a14:compatExt spid="_x0000_s41994"/>
                </a:ext>
                <a:ext uri="{FF2B5EF4-FFF2-40B4-BE49-F238E27FC236}">
                  <a16:creationId xmlns:a16="http://schemas.microsoft.com/office/drawing/2014/main" id="{00000000-0008-0000-0F00-00000A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31</xdr:col>
          <xdr:colOff>276225</xdr:colOff>
          <xdr:row>0</xdr:row>
          <xdr:rowOff>47625</xdr:rowOff>
        </xdr:from>
        <xdr:to>
          <xdr:col>37</xdr:col>
          <xdr:colOff>295275</xdr:colOff>
          <xdr:row>3</xdr:row>
          <xdr:rowOff>47625</xdr:rowOff>
        </xdr:to>
        <xdr:sp macro="" textlink="">
          <xdr:nvSpPr>
            <xdr:cNvPr id="41995" name="Check Box 11" hidden="1">
              <a:extLst>
                <a:ext uri="{63B3BB69-23CF-44E3-9099-C40C66FF867C}">
                  <a14:compatExt spid="_x0000_s41995"/>
                </a:ext>
                <a:ext uri="{FF2B5EF4-FFF2-40B4-BE49-F238E27FC236}">
                  <a16:creationId xmlns:a16="http://schemas.microsoft.com/office/drawing/2014/main" id="{00000000-0008-0000-0F00-00000B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32</xdr:col>
          <xdr:colOff>276225</xdr:colOff>
          <xdr:row>0</xdr:row>
          <xdr:rowOff>47625</xdr:rowOff>
        </xdr:from>
        <xdr:to>
          <xdr:col>37</xdr:col>
          <xdr:colOff>295275</xdr:colOff>
          <xdr:row>3</xdr:row>
          <xdr:rowOff>47625</xdr:rowOff>
        </xdr:to>
        <xdr:sp macro="" textlink="">
          <xdr:nvSpPr>
            <xdr:cNvPr id="41996" name="Check Box 12" hidden="1">
              <a:extLst>
                <a:ext uri="{63B3BB69-23CF-44E3-9099-C40C66FF867C}">
                  <a14:compatExt spid="_x0000_s41996"/>
                </a:ext>
                <a:ext uri="{FF2B5EF4-FFF2-40B4-BE49-F238E27FC236}">
                  <a16:creationId xmlns:a16="http://schemas.microsoft.com/office/drawing/2014/main" id="{00000000-0008-0000-0F00-00000C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276225</xdr:colOff>
          <xdr:row>0</xdr:row>
          <xdr:rowOff>47625</xdr:rowOff>
        </xdr:from>
        <xdr:to>
          <xdr:col>37</xdr:col>
          <xdr:colOff>257175</xdr:colOff>
          <xdr:row>3</xdr:row>
          <xdr:rowOff>47625</xdr:rowOff>
        </xdr:to>
        <xdr:sp macro="" textlink="">
          <xdr:nvSpPr>
            <xdr:cNvPr id="41997" name="Check Box 13" hidden="1">
              <a:extLst>
                <a:ext uri="{63B3BB69-23CF-44E3-9099-C40C66FF867C}">
                  <a14:compatExt spid="_x0000_s41997"/>
                </a:ext>
                <a:ext uri="{FF2B5EF4-FFF2-40B4-BE49-F238E27FC236}">
                  <a16:creationId xmlns:a16="http://schemas.microsoft.com/office/drawing/2014/main" id="{00000000-0008-0000-0F00-00000D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34</xdr:col>
          <xdr:colOff>276225</xdr:colOff>
          <xdr:row>0</xdr:row>
          <xdr:rowOff>47625</xdr:rowOff>
        </xdr:from>
        <xdr:to>
          <xdr:col>37</xdr:col>
          <xdr:colOff>257175</xdr:colOff>
          <xdr:row>3</xdr:row>
          <xdr:rowOff>47625</xdr:rowOff>
        </xdr:to>
        <xdr:sp macro="" textlink="">
          <xdr:nvSpPr>
            <xdr:cNvPr id="41998" name="Check Box 14" hidden="1">
              <a:extLst>
                <a:ext uri="{63B3BB69-23CF-44E3-9099-C40C66FF867C}">
                  <a14:compatExt spid="_x0000_s41998"/>
                </a:ext>
                <a:ext uri="{FF2B5EF4-FFF2-40B4-BE49-F238E27FC236}">
                  <a16:creationId xmlns:a16="http://schemas.microsoft.com/office/drawing/2014/main" id="{00000000-0008-0000-0F00-00000E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35</xdr:col>
          <xdr:colOff>276225</xdr:colOff>
          <xdr:row>0</xdr:row>
          <xdr:rowOff>47625</xdr:rowOff>
        </xdr:from>
        <xdr:to>
          <xdr:col>37</xdr:col>
          <xdr:colOff>257175</xdr:colOff>
          <xdr:row>3</xdr:row>
          <xdr:rowOff>47625</xdr:rowOff>
        </xdr:to>
        <xdr:sp macro="" textlink="">
          <xdr:nvSpPr>
            <xdr:cNvPr id="41999" name="Check Box 15" hidden="1">
              <a:extLst>
                <a:ext uri="{63B3BB69-23CF-44E3-9099-C40C66FF867C}">
                  <a14:compatExt spid="_x0000_s41999"/>
                </a:ext>
                <a:ext uri="{FF2B5EF4-FFF2-40B4-BE49-F238E27FC236}">
                  <a16:creationId xmlns:a16="http://schemas.microsoft.com/office/drawing/2014/main" id="{00000000-0008-0000-0F00-00000F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36</xdr:col>
          <xdr:colOff>276225</xdr:colOff>
          <xdr:row>0</xdr:row>
          <xdr:rowOff>47625</xdr:rowOff>
        </xdr:from>
        <xdr:to>
          <xdr:col>37</xdr:col>
          <xdr:colOff>257175</xdr:colOff>
          <xdr:row>3</xdr:row>
          <xdr:rowOff>47625</xdr:rowOff>
        </xdr:to>
        <xdr:sp macro="" textlink="">
          <xdr:nvSpPr>
            <xdr:cNvPr id="42000" name="Check Box 16" hidden="1">
              <a:extLst>
                <a:ext uri="{63B3BB69-23CF-44E3-9099-C40C66FF867C}">
                  <a14:compatExt spid="_x0000_s42000"/>
                </a:ext>
                <a:ext uri="{FF2B5EF4-FFF2-40B4-BE49-F238E27FC236}">
                  <a16:creationId xmlns:a16="http://schemas.microsoft.com/office/drawing/2014/main" id="{00000000-0008-0000-0F00-000010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01" name="Check Box 17" hidden="1">
              <a:extLst>
                <a:ext uri="{63B3BB69-23CF-44E3-9099-C40C66FF867C}">
                  <a14:compatExt spid="_x0000_s42001"/>
                </a:ext>
                <a:ext uri="{FF2B5EF4-FFF2-40B4-BE49-F238E27FC236}">
                  <a16:creationId xmlns:a16="http://schemas.microsoft.com/office/drawing/2014/main" id="{00000000-0008-0000-0F00-000011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02" name="Check Box 18" hidden="1">
              <a:extLst>
                <a:ext uri="{63B3BB69-23CF-44E3-9099-C40C66FF867C}">
                  <a14:compatExt spid="_x0000_s42002"/>
                </a:ext>
                <a:ext uri="{FF2B5EF4-FFF2-40B4-BE49-F238E27FC236}">
                  <a16:creationId xmlns:a16="http://schemas.microsoft.com/office/drawing/2014/main" id="{00000000-0008-0000-0F00-000012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03" name="Check Box 19" hidden="1">
              <a:extLst>
                <a:ext uri="{63B3BB69-23CF-44E3-9099-C40C66FF867C}">
                  <a14:compatExt spid="_x0000_s42003"/>
                </a:ext>
                <a:ext uri="{FF2B5EF4-FFF2-40B4-BE49-F238E27FC236}">
                  <a16:creationId xmlns:a16="http://schemas.microsoft.com/office/drawing/2014/main" id="{00000000-0008-0000-0F00-000013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04" name="Check Box 20" hidden="1">
              <a:extLst>
                <a:ext uri="{63B3BB69-23CF-44E3-9099-C40C66FF867C}">
                  <a14:compatExt spid="_x0000_s42004"/>
                </a:ext>
                <a:ext uri="{FF2B5EF4-FFF2-40B4-BE49-F238E27FC236}">
                  <a16:creationId xmlns:a16="http://schemas.microsoft.com/office/drawing/2014/main" id="{00000000-0008-0000-0F00-000014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05" name="Check Box 21" hidden="1">
              <a:extLst>
                <a:ext uri="{63B3BB69-23CF-44E3-9099-C40C66FF867C}">
                  <a14:compatExt spid="_x0000_s42005"/>
                </a:ext>
                <a:ext uri="{FF2B5EF4-FFF2-40B4-BE49-F238E27FC236}">
                  <a16:creationId xmlns:a16="http://schemas.microsoft.com/office/drawing/2014/main" id="{00000000-0008-0000-0F00-000015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06" name="Check Box 22" hidden="1">
              <a:extLst>
                <a:ext uri="{63B3BB69-23CF-44E3-9099-C40C66FF867C}">
                  <a14:compatExt spid="_x0000_s42006"/>
                </a:ext>
                <a:ext uri="{FF2B5EF4-FFF2-40B4-BE49-F238E27FC236}">
                  <a16:creationId xmlns:a16="http://schemas.microsoft.com/office/drawing/2014/main" id="{00000000-0008-0000-0F00-000016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07" name="Check Box 23" hidden="1">
              <a:extLst>
                <a:ext uri="{63B3BB69-23CF-44E3-9099-C40C66FF867C}">
                  <a14:compatExt spid="_x0000_s42007"/>
                </a:ext>
                <a:ext uri="{FF2B5EF4-FFF2-40B4-BE49-F238E27FC236}">
                  <a16:creationId xmlns:a16="http://schemas.microsoft.com/office/drawing/2014/main" id="{00000000-0008-0000-0F00-000017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08" name="Check Box 24" hidden="1">
              <a:extLst>
                <a:ext uri="{63B3BB69-23CF-44E3-9099-C40C66FF867C}">
                  <a14:compatExt spid="_x0000_s42008"/>
                </a:ext>
                <a:ext uri="{FF2B5EF4-FFF2-40B4-BE49-F238E27FC236}">
                  <a16:creationId xmlns:a16="http://schemas.microsoft.com/office/drawing/2014/main" id="{00000000-0008-0000-0F00-000018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09" name="Check Box 25" hidden="1">
              <a:extLst>
                <a:ext uri="{63B3BB69-23CF-44E3-9099-C40C66FF867C}">
                  <a14:compatExt spid="_x0000_s42009"/>
                </a:ext>
                <a:ext uri="{FF2B5EF4-FFF2-40B4-BE49-F238E27FC236}">
                  <a16:creationId xmlns:a16="http://schemas.microsoft.com/office/drawing/2014/main" id="{00000000-0008-0000-0F00-000019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10" name="Check Box 26" hidden="1">
              <a:extLst>
                <a:ext uri="{63B3BB69-23CF-44E3-9099-C40C66FF867C}">
                  <a14:compatExt spid="_x0000_s42010"/>
                </a:ext>
                <a:ext uri="{FF2B5EF4-FFF2-40B4-BE49-F238E27FC236}">
                  <a16:creationId xmlns:a16="http://schemas.microsoft.com/office/drawing/2014/main" id="{00000000-0008-0000-0F00-00001A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11" name="Check Box 27" hidden="1">
              <a:extLst>
                <a:ext uri="{63B3BB69-23CF-44E3-9099-C40C66FF867C}">
                  <a14:compatExt spid="_x0000_s42011"/>
                </a:ext>
                <a:ext uri="{FF2B5EF4-FFF2-40B4-BE49-F238E27FC236}">
                  <a16:creationId xmlns:a16="http://schemas.microsoft.com/office/drawing/2014/main" id="{00000000-0008-0000-0F00-00001B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12" name="Check Box 28" hidden="1">
              <a:extLst>
                <a:ext uri="{63B3BB69-23CF-44E3-9099-C40C66FF867C}">
                  <a14:compatExt spid="_x0000_s42012"/>
                </a:ext>
                <a:ext uri="{FF2B5EF4-FFF2-40B4-BE49-F238E27FC236}">
                  <a16:creationId xmlns:a16="http://schemas.microsoft.com/office/drawing/2014/main" id="{00000000-0008-0000-0F00-00001C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13" name="Check Box 29" hidden="1">
              <a:extLst>
                <a:ext uri="{63B3BB69-23CF-44E3-9099-C40C66FF867C}">
                  <a14:compatExt spid="_x0000_s42013"/>
                </a:ext>
                <a:ext uri="{FF2B5EF4-FFF2-40B4-BE49-F238E27FC236}">
                  <a16:creationId xmlns:a16="http://schemas.microsoft.com/office/drawing/2014/main" id="{00000000-0008-0000-0F00-00001D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14" name="Check Box 30" hidden="1">
              <a:extLst>
                <a:ext uri="{63B3BB69-23CF-44E3-9099-C40C66FF867C}">
                  <a14:compatExt spid="_x0000_s42014"/>
                </a:ext>
                <a:ext uri="{FF2B5EF4-FFF2-40B4-BE49-F238E27FC236}">
                  <a16:creationId xmlns:a16="http://schemas.microsoft.com/office/drawing/2014/main" id="{00000000-0008-0000-0F00-00001E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15" name="Check Box 31" hidden="1">
              <a:extLst>
                <a:ext uri="{63B3BB69-23CF-44E3-9099-C40C66FF867C}">
                  <a14:compatExt spid="_x0000_s42015"/>
                </a:ext>
                <a:ext uri="{FF2B5EF4-FFF2-40B4-BE49-F238E27FC236}">
                  <a16:creationId xmlns:a16="http://schemas.microsoft.com/office/drawing/2014/main" id="{00000000-0008-0000-0F00-00001F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16" name="Check Box 32" hidden="1">
              <a:extLst>
                <a:ext uri="{63B3BB69-23CF-44E3-9099-C40C66FF867C}">
                  <a14:compatExt spid="_x0000_s42016"/>
                </a:ext>
                <a:ext uri="{FF2B5EF4-FFF2-40B4-BE49-F238E27FC236}">
                  <a16:creationId xmlns:a16="http://schemas.microsoft.com/office/drawing/2014/main" id="{00000000-0008-0000-0F00-000020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17" name="Check Box 33" hidden="1">
              <a:extLst>
                <a:ext uri="{63B3BB69-23CF-44E3-9099-C40C66FF867C}">
                  <a14:compatExt spid="_x0000_s42017"/>
                </a:ext>
                <a:ext uri="{FF2B5EF4-FFF2-40B4-BE49-F238E27FC236}">
                  <a16:creationId xmlns:a16="http://schemas.microsoft.com/office/drawing/2014/main" id="{00000000-0008-0000-0F00-000021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18" name="Check Box 34" hidden="1">
              <a:extLst>
                <a:ext uri="{63B3BB69-23CF-44E3-9099-C40C66FF867C}">
                  <a14:compatExt spid="_x0000_s42018"/>
                </a:ext>
                <a:ext uri="{FF2B5EF4-FFF2-40B4-BE49-F238E27FC236}">
                  <a16:creationId xmlns:a16="http://schemas.microsoft.com/office/drawing/2014/main" id="{00000000-0008-0000-0F00-000022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19" name="Check Box 35" hidden="1">
              <a:extLst>
                <a:ext uri="{63B3BB69-23CF-44E3-9099-C40C66FF867C}">
                  <a14:compatExt spid="_x0000_s42019"/>
                </a:ext>
                <a:ext uri="{FF2B5EF4-FFF2-40B4-BE49-F238E27FC236}">
                  <a16:creationId xmlns:a16="http://schemas.microsoft.com/office/drawing/2014/main" id="{00000000-0008-0000-0F00-000023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20" name="Check Box 36" hidden="1">
              <a:extLst>
                <a:ext uri="{63B3BB69-23CF-44E3-9099-C40C66FF867C}">
                  <a14:compatExt spid="_x0000_s42020"/>
                </a:ext>
                <a:ext uri="{FF2B5EF4-FFF2-40B4-BE49-F238E27FC236}">
                  <a16:creationId xmlns:a16="http://schemas.microsoft.com/office/drawing/2014/main" id="{00000000-0008-0000-0F00-000024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21" name="Check Box 37" hidden="1">
              <a:extLst>
                <a:ext uri="{63B3BB69-23CF-44E3-9099-C40C66FF867C}">
                  <a14:compatExt spid="_x0000_s42021"/>
                </a:ext>
                <a:ext uri="{FF2B5EF4-FFF2-40B4-BE49-F238E27FC236}">
                  <a16:creationId xmlns:a16="http://schemas.microsoft.com/office/drawing/2014/main" id="{00000000-0008-0000-0F00-000025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22" name="Check Box 38" hidden="1">
              <a:extLst>
                <a:ext uri="{63B3BB69-23CF-44E3-9099-C40C66FF867C}">
                  <a14:compatExt spid="_x0000_s42022"/>
                </a:ext>
                <a:ext uri="{FF2B5EF4-FFF2-40B4-BE49-F238E27FC236}">
                  <a16:creationId xmlns:a16="http://schemas.microsoft.com/office/drawing/2014/main" id="{00000000-0008-0000-0F00-000026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23" name="Check Box 39" hidden="1">
              <a:extLst>
                <a:ext uri="{63B3BB69-23CF-44E3-9099-C40C66FF867C}">
                  <a14:compatExt spid="_x0000_s42023"/>
                </a:ext>
                <a:ext uri="{FF2B5EF4-FFF2-40B4-BE49-F238E27FC236}">
                  <a16:creationId xmlns:a16="http://schemas.microsoft.com/office/drawing/2014/main" id="{00000000-0008-0000-0F00-000027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24" name="Check Box 40" hidden="1">
              <a:extLst>
                <a:ext uri="{63B3BB69-23CF-44E3-9099-C40C66FF867C}">
                  <a14:compatExt spid="_x0000_s42024"/>
                </a:ext>
                <a:ext uri="{FF2B5EF4-FFF2-40B4-BE49-F238E27FC236}">
                  <a16:creationId xmlns:a16="http://schemas.microsoft.com/office/drawing/2014/main" id="{00000000-0008-0000-0F00-000028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25" name="Check Box 41" hidden="1">
              <a:extLst>
                <a:ext uri="{63B3BB69-23CF-44E3-9099-C40C66FF867C}">
                  <a14:compatExt spid="_x0000_s42025"/>
                </a:ext>
                <a:ext uri="{FF2B5EF4-FFF2-40B4-BE49-F238E27FC236}">
                  <a16:creationId xmlns:a16="http://schemas.microsoft.com/office/drawing/2014/main" id="{00000000-0008-0000-0F00-000029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26" name="Check Box 42" hidden="1">
              <a:extLst>
                <a:ext uri="{63B3BB69-23CF-44E3-9099-C40C66FF867C}">
                  <a14:compatExt spid="_x0000_s42026"/>
                </a:ext>
                <a:ext uri="{FF2B5EF4-FFF2-40B4-BE49-F238E27FC236}">
                  <a16:creationId xmlns:a16="http://schemas.microsoft.com/office/drawing/2014/main" id="{00000000-0008-0000-0F00-00002A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27" name="Check Box 43" hidden="1">
              <a:extLst>
                <a:ext uri="{63B3BB69-23CF-44E3-9099-C40C66FF867C}">
                  <a14:compatExt spid="_x0000_s42027"/>
                </a:ext>
                <a:ext uri="{FF2B5EF4-FFF2-40B4-BE49-F238E27FC236}">
                  <a16:creationId xmlns:a16="http://schemas.microsoft.com/office/drawing/2014/main" id="{00000000-0008-0000-0F00-00002B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28" name="Check Box 44" hidden="1">
              <a:extLst>
                <a:ext uri="{63B3BB69-23CF-44E3-9099-C40C66FF867C}">
                  <a14:compatExt spid="_x0000_s42028"/>
                </a:ext>
                <a:ext uri="{FF2B5EF4-FFF2-40B4-BE49-F238E27FC236}">
                  <a16:creationId xmlns:a16="http://schemas.microsoft.com/office/drawing/2014/main" id="{00000000-0008-0000-0F00-00002C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29" name="Check Box 45" hidden="1">
              <a:extLst>
                <a:ext uri="{63B3BB69-23CF-44E3-9099-C40C66FF867C}">
                  <a14:compatExt spid="_x0000_s42029"/>
                </a:ext>
                <a:ext uri="{FF2B5EF4-FFF2-40B4-BE49-F238E27FC236}">
                  <a16:creationId xmlns:a16="http://schemas.microsoft.com/office/drawing/2014/main" id="{00000000-0008-0000-0F00-00002D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30" name="Check Box 46" hidden="1">
              <a:extLst>
                <a:ext uri="{63B3BB69-23CF-44E3-9099-C40C66FF867C}">
                  <a14:compatExt spid="_x0000_s42030"/>
                </a:ext>
                <a:ext uri="{FF2B5EF4-FFF2-40B4-BE49-F238E27FC236}">
                  <a16:creationId xmlns:a16="http://schemas.microsoft.com/office/drawing/2014/main" id="{00000000-0008-0000-0F00-00002E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31" name="Check Box 47" hidden="1">
              <a:extLst>
                <a:ext uri="{63B3BB69-23CF-44E3-9099-C40C66FF867C}">
                  <a14:compatExt spid="_x0000_s42031"/>
                </a:ext>
                <a:ext uri="{FF2B5EF4-FFF2-40B4-BE49-F238E27FC236}">
                  <a16:creationId xmlns:a16="http://schemas.microsoft.com/office/drawing/2014/main" id="{00000000-0008-0000-0F00-00002F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32" name="Check Box 48" hidden="1">
              <a:extLst>
                <a:ext uri="{63B3BB69-23CF-44E3-9099-C40C66FF867C}">
                  <a14:compatExt spid="_x0000_s42032"/>
                </a:ext>
                <a:ext uri="{FF2B5EF4-FFF2-40B4-BE49-F238E27FC236}">
                  <a16:creationId xmlns:a16="http://schemas.microsoft.com/office/drawing/2014/main" id="{00000000-0008-0000-0F00-000030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33" name="Check Box 49" hidden="1">
              <a:extLst>
                <a:ext uri="{63B3BB69-23CF-44E3-9099-C40C66FF867C}">
                  <a14:compatExt spid="_x0000_s42033"/>
                </a:ext>
                <a:ext uri="{FF2B5EF4-FFF2-40B4-BE49-F238E27FC236}">
                  <a16:creationId xmlns:a16="http://schemas.microsoft.com/office/drawing/2014/main" id="{00000000-0008-0000-0F00-000031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34" name="Check Box 50" hidden="1">
              <a:extLst>
                <a:ext uri="{63B3BB69-23CF-44E3-9099-C40C66FF867C}">
                  <a14:compatExt spid="_x0000_s42034"/>
                </a:ext>
                <a:ext uri="{FF2B5EF4-FFF2-40B4-BE49-F238E27FC236}">
                  <a16:creationId xmlns:a16="http://schemas.microsoft.com/office/drawing/2014/main" id="{00000000-0008-0000-0F00-000032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35" name="Check Box 51" hidden="1">
              <a:extLst>
                <a:ext uri="{63B3BB69-23CF-44E3-9099-C40C66FF867C}">
                  <a14:compatExt spid="_x0000_s42035"/>
                </a:ext>
                <a:ext uri="{FF2B5EF4-FFF2-40B4-BE49-F238E27FC236}">
                  <a16:creationId xmlns:a16="http://schemas.microsoft.com/office/drawing/2014/main" id="{00000000-0008-0000-0F00-000033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36" name="Check Box 52" hidden="1">
              <a:extLst>
                <a:ext uri="{63B3BB69-23CF-44E3-9099-C40C66FF867C}">
                  <a14:compatExt spid="_x0000_s42036"/>
                </a:ext>
                <a:ext uri="{FF2B5EF4-FFF2-40B4-BE49-F238E27FC236}">
                  <a16:creationId xmlns:a16="http://schemas.microsoft.com/office/drawing/2014/main" id="{00000000-0008-0000-0F00-000034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37" name="Check Box 53" hidden="1">
              <a:extLst>
                <a:ext uri="{63B3BB69-23CF-44E3-9099-C40C66FF867C}">
                  <a14:compatExt spid="_x0000_s42037"/>
                </a:ext>
                <a:ext uri="{FF2B5EF4-FFF2-40B4-BE49-F238E27FC236}">
                  <a16:creationId xmlns:a16="http://schemas.microsoft.com/office/drawing/2014/main" id="{00000000-0008-0000-0F00-000035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38" name="Check Box 54" hidden="1">
              <a:extLst>
                <a:ext uri="{63B3BB69-23CF-44E3-9099-C40C66FF867C}">
                  <a14:compatExt spid="_x0000_s42038"/>
                </a:ext>
                <a:ext uri="{FF2B5EF4-FFF2-40B4-BE49-F238E27FC236}">
                  <a16:creationId xmlns:a16="http://schemas.microsoft.com/office/drawing/2014/main" id="{00000000-0008-0000-0F00-000036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39" name="Check Box 55" hidden="1">
              <a:extLst>
                <a:ext uri="{63B3BB69-23CF-44E3-9099-C40C66FF867C}">
                  <a14:compatExt spid="_x0000_s42039"/>
                </a:ext>
                <a:ext uri="{FF2B5EF4-FFF2-40B4-BE49-F238E27FC236}">
                  <a16:creationId xmlns:a16="http://schemas.microsoft.com/office/drawing/2014/main" id="{00000000-0008-0000-0F00-000037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40" name="Check Box 56" hidden="1">
              <a:extLst>
                <a:ext uri="{63B3BB69-23CF-44E3-9099-C40C66FF867C}">
                  <a14:compatExt spid="_x0000_s42040"/>
                </a:ext>
                <a:ext uri="{FF2B5EF4-FFF2-40B4-BE49-F238E27FC236}">
                  <a16:creationId xmlns:a16="http://schemas.microsoft.com/office/drawing/2014/main" id="{00000000-0008-0000-0F00-000038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41" name="Check Box 57" hidden="1">
              <a:extLst>
                <a:ext uri="{63B3BB69-23CF-44E3-9099-C40C66FF867C}">
                  <a14:compatExt spid="_x0000_s42041"/>
                </a:ext>
                <a:ext uri="{FF2B5EF4-FFF2-40B4-BE49-F238E27FC236}">
                  <a16:creationId xmlns:a16="http://schemas.microsoft.com/office/drawing/2014/main" id="{00000000-0008-0000-0F00-000039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42" name="Check Box 58" hidden="1">
              <a:extLst>
                <a:ext uri="{63B3BB69-23CF-44E3-9099-C40C66FF867C}">
                  <a14:compatExt spid="_x0000_s42042"/>
                </a:ext>
                <a:ext uri="{FF2B5EF4-FFF2-40B4-BE49-F238E27FC236}">
                  <a16:creationId xmlns:a16="http://schemas.microsoft.com/office/drawing/2014/main" id="{00000000-0008-0000-0F00-00003A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43" name="Check Box 59" hidden="1">
              <a:extLst>
                <a:ext uri="{63B3BB69-23CF-44E3-9099-C40C66FF867C}">
                  <a14:compatExt spid="_x0000_s42043"/>
                </a:ext>
                <a:ext uri="{FF2B5EF4-FFF2-40B4-BE49-F238E27FC236}">
                  <a16:creationId xmlns:a16="http://schemas.microsoft.com/office/drawing/2014/main" id="{00000000-0008-0000-0F00-00003B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44" name="Check Box 60" hidden="1">
              <a:extLst>
                <a:ext uri="{63B3BB69-23CF-44E3-9099-C40C66FF867C}">
                  <a14:compatExt spid="_x0000_s42044"/>
                </a:ext>
                <a:ext uri="{FF2B5EF4-FFF2-40B4-BE49-F238E27FC236}">
                  <a16:creationId xmlns:a16="http://schemas.microsoft.com/office/drawing/2014/main" id="{00000000-0008-0000-0F00-00003C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45" name="Check Box 61" hidden="1">
              <a:extLst>
                <a:ext uri="{63B3BB69-23CF-44E3-9099-C40C66FF867C}">
                  <a14:compatExt spid="_x0000_s42045"/>
                </a:ext>
                <a:ext uri="{FF2B5EF4-FFF2-40B4-BE49-F238E27FC236}">
                  <a16:creationId xmlns:a16="http://schemas.microsoft.com/office/drawing/2014/main" id="{00000000-0008-0000-0F00-00003D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46" name="Check Box 62" hidden="1">
              <a:extLst>
                <a:ext uri="{63B3BB69-23CF-44E3-9099-C40C66FF867C}">
                  <a14:compatExt spid="_x0000_s42046"/>
                </a:ext>
                <a:ext uri="{FF2B5EF4-FFF2-40B4-BE49-F238E27FC236}">
                  <a16:creationId xmlns:a16="http://schemas.microsoft.com/office/drawing/2014/main" id="{00000000-0008-0000-0F00-00003E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47" name="Check Box 63" hidden="1">
              <a:extLst>
                <a:ext uri="{63B3BB69-23CF-44E3-9099-C40C66FF867C}">
                  <a14:compatExt spid="_x0000_s42047"/>
                </a:ext>
                <a:ext uri="{FF2B5EF4-FFF2-40B4-BE49-F238E27FC236}">
                  <a16:creationId xmlns:a16="http://schemas.microsoft.com/office/drawing/2014/main" id="{00000000-0008-0000-0F00-00003F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48" name="Check Box 64" hidden="1">
              <a:extLst>
                <a:ext uri="{63B3BB69-23CF-44E3-9099-C40C66FF867C}">
                  <a14:compatExt spid="_x0000_s42048"/>
                </a:ext>
                <a:ext uri="{FF2B5EF4-FFF2-40B4-BE49-F238E27FC236}">
                  <a16:creationId xmlns:a16="http://schemas.microsoft.com/office/drawing/2014/main" id="{00000000-0008-0000-0F00-000040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49" name="Check Box 65" hidden="1">
              <a:extLst>
                <a:ext uri="{63B3BB69-23CF-44E3-9099-C40C66FF867C}">
                  <a14:compatExt spid="_x0000_s42049"/>
                </a:ext>
                <a:ext uri="{FF2B5EF4-FFF2-40B4-BE49-F238E27FC236}">
                  <a16:creationId xmlns:a16="http://schemas.microsoft.com/office/drawing/2014/main" id="{00000000-0008-0000-0F00-000041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50" name="Check Box 66" hidden="1">
              <a:extLst>
                <a:ext uri="{63B3BB69-23CF-44E3-9099-C40C66FF867C}">
                  <a14:compatExt spid="_x0000_s42050"/>
                </a:ext>
                <a:ext uri="{FF2B5EF4-FFF2-40B4-BE49-F238E27FC236}">
                  <a16:creationId xmlns:a16="http://schemas.microsoft.com/office/drawing/2014/main" id="{00000000-0008-0000-0F00-000042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51" name="Check Box 67" hidden="1">
              <a:extLst>
                <a:ext uri="{63B3BB69-23CF-44E3-9099-C40C66FF867C}">
                  <a14:compatExt spid="_x0000_s42051"/>
                </a:ext>
                <a:ext uri="{FF2B5EF4-FFF2-40B4-BE49-F238E27FC236}">
                  <a16:creationId xmlns:a16="http://schemas.microsoft.com/office/drawing/2014/main" id="{00000000-0008-0000-0F00-000043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52" name="Check Box 68" hidden="1">
              <a:extLst>
                <a:ext uri="{63B3BB69-23CF-44E3-9099-C40C66FF867C}">
                  <a14:compatExt spid="_x0000_s42052"/>
                </a:ext>
                <a:ext uri="{FF2B5EF4-FFF2-40B4-BE49-F238E27FC236}">
                  <a16:creationId xmlns:a16="http://schemas.microsoft.com/office/drawing/2014/main" id="{00000000-0008-0000-0F00-000044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53" name="Check Box 69" hidden="1">
              <a:extLst>
                <a:ext uri="{63B3BB69-23CF-44E3-9099-C40C66FF867C}">
                  <a14:compatExt spid="_x0000_s42053"/>
                </a:ext>
                <a:ext uri="{FF2B5EF4-FFF2-40B4-BE49-F238E27FC236}">
                  <a16:creationId xmlns:a16="http://schemas.microsoft.com/office/drawing/2014/main" id="{00000000-0008-0000-0F00-000045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54" name="Check Box 70" hidden="1">
              <a:extLst>
                <a:ext uri="{63B3BB69-23CF-44E3-9099-C40C66FF867C}">
                  <a14:compatExt spid="_x0000_s42054"/>
                </a:ext>
                <a:ext uri="{FF2B5EF4-FFF2-40B4-BE49-F238E27FC236}">
                  <a16:creationId xmlns:a16="http://schemas.microsoft.com/office/drawing/2014/main" id="{00000000-0008-0000-0F00-000046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55" name="Check Box 71" hidden="1">
              <a:extLst>
                <a:ext uri="{63B3BB69-23CF-44E3-9099-C40C66FF867C}">
                  <a14:compatExt spid="_x0000_s42055"/>
                </a:ext>
                <a:ext uri="{FF2B5EF4-FFF2-40B4-BE49-F238E27FC236}">
                  <a16:creationId xmlns:a16="http://schemas.microsoft.com/office/drawing/2014/main" id="{00000000-0008-0000-0F00-000047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39</xdr:col>
          <xdr:colOff>0</xdr:colOff>
          <xdr:row>0</xdr:row>
          <xdr:rowOff>47625</xdr:rowOff>
        </xdr:from>
        <xdr:to>
          <xdr:col>39</xdr:col>
          <xdr:colOff>257175</xdr:colOff>
          <xdr:row>3</xdr:row>
          <xdr:rowOff>47625</xdr:rowOff>
        </xdr:to>
        <xdr:sp macro="" textlink="">
          <xdr:nvSpPr>
            <xdr:cNvPr id="42056" name="Check Box 72" hidden="1">
              <a:extLst>
                <a:ext uri="{63B3BB69-23CF-44E3-9099-C40C66FF867C}">
                  <a14:compatExt spid="_x0000_s42056"/>
                </a:ext>
                <a:ext uri="{FF2B5EF4-FFF2-40B4-BE49-F238E27FC236}">
                  <a16:creationId xmlns:a16="http://schemas.microsoft.com/office/drawing/2014/main" id="{00000000-0008-0000-0F00-000048A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enelcom.sharepoint.com/Users/es77574376e/OneDrive%20-%20Enel%20Spa/1_Working%20files/Diamond%20Vista/BoQ%20codes/ANNEX%201.%20Diamond%20Vista_F.25.XX.W.92872.00.012.06_IFC_IFS%20(FINAL%20ENEL%20FILE%20w%20TARIFF%20respread)_rev04.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cks-global.enel.com/Users/dmadruga/AppData/Local/Microsoft/Windows/INetCache/Content.Outlook/KHB4TLY9/ANNEX%201.%20Diamond%20Vista_F.25.XX.W.00000.00.012.01_BoQ%20rev00A.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cks-global.enel.com/Users/dmadruga/AppData/Local/Microsoft/Windows/INetCache/Content.Outlook/KHB4TLY9/ANNEX%201.%20Sundance_F.25.XX.W.00000.00.012.01_BoQ%20rev00A.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Project info"/>
      <sheetName val="Prices List"/>
      <sheetName val="Civil"/>
      <sheetName val="PR"/>
      <sheetName val="Foundations"/>
      <sheetName val="Civil_Collector"/>
      <sheetName val="Collection system"/>
      <sheetName val="Environmental"/>
      <sheetName val="WTG installation"/>
      <sheetName val="Others"/>
      <sheetName val="Optionals"/>
      <sheetName val="Summary"/>
    </sheetNames>
    <sheetDataSet>
      <sheetData sheetId="0"/>
      <sheetData sheetId="1"/>
      <sheetData sheetId="2">
        <row r="10">
          <cell r="E10">
            <v>0.44</v>
          </cell>
        </row>
        <row r="15">
          <cell r="E15">
            <v>0.73</v>
          </cell>
        </row>
        <row r="20">
          <cell r="E20">
            <v>1.27</v>
          </cell>
        </row>
        <row r="26">
          <cell r="E26">
            <v>0.78</v>
          </cell>
        </row>
        <row r="32">
          <cell r="E32">
            <v>0.67</v>
          </cell>
        </row>
        <row r="38">
          <cell r="E38">
            <v>2.34</v>
          </cell>
        </row>
        <row r="44">
          <cell r="E44">
            <v>1.1499999999999999</v>
          </cell>
        </row>
        <row r="49">
          <cell r="E49">
            <v>2.16</v>
          </cell>
        </row>
        <row r="54">
          <cell r="E54">
            <v>2.08</v>
          </cell>
        </row>
        <row r="59">
          <cell r="E59">
            <v>3.24</v>
          </cell>
        </row>
        <row r="66">
          <cell r="E66">
            <v>2.2400000000000002</v>
          </cell>
        </row>
        <row r="72">
          <cell r="E72">
            <v>2.31</v>
          </cell>
        </row>
        <row r="80">
          <cell r="E80">
            <v>11.46</v>
          </cell>
        </row>
        <row r="86">
          <cell r="E86">
            <v>0</v>
          </cell>
        </row>
        <row r="91">
          <cell r="E91">
            <v>0</v>
          </cell>
        </row>
        <row r="96">
          <cell r="E96">
            <v>0</v>
          </cell>
        </row>
        <row r="101">
          <cell r="E101">
            <v>0</v>
          </cell>
        </row>
        <row r="106">
          <cell r="E106">
            <v>16.43</v>
          </cell>
        </row>
        <row r="111">
          <cell r="E111">
            <v>35.979999999999997</v>
          </cell>
        </row>
        <row r="116">
          <cell r="E116">
            <v>60.12</v>
          </cell>
        </row>
        <row r="121">
          <cell r="E121">
            <v>63.29</v>
          </cell>
        </row>
        <row r="126">
          <cell r="E126">
            <v>3.02</v>
          </cell>
        </row>
        <row r="131">
          <cell r="E131">
            <v>7.91</v>
          </cell>
        </row>
        <row r="136">
          <cell r="E136">
            <v>9.85</v>
          </cell>
        </row>
        <row r="141">
          <cell r="E141">
            <v>14.74</v>
          </cell>
        </row>
        <row r="147">
          <cell r="E147">
            <v>1.58</v>
          </cell>
        </row>
        <row r="152">
          <cell r="E152">
            <v>1.23</v>
          </cell>
        </row>
        <row r="157">
          <cell r="E157">
            <v>0.4</v>
          </cell>
        </row>
        <row r="162">
          <cell r="E162">
            <v>0.4</v>
          </cell>
        </row>
        <row r="167">
          <cell r="E167">
            <v>6.42</v>
          </cell>
        </row>
        <row r="172">
          <cell r="E172">
            <v>6.42</v>
          </cell>
        </row>
        <row r="177">
          <cell r="E177">
            <v>7.63</v>
          </cell>
        </row>
        <row r="182">
          <cell r="E182">
            <v>9.4600000000000009</v>
          </cell>
        </row>
        <row r="187">
          <cell r="E187">
            <v>6.42</v>
          </cell>
        </row>
        <row r="192">
          <cell r="E192">
            <v>6.42</v>
          </cell>
        </row>
        <row r="197">
          <cell r="E197">
            <v>7.63</v>
          </cell>
        </row>
        <row r="202">
          <cell r="E202">
            <v>9.4600000000000009</v>
          </cell>
        </row>
        <row r="208">
          <cell r="E208">
            <v>4.72</v>
          </cell>
        </row>
        <row r="213">
          <cell r="E213">
            <v>1.85</v>
          </cell>
        </row>
        <row r="219">
          <cell r="E219">
            <v>37.93</v>
          </cell>
        </row>
        <row r="225">
          <cell r="E225">
            <v>37.93</v>
          </cell>
        </row>
        <row r="230">
          <cell r="E230">
            <v>37.93</v>
          </cell>
        </row>
        <row r="236">
          <cell r="E236">
            <v>37.93</v>
          </cell>
        </row>
        <row r="241">
          <cell r="E241">
            <v>37.93</v>
          </cell>
        </row>
        <row r="247">
          <cell r="E247">
            <v>42.57</v>
          </cell>
        </row>
        <row r="253">
          <cell r="E253">
            <v>33.729999999999997</v>
          </cell>
        </row>
        <row r="258">
          <cell r="E258">
            <v>48.23</v>
          </cell>
        </row>
        <row r="263">
          <cell r="E263">
            <v>43.48</v>
          </cell>
        </row>
        <row r="268">
          <cell r="E268">
            <v>131.80000000000001</v>
          </cell>
        </row>
        <row r="275">
          <cell r="E275">
            <v>8.1300000000000008</v>
          </cell>
        </row>
        <row r="280">
          <cell r="E280">
            <v>8.1300000000000008</v>
          </cell>
        </row>
        <row r="285">
          <cell r="E285">
            <v>8.1300000000000008</v>
          </cell>
        </row>
        <row r="290">
          <cell r="E290">
            <v>8.1300000000000008</v>
          </cell>
        </row>
        <row r="296">
          <cell r="E296">
            <v>10.95</v>
          </cell>
        </row>
        <row r="301">
          <cell r="E301">
            <v>8.41</v>
          </cell>
        </row>
        <row r="307">
          <cell r="E307">
            <v>5440.98</v>
          </cell>
        </row>
        <row r="313">
          <cell r="E313">
            <v>5.73</v>
          </cell>
        </row>
        <row r="318">
          <cell r="E318">
            <v>12.42</v>
          </cell>
        </row>
        <row r="323">
          <cell r="E323">
            <v>43.43</v>
          </cell>
        </row>
        <row r="330">
          <cell r="E330">
            <v>0.48</v>
          </cell>
        </row>
        <row r="335">
          <cell r="E335">
            <v>0.85</v>
          </cell>
        </row>
        <row r="341">
          <cell r="E341">
            <v>1.44</v>
          </cell>
        </row>
        <row r="346">
          <cell r="E346">
            <v>9.66</v>
          </cell>
        </row>
        <row r="353">
          <cell r="E353">
            <v>2.2999999999999998</v>
          </cell>
        </row>
        <row r="358">
          <cell r="E358">
            <v>39.700000000000003</v>
          </cell>
        </row>
        <row r="364">
          <cell r="E364">
            <v>9.92</v>
          </cell>
        </row>
        <row r="369">
          <cell r="E369">
            <v>39.590000000000003</v>
          </cell>
        </row>
        <row r="376">
          <cell r="E376">
            <v>2.12</v>
          </cell>
        </row>
        <row r="381">
          <cell r="E381">
            <v>2.74</v>
          </cell>
        </row>
        <row r="386">
          <cell r="E386">
            <v>11.99</v>
          </cell>
        </row>
        <row r="392">
          <cell r="E392">
            <v>40.119999999999997</v>
          </cell>
        </row>
        <row r="398">
          <cell r="E398">
            <v>108.37</v>
          </cell>
        </row>
        <row r="403">
          <cell r="E403">
            <v>173.39</v>
          </cell>
        </row>
        <row r="408">
          <cell r="E408">
            <v>270.92</v>
          </cell>
        </row>
        <row r="413">
          <cell r="E413">
            <v>3.79</v>
          </cell>
        </row>
        <row r="418">
          <cell r="E418">
            <v>0.17</v>
          </cell>
        </row>
        <row r="423">
          <cell r="E423">
            <v>97.53</v>
          </cell>
        </row>
        <row r="428">
          <cell r="E428">
            <v>92.11</v>
          </cell>
        </row>
        <row r="433">
          <cell r="E433">
            <v>650.22</v>
          </cell>
        </row>
        <row r="438">
          <cell r="E438">
            <v>270.92</v>
          </cell>
        </row>
        <row r="443">
          <cell r="E443">
            <v>243.83</v>
          </cell>
        </row>
        <row r="448">
          <cell r="E448">
            <v>65.02</v>
          </cell>
        </row>
        <row r="453">
          <cell r="E453">
            <v>27.09</v>
          </cell>
        </row>
        <row r="458">
          <cell r="E458">
            <v>65.02</v>
          </cell>
        </row>
        <row r="463">
          <cell r="E463">
            <v>433.48</v>
          </cell>
        </row>
        <row r="468">
          <cell r="E468">
            <v>151.72</v>
          </cell>
        </row>
        <row r="473">
          <cell r="E473">
            <v>975.33</v>
          </cell>
        </row>
        <row r="484">
          <cell r="E484">
            <v>0.94</v>
          </cell>
        </row>
        <row r="489">
          <cell r="E489">
            <v>29.26</v>
          </cell>
        </row>
        <row r="495">
          <cell r="E495">
            <v>28.37</v>
          </cell>
        </row>
        <row r="500">
          <cell r="E500">
            <v>42.59</v>
          </cell>
        </row>
        <row r="506">
          <cell r="E506">
            <v>21.42</v>
          </cell>
        </row>
        <row r="511">
          <cell r="E511">
            <v>42.86</v>
          </cell>
        </row>
        <row r="517">
          <cell r="E517">
            <v>21.17</v>
          </cell>
        </row>
        <row r="522">
          <cell r="E522">
            <v>50.4</v>
          </cell>
        </row>
        <row r="528">
          <cell r="E528">
            <v>16.149999999999999</v>
          </cell>
        </row>
        <row r="533">
          <cell r="E533">
            <v>18.920000000000002</v>
          </cell>
        </row>
        <row r="538">
          <cell r="E538">
            <v>22.12</v>
          </cell>
        </row>
        <row r="543">
          <cell r="E543">
            <v>24.98</v>
          </cell>
        </row>
        <row r="548">
          <cell r="E548">
            <v>24.26</v>
          </cell>
        </row>
        <row r="553">
          <cell r="E553">
            <v>26.62</v>
          </cell>
        </row>
        <row r="558">
          <cell r="E558">
            <v>29.39</v>
          </cell>
        </row>
        <row r="563">
          <cell r="E563">
            <v>32.29</v>
          </cell>
        </row>
        <row r="568">
          <cell r="E568">
            <v>35.19</v>
          </cell>
        </row>
        <row r="573">
          <cell r="E573">
            <v>41.03</v>
          </cell>
        </row>
        <row r="581">
          <cell r="E581">
            <v>2.4700000000000002</v>
          </cell>
        </row>
        <row r="587">
          <cell r="E587">
            <v>2</v>
          </cell>
        </row>
        <row r="593">
          <cell r="E593">
            <v>3.49</v>
          </cell>
        </row>
        <row r="598">
          <cell r="E598">
            <v>2.65</v>
          </cell>
        </row>
        <row r="604">
          <cell r="E604">
            <v>3.49</v>
          </cell>
        </row>
        <row r="609">
          <cell r="E609">
            <v>226.96</v>
          </cell>
        </row>
        <row r="615">
          <cell r="E615">
            <v>2.1800000000000002</v>
          </cell>
        </row>
        <row r="621">
          <cell r="E621">
            <v>3.19</v>
          </cell>
        </row>
        <row r="627">
          <cell r="E627">
            <v>2.65</v>
          </cell>
        </row>
        <row r="633">
          <cell r="E633">
            <v>45.28</v>
          </cell>
        </row>
        <row r="640">
          <cell r="E640">
            <v>216739.81</v>
          </cell>
        </row>
        <row r="645">
          <cell r="E645">
            <v>60.81</v>
          </cell>
        </row>
        <row r="650">
          <cell r="E650">
            <v>59.42</v>
          </cell>
        </row>
        <row r="655">
          <cell r="E655">
            <v>66.260000000000005</v>
          </cell>
        </row>
        <row r="660">
          <cell r="E660">
            <v>70.760000000000005</v>
          </cell>
        </row>
        <row r="665">
          <cell r="E665">
            <v>0</v>
          </cell>
        </row>
        <row r="672">
          <cell r="E672">
            <v>16255.49</v>
          </cell>
        </row>
        <row r="680">
          <cell r="E680">
            <v>29</v>
          </cell>
        </row>
        <row r="685">
          <cell r="E685">
            <v>12.73</v>
          </cell>
        </row>
        <row r="692">
          <cell r="E692">
            <v>23.64</v>
          </cell>
        </row>
        <row r="697">
          <cell r="E697">
            <v>23.67</v>
          </cell>
        </row>
        <row r="702">
          <cell r="E702">
            <v>23.65</v>
          </cell>
        </row>
        <row r="707">
          <cell r="E707">
            <v>29.56</v>
          </cell>
        </row>
        <row r="712">
          <cell r="E712">
            <v>54.69</v>
          </cell>
        </row>
        <row r="717">
          <cell r="E717">
            <v>51.05</v>
          </cell>
        </row>
        <row r="722">
          <cell r="E722">
            <v>111.4</v>
          </cell>
        </row>
        <row r="727">
          <cell r="E727">
            <v>133.56</v>
          </cell>
        </row>
        <row r="732">
          <cell r="E732">
            <v>231.96</v>
          </cell>
        </row>
        <row r="737">
          <cell r="E737">
            <v>382.65</v>
          </cell>
        </row>
        <row r="742">
          <cell r="E742">
            <v>414.87</v>
          </cell>
        </row>
        <row r="747">
          <cell r="E747">
            <v>473.47</v>
          </cell>
        </row>
        <row r="752">
          <cell r="E752">
            <v>487.04</v>
          </cell>
        </row>
        <row r="757">
          <cell r="E757">
            <v>601.14</v>
          </cell>
        </row>
        <row r="763">
          <cell r="E763">
            <v>25.24</v>
          </cell>
        </row>
        <row r="768">
          <cell r="E768">
            <v>25.48</v>
          </cell>
        </row>
        <row r="775">
          <cell r="E775">
            <v>1219175.1100000001</v>
          </cell>
        </row>
        <row r="781">
          <cell r="E781">
            <v>137.63</v>
          </cell>
        </row>
        <row r="786">
          <cell r="E786">
            <v>149.55000000000001</v>
          </cell>
        </row>
        <row r="792">
          <cell r="E792">
            <v>8.1300000000000008</v>
          </cell>
        </row>
        <row r="799">
          <cell r="E799">
            <v>80.739999999999995</v>
          </cell>
        </row>
        <row r="805">
          <cell r="E805">
            <v>1428.1578601823444</v>
          </cell>
        </row>
        <row r="810">
          <cell r="E810">
            <v>1547.1710151975399</v>
          </cell>
        </row>
        <row r="816">
          <cell r="E816">
            <v>5177.0667521046635</v>
          </cell>
        </row>
        <row r="821">
          <cell r="E821">
            <v>6122.9</v>
          </cell>
        </row>
        <row r="826">
          <cell r="E826">
            <v>4.33</v>
          </cell>
        </row>
        <row r="831">
          <cell r="E831">
            <v>6.23</v>
          </cell>
        </row>
        <row r="836">
          <cell r="E836">
            <v>8.4</v>
          </cell>
        </row>
        <row r="841">
          <cell r="E841">
            <v>0</v>
          </cell>
        </row>
        <row r="846">
          <cell r="E846">
            <v>0</v>
          </cell>
        </row>
        <row r="851">
          <cell r="E851">
            <v>0</v>
          </cell>
        </row>
        <row r="859">
          <cell r="E859">
            <v>0</v>
          </cell>
        </row>
        <row r="864">
          <cell r="E864">
            <v>0</v>
          </cell>
        </row>
        <row r="870">
          <cell r="E870">
            <v>9753.2900000000009</v>
          </cell>
        </row>
        <row r="875">
          <cell r="E875">
            <v>812.77</v>
          </cell>
        </row>
        <row r="881">
          <cell r="E881">
            <v>3251.1</v>
          </cell>
        </row>
        <row r="886">
          <cell r="E886">
            <v>2980.17</v>
          </cell>
        </row>
        <row r="891">
          <cell r="E891">
            <v>0</v>
          </cell>
        </row>
        <row r="896">
          <cell r="E896">
            <v>778.32</v>
          </cell>
        </row>
        <row r="902">
          <cell r="E902">
            <v>0</v>
          </cell>
        </row>
        <row r="908">
          <cell r="E908">
            <v>0</v>
          </cell>
        </row>
        <row r="915">
          <cell r="E915">
            <v>0</v>
          </cell>
        </row>
        <row r="920">
          <cell r="E920">
            <v>0</v>
          </cell>
        </row>
        <row r="926">
          <cell r="E926">
            <v>6502.19</v>
          </cell>
        </row>
        <row r="931">
          <cell r="E931">
            <v>6502.19</v>
          </cell>
        </row>
        <row r="939">
          <cell r="E939">
            <v>3.72</v>
          </cell>
        </row>
        <row r="944">
          <cell r="E944">
            <v>3.72</v>
          </cell>
        </row>
        <row r="949">
          <cell r="E949">
            <v>4.1500000000000004</v>
          </cell>
        </row>
        <row r="954">
          <cell r="E954">
            <v>4.67</v>
          </cell>
        </row>
        <row r="959">
          <cell r="E959">
            <v>5.3</v>
          </cell>
        </row>
        <row r="964">
          <cell r="E964">
            <v>0.54</v>
          </cell>
        </row>
        <row r="969">
          <cell r="E969">
            <v>0.81</v>
          </cell>
        </row>
        <row r="974">
          <cell r="E974">
            <v>1.08</v>
          </cell>
        </row>
        <row r="979">
          <cell r="E979">
            <v>1.63</v>
          </cell>
        </row>
        <row r="984">
          <cell r="E984">
            <v>2.17</v>
          </cell>
        </row>
        <row r="990">
          <cell r="E990">
            <v>5.8</v>
          </cell>
        </row>
        <row r="995">
          <cell r="E995">
            <v>6.91</v>
          </cell>
        </row>
        <row r="1000">
          <cell r="E1000">
            <v>9.0399999999999991</v>
          </cell>
        </row>
        <row r="1005">
          <cell r="E1005">
            <v>13.02</v>
          </cell>
        </row>
        <row r="1010">
          <cell r="E1010">
            <v>23.93</v>
          </cell>
        </row>
        <row r="1015">
          <cell r="E1015">
            <v>33.700000000000003</v>
          </cell>
        </row>
        <row r="1020">
          <cell r="E1020">
            <v>51.57</v>
          </cell>
        </row>
        <row r="1025">
          <cell r="E1025">
            <v>60.17</v>
          </cell>
        </row>
        <row r="1030">
          <cell r="E1030">
            <v>83.95</v>
          </cell>
        </row>
        <row r="1038">
          <cell r="E1038">
            <v>7.02</v>
          </cell>
        </row>
        <row r="1043">
          <cell r="E1043">
            <v>11.25</v>
          </cell>
        </row>
        <row r="1049">
          <cell r="E1049">
            <v>4.99</v>
          </cell>
        </row>
        <row r="1055">
          <cell r="E1055">
            <v>0.44</v>
          </cell>
        </row>
        <row r="1061">
          <cell r="E1061">
            <v>9.0299999999999994</v>
          </cell>
        </row>
        <row r="1066">
          <cell r="E1066">
            <v>16.37</v>
          </cell>
        </row>
        <row r="1071">
          <cell r="E1071">
            <v>38.04</v>
          </cell>
        </row>
        <row r="1078">
          <cell r="E1078">
            <v>10.66</v>
          </cell>
        </row>
        <row r="1085">
          <cell r="E1085">
            <v>3.04</v>
          </cell>
        </row>
        <row r="1090">
          <cell r="E1090">
            <v>3</v>
          </cell>
        </row>
        <row r="1096">
          <cell r="E1096">
            <v>3.12</v>
          </cell>
        </row>
        <row r="1101">
          <cell r="E1101">
            <v>7.8</v>
          </cell>
        </row>
        <row r="1107">
          <cell r="E1107">
            <v>361.49</v>
          </cell>
        </row>
        <row r="1112">
          <cell r="E1112">
            <v>22.5</v>
          </cell>
        </row>
        <row r="1119">
          <cell r="E1119">
            <v>0.64</v>
          </cell>
        </row>
        <row r="1124">
          <cell r="E1124">
            <v>0.73</v>
          </cell>
        </row>
        <row r="1129">
          <cell r="E1129">
            <v>0.32</v>
          </cell>
        </row>
        <row r="1135">
          <cell r="E1135">
            <v>4449.6099999999997</v>
          </cell>
        </row>
        <row r="1140">
          <cell r="E1140">
            <v>1.55</v>
          </cell>
        </row>
        <row r="1145">
          <cell r="E1145">
            <v>4321.68</v>
          </cell>
        </row>
        <row r="1151">
          <cell r="E1151">
            <v>108.37</v>
          </cell>
        </row>
        <row r="1156">
          <cell r="E1156">
            <v>325.11</v>
          </cell>
        </row>
        <row r="1171">
          <cell r="E1171">
            <v>2279.5</v>
          </cell>
        </row>
        <row r="1177">
          <cell r="E1177">
            <v>5054.2</v>
          </cell>
        </row>
        <row r="1182">
          <cell r="E1182">
            <v>10780.61</v>
          </cell>
        </row>
        <row r="1187">
          <cell r="E1187">
            <v>14581.72</v>
          </cell>
        </row>
        <row r="1192">
          <cell r="E1192">
            <v>5526.03</v>
          </cell>
        </row>
        <row r="1197">
          <cell r="E1197">
            <v>5418.5</v>
          </cell>
        </row>
        <row r="1203">
          <cell r="E1203">
            <v>4395.53</v>
          </cell>
        </row>
        <row r="1208">
          <cell r="E1208">
            <v>317.29000000000002</v>
          </cell>
        </row>
        <row r="1213">
          <cell r="E1213">
            <v>492.36</v>
          </cell>
        </row>
        <row r="1218">
          <cell r="E1218">
            <v>3645</v>
          </cell>
        </row>
        <row r="1223">
          <cell r="E1223">
            <v>5226.03</v>
          </cell>
        </row>
        <row r="1228">
          <cell r="E1228">
            <v>41430.120000000003</v>
          </cell>
        </row>
        <row r="1233">
          <cell r="E1233">
            <v>4121.46</v>
          </cell>
        </row>
        <row r="1238">
          <cell r="E1238">
            <v>1228.6400000000001</v>
          </cell>
        </row>
        <row r="1243">
          <cell r="E1243">
            <v>4940.7700000000004</v>
          </cell>
        </row>
        <row r="1248">
          <cell r="E1248">
            <v>317.29000000000002</v>
          </cell>
        </row>
        <row r="1253">
          <cell r="E1253">
            <v>3713.42</v>
          </cell>
        </row>
        <row r="1258">
          <cell r="E1258">
            <v>6258.85</v>
          </cell>
        </row>
        <row r="1263">
          <cell r="E1263">
            <v>317.29000000000002</v>
          </cell>
        </row>
        <row r="1268">
          <cell r="E1268">
            <v>6230.45</v>
          </cell>
        </row>
        <row r="1273">
          <cell r="E1273">
            <v>317.29000000000002</v>
          </cell>
        </row>
        <row r="1278">
          <cell r="E1278">
            <v>7631.87</v>
          </cell>
        </row>
      </sheetData>
      <sheetData sheetId="3">
        <row r="11">
          <cell r="I11">
            <v>45891.666666666664</v>
          </cell>
        </row>
        <row r="15">
          <cell r="I15">
            <v>10000</v>
          </cell>
        </row>
        <row r="19">
          <cell r="I19">
            <v>0</v>
          </cell>
        </row>
        <row r="28">
          <cell r="I28">
            <v>286384.18271604937</v>
          </cell>
        </row>
        <row r="35">
          <cell r="I35">
            <v>497029</v>
          </cell>
        </row>
        <row r="40">
          <cell r="I40">
            <v>0</v>
          </cell>
        </row>
        <row r="44">
          <cell r="I44">
            <v>0</v>
          </cell>
        </row>
        <row r="50">
          <cell r="I50">
            <v>0</v>
          </cell>
        </row>
        <row r="56">
          <cell r="I56">
            <v>0</v>
          </cell>
        </row>
        <row r="62">
          <cell r="I62">
            <v>45000</v>
          </cell>
        </row>
        <row r="66">
          <cell r="I66">
            <v>0</v>
          </cell>
        </row>
        <row r="70">
          <cell r="I70">
            <v>0</v>
          </cell>
        </row>
        <row r="78">
          <cell r="I78">
            <v>212625.75555555557</v>
          </cell>
        </row>
        <row r="82">
          <cell r="I82">
            <v>0</v>
          </cell>
        </row>
        <row r="89">
          <cell r="I89">
            <v>490214</v>
          </cell>
        </row>
        <row r="93">
          <cell r="I93">
            <v>6100</v>
          </cell>
        </row>
        <row r="99">
          <cell r="I99">
            <v>0</v>
          </cell>
        </row>
        <row r="103">
          <cell r="I103">
            <v>0</v>
          </cell>
        </row>
        <row r="108">
          <cell r="I108">
            <v>0</v>
          </cell>
        </row>
        <row r="112">
          <cell r="I112">
            <v>0</v>
          </cell>
        </row>
        <row r="117">
          <cell r="I117">
            <v>0</v>
          </cell>
        </row>
        <row r="121">
          <cell r="I121">
            <v>0</v>
          </cell>
        </row>
        <row r="125">
          <cell r="I125">
            <v>0</v>
          </cell>
        </row>
        <row r="129">
          <cell r="I129">
            <v>0</v>
          </cell>
        </row>
        <row r="133">
          <cell r="I133">
            <v>0</v>
          </cell>
        </row>
        <row r="137">
          <cell r="I137">
            <v>0</v>
          </cell>
        </row>
        <row r="141">
          <cell r="I141">
            <v>0</v>
          </cell>
        </row>
        <row r="145">
          <cell r="I145">
            <v>0</v>
          </cell>
        </row>
        <row r="149">
          <cell r="I149">
            <v>0</v>
          </cell>
        </row>
        <row r="153">
          <cell r="I153">
            <v>0</v>
          </cell>
        </row>
        <row r="157">
          <cell r="I157">
            <v>0</v>
          </cell>
        </row>
        <row r="161">
          <cell r="I161">
            <v>0</v>
          </cell>
        </row>
        <row r="165">
          <cell r="I165">
            <v>0</v>
          </cell>
        </row>
        <row r="169">
          <cell r="I169">
            <v>0</v>
          </cell>
        </row>
        <row r="173">
          <cell r="I173">
            <v>0</v>
          </cell>
        </row>
        <row r="177">
          <cell r="I177">
            <v>0</v>
          </cell>
        </row>
        <row r="183">
          <cell r="I183">
            <v>0</v>
          </cell>
        </row>
        <row r="187">
          <cell r="I187">
            <v>0</v>
          </cell>
        </row>
        <row r="192">
          <cell r="I192">
            <v>0</v>
          </cell>
        </row>
        <row r="201">
          <cell r="I201">
            <v>41416.965514222757</v>
          </cell>
        </row>
        <row r="206">
          <cell r="I206">
            <v>0</v>
          </cell>
        </row>
        <row r="210">
          <cell r="I210">
            <v>0</v>
          </cell>
        </row>
        <row r="215">
          <cell r="I215">
            <v>0</v>
          </cell>
        </row>
        <row r="225">
          <cell r="I225">
            <v>78468.71604938271</v>
          </cell>
        </row>
        <row r="230">
          <cell r="I230">
            <v>0</v>
          </cell>
        </row>
        <row r="234">
          <cell r="I234">
            <v>0</v>
          </cell>
        </row>
        <row r="239">
          <cell r="I239">
            <v>77718.74074074073</v>
          </cell>
        </row>
        <row r="243">
          <cell r="I243">
            <v>0</v>
          </cell>
        </row>
        <row r="249">
          <cell r="I249">
            <v>47789.740740740737</v>
          </cell>
        </row>
        <row r="253">
          <cell r="I253">
            <v>0</v>
          </cell>
        </row>
        <row r="257">
          <cell r="I257">
            <v>9976.3333333333321</v>
          </cell>
        </row>
        <row r="261">
          <cell r="I261">
            <v>0</v>
          </cell>
        </row>
        <row r="265">
          <cell r="I265">
            <v>0</v>
          </cell>
        </row>
        <row r="269">
          <cell r="I269">
            <v>0</v>
          </cell>
        </row>
        <row r="276">
          <cell r="I276">
            <v>0</v>
          </cell>
        </row>
        <row r="281">
          <cell r="I281">
            <v>0</v>
          </cell>
        </row>
        <row r="286">
          <cell r="I286">
            <v>0</v>
          </cell>
        </row>
        <row r="290">
          <cell r="I290">
            <v>0</v>
          </cell>
        </row>
        <row r="296">
          <cell r="I296">
            <v>48880.555555555555</v>
          </cell>
        </row>
        <row r="300">
          <cell r="I300">
            <v>0</v>
          </cell>
        </row>
        <row r="305">
          <cell r="I305">
            <v>5378</v>
          </cell>
        </row>
        <row r="310">
          <cell r="I310">
            <v>0</v>
          </cell>
        </row>
        <row r="315">
          <cell r="I315">
            <v>0</v>
          </cell>
        </row>
        <row r="320">
          <cell r="I320">
            <v>0</v>
          </cell>
        </row>
        <row r="328">
          <cell r="I328">
            <v>0</v>
          </cell>
        </row>
        <row r="332">
          <cell r="I332">
            <v>31762.96296296296</v>
          </cell>
        </row>
        <row r="338">
          <cell r="I338">
            <v>0</v>
          </cell>
        </row>
        <row r="342">
          <cell r="I342">
            <v>57</v>
          </cell>
        </row>
        <row r="346">
          <cell r="I346">
            <v>167</v>
          </cell>
        </row>
        <row r="350">
          <cell r="I350">
            <v>122</v>
          </cell>
        </row>
        <row r="354">
          <cell r="I354">
            <v>6058</v>
          </cell>
        </row>
        <row r="358">
          <cell r="I358">
            <v>1353</v>
          </cell>
        </row>
        <row r="362">
          <cell r="I362">
            <v>2367</v>
          </cell>
        </row>
        <row r="366">
          <cell r="I366">
            <v>3371</v>
          </cell>
        </row>
        <row r="370">
          <cell r="I370">
            <v>2739</v>
          </cell>
        </row>
        <row r="374">
          <cell r="I374">
            <v>135</v>
          </cell>
        </row>
        <row r="378">
          <cell r="I378">
            <v>1648</v>
          </cell>
        </row>
        <row r="382">
          <cell r="I382">
            <v>0</v>
          </cell>
        </row>
        <row r="386">
          <cell r="I386">
            <v>0</v>
          </cell>
        </row>
        <row r="390">
          <cell r="I390">
            <v>144</v>
          </cell>
        </row>
        <row r="395">
          <cell r="I395">
            <v>0</v>
          </cell>
        </row>
        <row r="399">
          <cell r="I399">
            <v>0</v>
          </cell>
        </row>
        <row r="407">
          <cell r="I407">
            <v>0</v>
          </cell>
        </row>
        <row r="411">
          <cell r="I411">
            <v>0</v>
          </cell>
        </row>
        <row r="415">
          <cell r="I415">
            <v>0</v>
          </cell>
        </row>
        <row r="419">
          <cell r="I419">
            <v>0</v>
          </cell>
        </row>
        <row r="423">
          <cell r="I423">
            <v>0</v>
          </cell>
        </row>
        <row r="427">
          <cell r="I427">
            <v>0</v>
          </cell>
        </row>
        <row r="431">
          <cell r="I431">
            <v>0</v>
          </cell>
        </row>
        <row r="435">
          <cell r="I435">
            <v>0</v>
          </cell>
        </row>
        <row r="439">
          <cell r="I439">
            <v>0</v>
          </cell>
        </row>
        <row r="443">
          <cell r="I443">
            <v>0</v>
          </cell>
        </row>
        <row r="448">
          <cell r="I448">
            <v>0</v>
          </cell>
        </row>
        <row r="452">
          <cell r="I452">
            <v>0</v>
          </cell>
        </row>
        <row r="456">
          <cell r="I456">
            <v>0</v>
          </cell>
        </row>
        <row r="460">
          <cell r="I460">
            <v>0</v>
          </cell>
        </row>
        <row r="464">
          <cell r="I464">
            <v>0</v>
          </cell>
        </row>
        <row r="468">
          <cell r="I468">
            <v>0</v>
          </cell>
        </row>
        <row r="472">
          <cell r="I472">
            <v>0</v>
          </cell>
        </row>
        <row r="476">
          <cell r="I476">
            <v>0</v>
          </cell>
        </row>
        <row r="480">
          <cell r="I480">
            <v>0</v>
          </cell>
        </row>
        <row r="487">
          <cell r="I487">
            <v>0</v>
          </cell>
        </row>
        <row r="491">
          <cell r="I491">
            <v>0</v>
          </cell>
        </row>
        <row r="496">
          <cell r="I496">
            <v>0</v>
          </cell>
        </row>
        <row r="501">
          <cell r="I501">
            <v>0</v>
          </cell>
        </row>
        <row r="506">
          <cell r="I506">
            <v>26884</v>
          </cell>
        </row>
        <row r="510">
          <cell r="I510">
            <v>0</v>
          </cell>
        </row>
        <row r="514">
          <cell r="I514">
            <v>0</v>
          </cell>
        </row>
        <row r="520">
          <cell r="I520">
            <v>0</v>
          </cell>
        </row>
        <row r="526">
          <cell r="I526">
            <v>25664</v>
          </cell>
        </row>
        <row r="530">
          <cell r="I530">
            <v>0</v>
          </cell>
        </row>
        <row r="535">
          <cell r="I535">
            <v>0</v>
          </cell>
        </row>
        <row r="539">
          <cell r="I539">
            <v>0</v>
          </cell>
        </row>
        <row r="544">
          <cell r="I544">
            <v>1296</v>
          </cell>
        </row>
        <row r="548">
          <cell r="I548">
            <v>100</v>
          </cell>
        </row>
        <row r="554">
          <cell r="I554">
            <v>0</v>
          </cell>
        </row>
        <row r="558">
          <cell r="I558">
            <v>0</v>
          </cell>
        </row>
        <row r="562">
          <cell r="I562">
            <v>0</v>
          </cell>
        </row>
        <row r="567">
          <cell r="I567">
            <v>33</v>
          </cell>
        </row>
        <row r="571">
          <cell r="I571">
            <v>274639</v>
          </cell>
        </row>
        <row r="575">
          <cell r="I575">
            <v>95</v>
          </cell>
        </row>
        <row r="580">
          <cell r="I580">
            <v>100</v>
          </cell>
        </row>
        <row r="584">
          <cell r="I584">
            <v>100</v>
          </cell>
        </row>
        <row r="589">
          <cell r="I589">
            <v>0</v>
          </cell>
        </row>
        <row r="593">
          <cell r="I593">
            <v>0</v>
          </cell>
        </row>
        <row r="598">
          <cell r="I598">
            <v>0</v>
          </cell>
        </row>
        <row r="602">
          <cell r="I602">
            <v>0</v>
          </cell>
        </row>
        <row r="606">
          <cell r="I606">
            <v>15</v>
          </cell>
        </row>
        <row r="610">
          <cell r="I610">
            <v>10</v>
          </cell>
        </row>
        <row r="614">
          <cell r="I614">
            <v>465</v>
          </cell>
        </row>
        <row r="619">
          <cell r="I619">
            <v>0</v>
          </cell>
        </row>
        <row r="623">
          <cell r="I623">
            <v>6</v>
          </cell>
        </row>
        <row r="627">
          <cell r="I627">
            <v>8</v>
          </cell>
        </row>
        <row r="631">
          <cell r="I631">
            <v>8</v>
          </cell>
        </row>
        <row r="635">
          <cell r="I635">
            <v>4</v>
          </cell>
        </row>
        <row r="639">
          <cell r="I639">
            <v>10</v>
          </cell>
        </row>
        <row r="643">
          <cell r="I643">
            <v>22</v>
          </cell>
        </row>
        <row r="647">
          <cell r="I647">
            <v>14</v>
          </cell>
        </row>
        <row r="651">
          <cell r="I651">
            <v>0</v>
          </cell>
        </row>
        <row r="655">
          <cell r="I655">
            <v>5</v>
          </cell>
        </row>
        <row r="659">
          <cell r="I659">
            <v>6</v>
          </cell>
        </row>
        <row r="663">
          <cell r="I663">
            <v>5</v>
          </cell>
        </row>
        <row r="667">
          <cell r="I667">
            <v>4</v>
          </cell>
        </row>
        <row r="671">
          <cell r="I671">
            <v>0</v>
          </cell>
        </row>
        <row r="675">
          <cell r="I675">
            <v>4</v>
          </cell>
        </row>
        <row r="679">
          <cell r="I679">
            <v>0</v>
          </cell>
        </row>
      </sheetData>
      <sheetData sheetId="4"/>
      <sheetData sheetId="5">
        <row r="9">
          <cell r="I9">
            <v>0</v>
          </cell>
        </row>
        <row r="14">
          <cell r="I14">
            <v>158545</v>
          </cell>
        </row>
        <row r="18">
          <cell r="I18">
            <v>0</v>
          </cell>
        </row>
        <row r="22">
          <cell r="I22">
            <v>0</v>
          </cell>
        </row>
        <row r="26">
          <cell r="I26">
            <v>2150</v>
          </cell>
        </row>
        <row r="32">
          <cell r="I32">
            <v>0</v>
          </cell>
        </row>
        <row r="36">
          <cell r="I36">
            <v>0</v>
          </cell>
        </row>
        <row r="40">
          <cell r="I40">
            <v>0</v>
          </cell>
        </row>
        <row r="44">
          <cell r="I44">
            <v>0</v>
          </cell>
        </row>
        <row r="49">
          <cell r="I49">
            <v>0</v>
          </cell>
        </row>
        <row r="53">
          <cell r="I53">
            <v>0</v>
          </cell>
        </row>
        <row r="63">
          <cell r="I63">
            <v>121430</v>
          </cell>
        </row>
        <row r="67">
          <cell r="I67">
            <v>215</v>
          </cell>
        </row>
        <row r="71">
          <cell r="I71">
            <v>0</v>
          </cell>
        </row>
        <row r="76">
          <cell r="I76">
            <v>2150</v>
          </cell>
        </row>
        <row r="90">
          <cell r="I90">
            <v>0</v>
          </cell>
        </row>
        <row r="94">
          <cell r="I94">
            <v>0</v>
          </cell>
        </row>
        <row r="98">
          <cell r="I98">
            <v>0</v>
          </cell>
        </row>
        <row r="102">
          <cell r="I102">
            <v>0</v>
          </cell>
        </row>
        <row r="106">
          <cell r="I106">
            <v>0</v>
          </cell>
        </row>
        <row r="110">
          <cell r="I110">
            <v>0</v>
          </cell>
        </row>
        <row r="116">
          <cell r="I116">
            <v>0</v>
          </cell>
        </row>
        <row r="122">
          <cell r="I122">
            <v>1</v>
          </cell>
        </row>
        <row r="127">
          <cell r="I127">
            <v>2635</v>
          </cell>
        </row>
        <row r="131">
          <cell r="I131">
            <v>37115</v>
          </cell>
        </row>
        <row r="136">
          <cell r="I136">
            <v>100</v>
          </cell>
        </row>
        <row r="142">
          <cell r="I142">
            <v>200</v>
          </cell>
        </row>
        <row r="147">
          <cell r="I147">
            <v>1427</v>
          </cell>
        </row>
        <row r="151">
          <cell r="I151">
            <v>2011.5</v>
          </cell>
        </row>
        <row r="156">
          <cell r="I156">
            <v>95</v>
          </cell>
        </row>
        <row r="160">
          <cell r="I160">
            <v>0</v>
          </cell>
        </row>
        <row r="166">
          <cell r="I166">
            <v>0</v>
          </cell>
        </row>
        <row r="170">
          <cell r="I170">
            <v>0</v>
          </cell>
        </row>
        <row r="175">
          <cell r="I175">
            <v>95</v>
          </cell>
        </row>
        <row r="179">
          <cell r="I179">
            <v>95</v>
          </cell>
        </row>
        <row r="184">
          <cell r="I184">
            <v>95</v>
          </cell>
        </row>
        <row r="188">
          <cell r="I188">
            <v>95</v>
          </cell>
        </row>
        <row r="192">
          <cell r="I192">
            <v>1368</v>
          </cell>
        </row>
        <row r="196">
          <cell r="I196">
            <v>95</v>
          </cell>
        </row>
        <row r="201">
          <cell r="I201">
            <v>0</v>
          </cell>
        </row>
        <row r="206">
          <cell r="I206">
            <v>0</v>
          </cell>
        </row>
        <row r="212">
          <cell r="I212">
            <v>0</v>
          </cell>
        </row>
        <row r="216">
          <cell r="I216">
            <v>0</v>
          </cell>
        </row>
        <row r="221">
          <cell r="I221">
            <v>0</v>
          </cell>
        </row>
        <row r="225">
          <cell r="I225">
            <v>38</v>
          </cell>
        </row>
      </sheetData>
      <sheetData sheetId="6">
        <row r="9">
          <cell r="I9">
            <v>0</v>
          </cell>
        </row>
        <row r="13">
          <cell r="I13">
            <v>0</v>
          </cell>
        </row>
        <row r="19">
          <cell r="I19">
            <v>0</v>
          </cell>
        </row>
        <row r="24">
          <cell r="I24">
            <v>0</v>
          </cell>
        </row>
        <row r="28">
          <cell r="I28">
            <v>0</v>
          </cell>
        </row>
        <row r="32">
          <cell r="I32">
            <v>0</v>
          </cell>
        </row>
        <row r="36">
          <cell r="I36">
            <v>0</v>
          </cell>
        </row>
        <row r="40">
          <cell r="I40">
            <v>0</v>
          </cell>
        </row>
        <row r="44">
          <cell r="I44">
            <v>0</v>
          </cell>
        </row>
        <row r="48">
          <cell r="I48">
            <v>0</v>
          </cell>
        </row>
        <row r="52">
          <cell r="I52">
            <v>0</v>
          </cell>
        </row>
        <row r="56">
          <cell r="I56">
            <v>0</v>
          </cell>
        </row>
        <row r="60">
          <cell r="I60">
            <v>0</v>
          </cell>
        </row>
        <row r="64">
          <cell r="I64">
            <v>0</v>
          </cell>
        </row>
        <row r="68">
          <cell r="I68">
            <v>0</v>
          </cell>
        </row>
        <row r="73">
          <cell r="I73">
            <v>0</v>
          </cell>
        </row>
        <row r="77">
          <cell r="I77">
            <v>0</v>
          </cell>
        </row>
        <row r="81">
          <cell r="I81">
            <v>0</v>
          </cell>
        </row>
        <row r="85">
          <cell r="I85">
            <v>0</v>
          </cell>
        </row>
        <row r="89">
          <cell r="I89">
            <v>0</v>
          </cell>
        </row>
        <row r="93">
          <cell r="I93">
            <v>0</v>
          </cell>
        </row>
        <row r="97">
          <cell r="I97">
            <v>0</v>
          </cell>
        </row>
        <row r="101">
          <cell r="I101">
            <v>0</v>
          </cell>
        </row>
        <row r="105">
          <cell r="I105">
            <v>0</v>
          </cell>
        </row>
        <row r="109">
          <cell r="I109">
            <v>0</v>
          </cell>
        </row>
        <row r="113">
          <cell r="I113">
            <v>0</v>
          </cell>
        </row>
        <row r="117">
          <cell r="I117">
            <v>0</v>
          </cell>
        </row>
        <row r="122">
          <cell r="I122">
            <v>0</v>
          </cell>
        </row>
        <row r="126">
          <cell r="I126">
            <v>0</v>
          </cell>
        </row>
        <row r="131">
          <cell r="I131">
            <v>0</v>
          </cell>
        </row>
        <row r="136">
          <cell r="I136">
            <v>0</v>
          </cell>
        </row>
        <row r="140">
          <cell r="I140">
            <v>0</v>
          </cell>
        </row>
        <row r="145">
          <cell r="I145">
            <v>0</v>
          </cell>
        </row>
        <row r="149">
          <cell r="I149">
            <v>0</v>
          </cell>
        </row>
        <row r="154">
          <cell r="I154">
            <v>0</v>
          </cell>
        </row>
        <row r="159">
          <cell r="I159">
            <v>0</v>
          </cell>
        </row>
        <row r="163">
          <cell r="I163">
            <v>34100</v>
          </cell>
        </row>
        <row r="167">
          <cell r="I167">
            <v>0</v>
          </cell>
        </row>
        <row r="171">
          <cell r="I171">
            <v>0</v>
          </cell>
        </row>
        <row r="182">
          <cell r="I182">
            <v>3800</v>
          </cell>
        </row>
        <row r="186">
          <cell r="I186">
            <v>11400</v>
          </cell>
        </row>
        <row r="190">
          <cell r="I190">
            <v>15200</v>
          </cell>
        </row>
        <row r="194">
          <cell r="I194">
            <v>0</v>
          </cell>
        </row>
        <row r="198">
          <cell r="I198">
            <v>0</v>
          </cell>
        </row>
        <row r="202">
          <cell r="I202">
            <v>0</v>
          </cell>
        </row>
      </sheetData>
      <sheetData sheetId="7"/>
      <sheetData sheetId="8"/>
      <sheetData sheetId="9"/>
      <sheetData sheetId="10"/>
      <sheetData sheetId="11"/>
      <sheetData sheetId="1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Project info"/>
      <sheetName val="Prices List"/>
      <sheetName val="Civil"/>
      <sheetName val="Foundations"/>
      <sheetName val="Civil_Collector"/>
      <sheetName val="Collection system"/>
      <sheetName val="Environmental"/>
      <sheetName val="WTG installation"/>
      <sheetName val="Others"/>
      <sheetName val="Optionals"/>
      <sheetName val="Summary"/>
    </sheetNames>
    <sheetDataSet>
      <sheetData sheetId="0"/>
      <sheetData sheetId="1"/>
      <sheetData sheetId="2"/>
      <sheetData sheetId="3">
        <row r="473">
          <cell r="I473">
            <v>100</v>
          </cell>
        </row>
        <row r="477">
          <cell r="I477">
            <v>400000</v>
          </cell>
        </row>
        <row r="481">
          <cell r="I481">
            <v>150</v>
          </cell>
        </row>
        <row r="490">
          <cell r="I490">
            <v>25</v>
          </cell>
        </row>
        <row r="494">
          <cell r="I494">
            <v>20</v>
          </cell>
        </row>
        <row r="507">
          <cell r="I507">
            <v>24</v>
          </cell>
        </row>
        <row r="511">
          <cell r="I511">
            <v>4</v>
          </cell>
        </row>
        <row r="515">
          <cell r="I515">
            <v>20</v>
          </cell>
        </row>
        <row r="519">
          <cell r="I519">
            <v>10</v>
          </cell>
        </row>
        <row r="523">
          <cell r="I523">
            <v>30</v>
          </cell>
        </row>
        <row r="527">
          <cell r="I527">
            <v>15</v>
          </cell>
        </row>
        <row r="531">
          <cell r="I531">
            <v>15</v>
          </cell>
        </row>
        <row r="535">
          <cell r="I535">
            <v>10</v>
          </cell>
        </row>
        <row r="539">
          <cell r="I539">
            <v>20</v>
          </cell>
        </row>
        <row r="543">
          <cell r="I543">
            <v>10</v>
          </cell>
        </row>
        <row r="547">
          <cell r="I547">
            <v>10</v>
          </cell>
        </row>
        <row r="551">
          <cell r="I551">
            <v>15</v>
          </cell>
        </row>
        <row r="555">
          <cell r="I555">
            <v>10</v>
          </cell>
        </row>
        <row r="559">
          <cell r="I559">
            <v>10</v>
          </cell>
        </row>
        <row r="563">
          <cell r="I563">
            <v>100</v>
          </cell>
        </row>
        <row r="567">
          <cell r="I567">
            <v>40</v>
          </cell>
        </row>
        <row r="571">
          <cell r="I571">
            <v>20</v>
          </cell>
        </row>
        <row r="575">
          <cell r="I575">
            <v>10</v>
          </cell>
        </row>
        <row r="579">
          <cell r="I579">
            <v>20</v>
          </cell>
        </row>
        <row r="583">
          <cell r="I583">
            <v>20</v>
          </cell>
        </row>
        <row r="587">
          <cell r="I587">
            <v>20</v>
          </cell>
        </row>
      </sheetData>
      <sheetData sheetId="4"/>
      <sheetData sheetId="5"/>
      <sheetData sheetId="6"/>
      <sheetData sheetId="7"/>
      <sheetData sheetId="8"/>
      <sheetData sheetId="9"/>
      <sheetData sheetId="10"/>
      <sheetData sheetId="1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Project info"/>
      <sheetName val="Prices List"/>
      <sheetName val="Civil"/>
      <sheetName val="Foundations"/>
      <sheetName val="Civil_Collector"/>
      <sheetName val="Collection system"/>
      <sheetName val="Environmental"/>
      <sheetName val="WTG installation"/>
      <sheetName val="Others"/>
      <sheetName val="Optionals"/>
      <sheetName val="Summary"/>
    </sheetNames>
    <sheetDataSet>
      <sheetData sheetId="0"/>
      <sheetData sheetId="1"/>
      <sheetData sheetId="2"/>
      <sheetData sheetId="3"/>
      <sheetData sheetId="4">
        <row r="31">
          <cell r="I31">
            <v>0</v>
          </cell>
        </row>
        <row r="35">
          <cell r="I35">
            <v>0</v>
          </cell>
        </row>
      </sheetData>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Tosi Giada (EGP&amp;TGX)" id="{D1B25B2B-CA2F-4319-81DE-2783DCC8F122}" userId="giada.tosi@enel.com" providerId="PeoplePicker"/>
  <person displayName="Mirra Flavio (EGP&amp;TGX)" id="{FD5C70FA-EC3C-4112-9809-35200B4E5880}" userId="flavio.mirra@enel.com" providerId="PeoplePicker"/>
  <person displayName="Pavone Luigi (EGP&amp;TGX)" id="{7F622162-8D0C-48E4-BD6A-D59F5B481788}" userId="luigi.pavone@enel.com" providerId="PeoplePicker"/>
  <person displayName="Avanzi Andrea (GPROC)" id="{1E6CEB5A-CA6F-4260-9FAB-40D0F7C5B0A6}" userId="andrea.avanzi@enel.com" providerId="PeoplePicker"/>
  <person displayName="D'Orsi Roberto (EGP&amp;TGX)" id="{DF87A6F2-A7A4-4E4E-A7A3-9A8A04104787}" userId="roberto.dorsi@enel.com" providerId="PeoplePicker"/>
  <person displayName="Melani Walter (EGP&amp;TGX)" id="{5F2F7DFE-07D0-497B-A86F-CF822A51E77E}" userId="walter.melani@enel.com" providerId="PeoplePicker"/>
  <person displayName="Russo Girolamo (EGP&amp;TGX)" id="{E7E19503-D8DB-40AC-9BB3-E234BFE695A8}" userId="girolamo.russo@enel.com" providerId="PeoplePicker"/>
  <person displayName="Tringali Danilo (EGP&amp;TGX)" id="{5BF7922C-E19E-4DC1-8B9F-05BF5CF79F71}" userId="danilo.tringali@enel.com" providerId="PeoplePicker"/>
  <person displayName="Basili Maurizio (EGP&amp;TGX)" id="{F41EBE82-ED34-433D-A524-7E6C15DCA2B9}" userId="maurizio.basili@enel.com" providerId="PeoplePicker"/>
  <person displayName="Morgantini Paolo (EGP&amp;TGX)" id="{DEAA06F7-ED3D-47BB-A280-F4180C80AFE7}" userId="paolo.morgantini@enel.com" providerId="PeoplePicker"/>
  <person displayName="Angeli Duodo Ginevra (EGP&amp;TGX)" id="{362ECD9B-9237-4F29-B845-2C98D1C00B26}" userId="ginevra.angeliduodo@enel.com" providerId="PeoplePicker"/>
  <person displayName="Tosi Giada (EGP&amp;TGX)" id="{D33E7E60-07BF-4CA1-A9E6-28AB9B9FCF03}" userId="S::giada.tosi@enel.com::d948aad8-e40d-40ba-a99a-5234d3aa66d5" providerId="AD"/>
  <person displayName="Mirra Flavio (EGP&amp;TGX)" id="{2D2AFA1D-452B-4096-9AAB-C060ED4CBCE3}" userId="S::flavio.mirra@enel.com::ab7beacc-1ce4-4173-881b-c12a53ca969f" providerId="AD"/>
  <person displayName="Tringali Danilo (EGP&amp;TGX)" id="{339037A0-B6BA-4C36-8D2C-79F6A7D7C2CA}" userId="S::danilo.tringali@enel.com::bb3e7a03-a14e-4ff5-ab48-4f45939c7a35" providerId="AD"/>
  <person displayName="Tamma Francesco (EGP&amp;TGX)" id="{12837F69-AFAA-42B2-BCA6-14C47E6C14F6}" userId="S::francesco.tamma@enel.com::dc4c4b90-118f-42c9-8899-3949f601ef92" providerId="AD"/>
  <person displayName="Russo Gianluca 2 (EGP&amp;TGX)" id="{5B690CAF-B2F4-41E7-872B-2FD900344BF3}" userId="S::gianluca.russo2@enel.com::b68ee069-62db-4c24-b55e-5a5713bd3708" providerId="AD"/>
  <person displayName="Basili Maurizio (EGP&amp;TGX)" id="{7DA65AAA-5BB9-4647-AE82-2E03B9A654A5}" userId="S::maurizio.basili@enel.com::ab5989b5-cbc2-4e27-a7e4-a16d276a5d23" providerId="AD"/>
  <person displayName="Capozzi Vittorio (EGP&amp;TGX)" id="{9E502708-109C-45F8-ACDA-278C658AFA36}" userId="S::Vittorio.Capozzi@enel.com::6d22825f-ce35-4c36-820c-b0bc205bbddd" providerId="AD"/>
  <person displayName="Virgilio Savino 2 (EGP&amp;TGX)" id="{6C088EF9-76A1-4C62-BD88-A6351E8D941E}" userId="S::savino.virgilio2@enel.com::8cdd3634-b3f5-4841-82fb-51b662f0bb4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96F0DE3-64FA-4F04-AAB8-544A30A50CF4}" name="Tabella15" displayName="Tabella15" ref="B4:K18" totalsRowShown="0" headerRowDxfId="30" tableBorderDxfId="29" headerRowCellStyle="Normal 3">
  <autoFilter ref="B4:K18" xr:uid="{A976666B-F958-4FE0-9E64-513524625A09}"/>
  <tableColumns count="10">
    <tableColumn id="1" xr3:uid="{37660B80-0F74-4D40-8279-765049F99BCA}" name="WBS (per Mr Quyd)_x000a_*da ricostruire struttura" dataDxfId="28"/>
    <tableColumn id="2" xr3:uid="{BD95B040-379A-45F9-BAF8-907E3BC368FC}" name="Reference Document" dataDxfId="27"/>
    <tableColumn id="4" xr3:uid="{803763EC-6A4A-4AA2-B7A6-43D17E802B6F}" name="Code" dataDxfId="26"/>
    <tableColumn id="5" xr3:uid="{705A5AA9-8AC3-4ADD-AFF0-A42179768EBD}" name="DESCRIPTION ITEM" dataDxfId="25"/>
    <tableColumn id="7" xr3:uid="{FBF30230-59B8-4ADF-937C-C812BE69260B}" name="SCOPE" dataDxfId="24" dataCellStyle="Normal 3"/>
    <tableColumn id="3" xr3:uid="{9ABE4980-7A12-429A-B9CD-9BCD37613260}" name="Unit of measure" dataDxfId="23" dataCellStyle="Normal 3"/>
    <tableColumn id="6" xr3:uid="{8977F1C3-4BE7-4173-A47F-21F80B7B6BB7}" name="Quantity" dataDxfId="22" dataCellStyle="Normale 2"/>
    <tableColumn id="8" xr3:uid="{E9B1F98D-0E0C-480C-B486-5A7F2AB30634}" name="Unit Price" dataDxfId="21" dataCellStyle="Normale 2"/>
    <tableColumn id="9" xr3:uid="{E43B6267-B794-4E76-88AC-AB763D67D8A3}" name="Total Price" dataDxfId="20" dataCellStyle="Normale 2"/>
    <tableColumn id="10" xr3:uid="{4C30B7CB-67F6-4672-840D-E979CCA6F98B}" name="Notes" dataDxfId="19" dataCellStyle="Normale 2"/>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AEEE82A-07AC-4C64-91AF-6443FF5F1208}" name="Tabella16" displayName="Tabella16" ref="D4:G20" totalsRowShown="0" headerRowDxfId="18" tableBorderDxfId="17" headerRowCellStyle="Normal 3">
  <autoFilter ref="D4:G20" xr:uid="{A976666B-F958-4FE0-9E64-513524625A09}"/>
  <sortState xmlns:xlrd2="http://schemas.microsoft.com/office/spreadsheetml/2017/richdata2" ref="D5:I20">
    <sortCondition ref="I4:I20"/>
  </sortState>
  <tableColumns count="4">
    <tableColumn id="4" xr3:uid="{44375F9B-23B4-4DF4-811F-A8949DD6A1C4}" name="Code" dataDxfId="16"/>
    <tableColumn id="5" xr3:uid="{8D75DCD2-529B-4890-98C0-581A63626327}" name="DESCRIPTION ITEM" dataDxfId="15"/>
    <tableColumn id="7" xr3:uid="{BFF3623A-4AD4-4FE4-8816-AADC80106693}" name="SCOPE" dataDxfId="14" dataCellStyle="Normal 3"/>
    <tableColumn id="3" xr3:uid="{3FA1E966-35E1-4C8C-A3EC-060F1DFDE3AF}" name="Unit of measure" dataDxfId="13" dataCellStyle="Normal 3"/>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B20863D-8917-41E8-81CA-D066D6BEE1FB}" name="Tabella16678" displayName="Tabella16678" ref="D4:K7" totalsRowShown="0" headerRowDxfId="12" tableBorderDxfId="11" headerRowCellStyle="Normal 3">
  <autoFilter ref="D4:K7" xr:uid="{A976666B-F958-4FE0-9E64-513524625A09}"/>
  <sortState xmlns:xlrd2="http://schemas.microsoft.com/office/spreadsheetml/2017/richdata2" ref="D5:I7">
    <sortCondition ref="I4:I7"/>
  </sortState>
  <tableColumns count="8">
    <tableColumn id="4" xr3:uid="{624DD4DC-F55B-4CDE-B01B-02B80A4BCB58}" name="Code" dataDxfId="10"/>
    <tableColumn id="5" xr3:uid="{28A723AC-E70A-431F-9736-E702459B3439}" name="DESCRIPTION ITEM" dataDxfId="9"/>
    <tableColumn id="7" xr3:uid="{7FD320C2-B637-4020-9A6E-1D90D5F0B922}" name="SCOPE" dataDxfId="8" dataCellStyle="Normal 3"/>
    <tableColumn id="3" xr3:uid="{B269999E-DB3E-4023-96FE-6738A695982C}" name="Unit of measure" dataDxfId="7" dataCellStyle="Normal 3"/>
    <tableColumn id="1" xr3:uid="{85A878CC-56D8-4307-9A70-F6BC2FD450F3}" name="Quantity"/>
    <tableColumn id="2" xr3:uid="{E677EB0A-A37C-467F-A2FC-9FC6D3BDCFE3}" name="Unit Price"/>
    <tableColumn id="6" xr3:uid="{1C10E079-6ED0-4468-A782-42A0CFE37A41}" name="Total Price"/>
    <tableColumn id="8" xr3:uid="{49556B86-F41F-486A-ADC6-41698C5E4C76}" name="Notes"/>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D3480BA-ACFE-4BCB-B866-64A32771D4DD}" name="Tabella166" displayName="Tabella166" ref="D4:K24" totalsRowShown="0" headerRowDxfId="6" tableBorderDxfId="5" headerRowCellStyle="Normal 3">
  <autoFilter ref="D4:K24" xr:uid="{A976666B-F958-4FE0-9E64-513524625A09}"/>
  <sortState xmlns:xlrd2="http://schemas.microsoft.com/office/spreadsheetml/2017/richdata2" ref="D5:I10">
    <sortCondition ref="I4:I10"/>
  </sortState>
  <tableColumns count="8">
    <tableColumn id="4" xr3:uid="{F43C4752-E1E8-4CC5-8AB1-1140D494D80A}" name="Code"/>
    <tableColumn id="5" xr3:uid="{B1B98889-4A50-44D3-A21E-CE1F0366F307}" name="DESCRIPTION ITEM" dataDxfId="4"/>
    <tableColumn id="7" xr3:uid="{9330DCA6-CCE0-4465-975B-A09A6CE5FA60}" name="SCOPE"/>
    <tableColumn id="3" xr3:uid="{40B95C2E-0A00-4B1C-B765-BFA4C259ADAC}" name="Unit of measure"/>
    <tableColumn id="1" xr3:uid="{F2F5B310-D20F-4D89-A7B6-636EE7D57F8A}" name="Quantity"/>
    <tableColumn id="2" xr3:uid="{B42FA049-0E93-469A-A18A-D06168C64CB3}" name="Unit Price"/>
    <tableColumn id="6" xr3:uid="{2E6CE667-86B1-482E-B9FF-8544961E65AF}" name="Total Price"/>
    <tableColumn id="8" xr3:uid="{F49D4F3E-CD23-44BC-ABB9-79341755B87C}" name="Notes"/>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50" dT="2025-03-12T15:55:37.97" personId="{9E502708-109C-45F8-ACDA-278C658AFA36}" id="{D3DCFFB6-D1D1-4146-AA9D-772C5F10F2CD}">
    <text>@Mirra Flavio (EGP&amp;TGX)  da allineamento con Francesco vanno eliminate queste voci nel BOQ civile</text>
    <mentions>
      <mention mentionpersonId="{FD5C70FA-EC3C-4112-9809-35200B4E5880}" mentionId="{88799BC4-C028-404E-B29F-4B20A3D3F52F}" startIndex="0" length="23"/>
    </mentions>
  </threadedComment>
  <threadedComment ref="D52" dT="2025-03-11T08:59:20.10" personId="{9E502708-109C-45F8-ACDA-278C658AFA36}" id="{C7C40168-07B4-45C1-834C-F8D1BCCC6C12}">
    <text>Ho considerato le fondazioni delle CU. Non è chiara questa voce</text>
  </threadedComment>
  <threadedComment ref="D54" dT="2025-03-11T08:42:58.64" personId="{9E502708-109C-45F8-ACDA-278C658AFA36}" id="{93281175-2F86-433D-ADEA-50E993C0A7B6}">
    <text>Ho messo le azioni che sono nel BOQ civile (topsoil establishment e ri-vegetazione aree degradate). Vanno sommate tutte le compensazioni ambientali che sono probabilmente in altro foglio e che seguono i piani ambientali di paese.</text>
  </threadedComment>
</ThreadedComments>
</file>

<file path=xl/threadedComments/threadedComment2.xml><?xml version="1.0" encoding="utf-8"?>
<ThreadedComments xmlns="http://schemas.microsoft.com/office/spreadsheetml/2018/threadedcomments" xmlns:x="http://schemas.openxmlformats.org/spreadsheetml/2006/main">
  <threadedComment ref="E7" dT="2024-11-18T17:06:21.37" personId="{5B690CAF-B2F4-41E7-872B-2FD900344BF3}" id="{0919CC70-914C-4FDA-8716-9631E22B151F}">
    <text>@Pavone Luigi (EGP&amp;TGX) inserite voci personale di costruzione. Aggiungere x favore riferimenti specifica tecnica</text>
    <mentions>
      <mention mentionpersonId="{7F622162-8D0C-48E4-BD6A-D59F5B481788}" mentionId="{4B546970-5638-434D-8F6E-B06596662061}" startIndex="0" length="23"/>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F8" dT="2024-11-13T08:36:03.18" personId="{6C088EF9-76A1-4C62-BD88-A6351E8D941E}" id="{A1820F9A-3709-4956-88F4-AEB198C93104}">
    <text>The final list of HSE Plan depending of site activities and characteristics</text>
  </threadedComment>
  <threadedComment ref="F17" dT="2024-11-13T08:33:04.92" personId="{6C088EF9-76A1-4C62-BD88-A6351E8D941E}" id="{76B5948E-09DF-4698-B7E3-2F33C3061494}">
    <text>Depending on the project activities</text>
  </threadedComment>
  <threadedComment ref="F28" dT="2024-11-13T08:32:30.07" personId="{6C088EF9-76A1-4C62-BD88-A6351E8D941E}" id="{5804B65F-C15E-4E85-992E-A92E5111E037}">
    <text>Depending of the project activities</text>
  </threadedComment>
  <threadedComment ref="F29" dT="2024-11-13T08:32:37.80" personId="{6C088EF9-76A1-4C62-BD88-A6351E8D941E}" id="{8722F4E9-0AF1-4D1C-A36A-86DAA19ACEC4}">
    <text>Depending of the project activities</text>
  </threadedComment>
  <threadedComment ref="F30" dT="2024-11-13T08:32:41.60" personId="{6C088EF9-76A1-4C62-BD88-A6351E8D941E}" id="{4C4E353B-19A4-43D1-89FB-0D62F7F39044}">
    <text>Depending of the project activities</text>
  </threadedComment>
</ThreadedComments>
</file>

<file path=xl/threadedComments/threadedComment4.xml><?xml version="1.0" encoding="utf-8"?>
<ThreadedComments xmlns="http://schemas.microsoft.com/office/spreadsheetml/2018/threadedcomments" xmlns:x="http://schemas.openxmlformats.org/spreadsheetml/2006/main">
  <threadedComment ref="D198" dT="2025-02-20T09:54:20.33" personId="{12837F69-AFAA-42B2-BCA6-14C47E6C14F6}" id="{A03727F9-09BB-4736-A480-50AF583888BD}">
    <text xml:space="preserve">@D'Orsi Roberto (EGP&amp;TGX) la linea MT fuori dal parco dove viene considerata? Linea MT fuori dal parco FV (dalla cabina di consegna fino alla sottostazione o altro punto indicato da Edistribuzione). I lavori per la linea MT esterna al parco devono essere necessariamente quotati separatamente dalle linee MT interne per valutare se conveniene farla fare al BOPista o ad Edistribuzione. Per la linea MT occorre avere le seguenti righe: 1) fornitura cavo MT ad elica visibile (e corrugato, se applica) 2)posa del cavo 3) scavo e richiusura dello scavo con letto di sabbia e descrizione della protezione (es. calcestruzzo, gettato o in lastre, ecc.) 4) asfaltatura 5) Trivellazione Orizzontale Controllata 6) fornitura e posa fibra ottica, incluso corrugato e tutto quanto necessario </text>
    <mentions>
      <mention mentionpersonId="{DF87A6F2-A7A4-4E4E-A7A3-9A8A04104787}" mentionId="{C7C8F492-F8D3-4F20-9CDB-34CF7687471D}" startIndex="0" length="25"/>
    </mentions>
  </threadedComment>
  <threadedComment ref="D199" dT="2025-02-20T09:50:13.68" personId="{12837F69-AFAA-42B2-BCA6-14C47E6C14F6}" id="{82DEBC0E-174F-403C-84A9-2904FF1FAC86}">
    <text>@D'Orsi Roberto (EGP&amp;TGX) Esplodere la voce di costo attuale nelle seguenti: 1) Fornitura e posa del cabinato (box) per le cabine MT utente, delivery, sezionamento, scada etc 2)Fornitura e montaggio delle apparecchiature elettromeccaniche della cabina utente, inclusi collegamento dei cavi 3) Fornitura e montaggio delle apparecchiature elettromeccaniche della cabina di consegna, inclusi collegamento dei cavi 4)Fornitura e montaggio delle apparecchiature elettromeccaniche della cabina sezionamento, inclusi collegamento dei cavi.Qualora nella nuova versione che vi accingete a condividere fossero già presenti, non considerare il commento</text>
    <mentions>
      <mention mentionpersonId="{DF87A6F2-A7A4-4E4E-A7A3-9A8A04104787}" mentionId="{1CD15840-9D72-4427-ABE7-1456D078BE00}" startIndex="0" length="25"/>
    </mentions>
  </threadedComment>
</ThreadedComments>
</file>

<file path=xl/threadedComments/threadedComment5.xml><?xml version="1.0" encoding="utf-8"?>
<ThreadedComments xmlns="http://schemas.microsoft.com/office/spreadsheetml/2018/threadedcomments" xmlns:x="http://schemas.openxmlformats.org/spreadsheetml/2006/main">
  <threadedComment ref="D193" dT="2025-03-05T22:28:34.95" personId="{2D2AFA1D-452B-4096-9AAB-C060ED4CBCE3}" id="{C41043D3-95F6-4D6E-93E0-4E6B8FF5DAC6}">
    <text>@Tosi Giada (EGP&amp;TGX) inseriamo qui HDD?</text>
    <mentions>
      <mention mentionpersonId="{D1B25B2B-CA2F-4319-81DE-2783DCC8F122}" mentionId="{B4EEF99A-B662-4494-87C9-CCA673F96354}" startIndex="0" length="21"/>
    </mentions>
  </threadedComment>
</ThreadedComments>
</file>

<file path=xl/threadedComments/threadedComment6.xml><?xml version="1.0" encoding="utf-8"?>
<ThreadedComments xmlns="http://schemas.microsoft.com/office/spreadsheetml/2018/threadedcomments" xmlns:x="http://schemas.openxmlformats.org/spreadsheetml/2006/main">
  <threadedComment ref="C15" dT="2025-02-24T12:11:44.91" personId="{339037A0-B6BA-4C36-8D2C-79F6A7D7C2CA}" id="{AC8B2D18-B50E-4FA3-A4AA-D1A7E7FA2624}">
    <text xml:space="preserve">Da far confermare a @Basili Maurizio (EGP&amp;TGX) </text>
    <mentions>
      <mention mentionpersonId="{F41EBE82-ED34-433D-A524-7E6C15DCA2B9}" mentionId="{6DCF674C-3080-47E9-83F0-AAA2DB1CF2F2}" startIndex="20" length="26"/>
    </mentions>
  </threadedComment>
  <threadedComment ref="C15" dT="2025-03-19T16:47:32.02" personId="{7DA65AAA-5BB9-4647-AE82-2E03B9A654A5}" id="{B27F1351-1241-4937-849E-314156059E68}" parentId="{AC8B2D18-B50E-4FA3-A4AA-D1A7E7FA2624}">
    <text>OK, confermo</text>
  </threadedComment>
</ThreadedComments>
</file>

<file path=xl/threadedComments/threadedComment7.xml><?xml version="1.0" encoding="utf-8"?>
<ThreadedComments xmlns="http://schemas.microsoft.com/office/spreadsheetml/2018/threadedcomments" xmlns:x="http://schemas.openxmlformats.org/spreadsheetml/2006/main">
  <threadedComment ref="E42" dT="2025-03-17T10:07:05.14" personId="{D33E7E60-07BF-4CA1-A9E6-28AB9B9FCF03}" id="{598AEB7E-48D6-4722-8F94-94EF4B8908D7}">
    <text>@Angeli Duodo Ginevra (EGP&amp;TGX) controllare se serve ancora</text>
    <mentions>
      <mention mentionpersonId="{362ECD9B-9237-4F29-B845-2C98D1C00B26}" mentionId="{649A2F38-F5AA-4B18-B251-9E8D4FD32F89}" startIndex="0" length="31"/>
    </mentions>
  </threadedComment>
  <threadedComment ref="E56" dT="2025-02-20T07:50:16.75" personId="{12837F69-AFAA-42B2-BCA6-14C47E6C14F6}" id="{B8ABF888-64E9-45DB-860B-13379CC0D88A}" done="1">
    <text>@Avanzi Andrea (GPROC) chiarire perché si accorpano voci di safety con quelle commussioning (approccio credo non confermato per il commissionind delle voci in opzione). Chiedo a @Morgantini Paolo (EGP&amp;TGX) e @Melani Walter (EGP&amp;TGX) se l’approccio proposto da PROC possa esser accettato</text>
    <mentions>
      <mention mentionpersonId="{1E6CEB5A-CA6F-4260-9FAB-40D0F7C5B0A6}" mentionId="{0A5EF9DB-14CF-4D1A-9E12-8E886B8A46B0}" startIndex="0" length="22"/>
      <mention mentionpersonId="{DEAA06F7-ED3D-47BB-A280-F4180C80AFE7}" mentionId="{0E6FE5F0-0ABD-491F-BBF1-FC8401F6F928}" startIndex="178" length="27"/>
      <mention mentionpersonId="{5F2F7DFE-07D0-497B-A86F-CF822A51E77E}" mentionId="{FC62BC95-DBAA-44D9-95D7-5F5533127511}" startIndex="208" length="24"/>
    </mentions>
  </threadedComment>
  <threadedComment ref="E56" dT="2025-02-20T07:50:37.98" personId="{12837F69-AFAA-42B2-BCA6-14C47E6C14F6}" id="{FB438A8F-5105-46E1-8109-AD413C43B590}" parentId="{B8ABF888-64E9-45DB-860B-13379CC0D88A}">
    <text xml:space="preserve">@Morgantini Paolo (EGP&amp;TGX) </text>
    <mentions>
      <mention mentionpersonId="{DEAA06F7-ED3D-47BB-A280-F4180C80AFE7}" mentionId="{73DC013D-69EF-4743-9256-0B44160BE82A}" startIndex="0" length="27"/>
    </mentions>
  </threadedComment>
  <threadedComment ref="E56" dT="2025-02-20T07:50:47.43" personId="{12837F69-AFAA-42B2-BCA6-14C47E6C14F6}" id="{3D4B88C0-0C42-493C-9FB1-D6ECA7F024E8}" parentId="{B8ABF888-64E9-45DB-860B-13379CC0D88A}">
    <text xml:space="preserve">@Melani Walter (EGP&amp;TGX) </text>
    <mentions>
      <mention mentionpersonId="{5F2F7DFE-07D0-497B-A86F-CF822A51E77E}" mentionId="{C073C606-795F-49DA-9BD5-B9FBD0EC3AD3}" startIndex="0" length="24"/>
    </mentions>
  </threadedComment>
</ThreadedComments>
</file>

<file path=xl/threadedComments/threadedComment8.xml><?xml version="1.0" encoding="utf-8"?>
<ThreadedComments xmlns="http://schemas.microsoft.com/office/spreadsheetml/2018/threadedcomments" xmlns:x="http://schemas.openxmlformats.org/spreadsheetml/2006/main">
  <threadedComment ref="C10" dT="2025-02-20T09:26:47.46" personId="{12837F69-AFAA-42B2-BCA6-14C47E6C14F6}" id="{D767E4E1-ECC5-4D4A-ABA1-B79BB67CB406}" done="1">
    <text>@Russo Girolamo (EGP&amp;TGX) cortesemente ti chiedo di indicare i codici TS riferite a questa voce e alle successive due. In caso di dubbi contattami. grazie</text>
    <mentions>
      <mention mentionpersonId="{E7E19503-D8DB-40AC-9BB3-E234BFE695A8}" mentionId="{528DA79F-9B74-413B-B905-7102088FF01D}" startIndex="0" length="25"/>
    </mentions>
  </threadedComment>
  <threadedComment ref="E10" dT="2025-02-20T07:47:52.07" personId="{12837F69-AFAA-42B2-BCA6-14C47E6C14F6}" id="{36592370-D4DD-43BA-9798-5815AFC73682}">
    <text>@Avanzi Andrea (GPROC) dettaglio non esplicitato per altre tecnologie (WTG)</text>
    <mentions>
      <mention mentionpersonId="{1E6CEB5A-CA6F-4260-9FAB-40D0F7C5B0A6}" mentionId="{059299C2-4052-4F76-BE94-917CBE47CDE8}" startIndex="0" length="22"/>
    </mentions>
  </threadedComment>
  <threadedComment ref="C11" dT="2025-02-20T09:26:47.46" personId="{12837F69-AFAA-42B2-BCA6-14C47E6C14F6}" id="{B4976549-4751-4AC2-90C9-EF7A0FFFBFB1}" done="1">
    <text>@Russo Girolamo (EGP&amp;TGX) cortesemente ti chiedo di indicare i codici TS riferite a questa voce e alle successive due. In caso di dubbi contattami. grazie</text>
    <mentions>
      <mention mentionpersonId="{E7E19503-D8DB-40AC-9BB3-E234BFE695A8}" mentionId="{AB4109CA-FA32-4B51-9B97-BF477582CEAE}" startIndex="0" length="25"/>
    </mentions>
  </threadedComment>
  <threadedComment ref="C12" dT="2025-02-20T09:26:47.46" personId="{12837F69-AFAA-42B2-BCA6-14C47E6C14F6}" id="{C9B2CFF2-F78B-40A1-8D9E-8B8533FA2EA4}" done="1">
    <text>@Russo Girolamo (EGP&amp;TGX) cortesemente ti chiedo di indicare i codici TS riferite a questa voce e alle successive due. In caso di dubbi contattami. grazie</text>
    <mentions>
      <mention mentionpersonId="{E7E19503-D8DB-40AC-9BB3-E234BFE695A8}" mentionId="{209B5B87-A489-4188-98F7-132FB597AAEF}" startIndex="0" length="25"/>
    </mentions>
  </threadedComment>
</ThreadedComments>
</file>

<file path=xl/threadedComments/threadedComment9.xml><?xml version="1.0" encoding="utf-8"?>
<ThreadedComments xmlns="http://schemas.microsoft.com/office/spreadsheetml/2018/threadedcomments" xmlns:x="http://schemas.openxmlformats.org/spreadsheetml/2006/main">
  <threadedComment ref="E19" dT="2025-01-09T09:05:45.83" personId="{12837F69-AFAA-42B2-BCA6-14C47E6C14F6}" id="{41572B8A-44D4-45D0-8ED0-5BCFA05C05F9}">
    <text>@Tringali Danilo (EGP&amp;TGX) verificare con foglio HSE</text>
    <mentions>
      <mention mentionpersonId="{5BF7922C-E19E-4DC1-8B9F-05BF5CF79F71}" mentionId="{C0E95021-FB7E-41DA-AAC9-7183BCFF3435}" startIndex="0" length="26"/>
    </mentions>
  </threadedComment>
  <threadedComment ref="E20" dT="2025-01-09T09:06:19.11" personId="{12837F69-AFAA-42B2-BCA6-14C47E6C14F6}" id="{651FB5BD-1856-4451-A834-0608FB750217}">
    <text>@Tringali Danilo (EGP&amp;TGX) temi comm nel foglio comm… ad oggi no news about this by comm</text>
    <mentions>
      <mention mentionpersonId="{5BF7922C-E19E-4DC1-8B9F-05BF5CF79F71}" mentionId="{AF84B8B7-6979-4C11-9EA7-198EF9FEDF1E}" startIndex="0" length="26"/>
    </mentions>
  </threadedComment>
  <threadedComment ref="E21" dT="2025-01-09T09:06:37.56" personId="{12837F69-AFAA-42B2-BCA6-14C47E6C14F6}" id="{EA2C5F05-7B20-4AC1-B88E-2A4376FCAB16}">
    <text xml:space="preserve">@Tringali Danilo (EGP&amp;TGX)  idem sopra
</text>
    <mentions>
      <mention mentionpersonId="{5BF7922C-E19E-4DC1-8B9F-05BF5CF79F71}" mentionId="{5CA50D88-C063-427C-A499-71AED41B8FC4}" startIndex="0" length="26"/>
    </mentions>
  </threadedComment>
  <threadedComment ref="E24" dT="2025-01-09T09:07:11.72" personId="{12837F69-AFAA-42B2-BCA6-14C47E6C14F6}" id="{413FB4A3-4CA5-42F8-9BAC-6BE7522F11DC}">
    <text>@Tringali Danilo (EGP&amp;TGX) Vedere foglio design ed eventualmente ne parliamo per aggiornamento</text>
    <mentions>
      <mention mentionpersonId="{5BF7922C-E19E-4DC1-8B9F-05BF5CF79F71}" mentionId="{3F83F54B-C2B7-4647-A798-7CC0C3809E5D}" startIndex="0" length="26"/>
    </mentions>
  </threadedComment>
  <threadedComment ref="E25" dT="2025-01-09T09:07:59.56" personId="{12837F69-AFAA-42B2-BCA6-14C47E6C14F6}" id="{6F7B1C0B-0151-4860-B099-2E8B09AB3C76}">
    <text>@Mirra Flavio (EGP&amp;TGX) lo lasciamo qui?</text>
    <mentions>
      <mention mentionpersonId="{FD5C70FA-EC3C-4112-9809-35200B4E5880}" mentionId="{D5916BBE-0929-4534-B658-CC952BD9A816}" startIndex="0" length="23"/>
    </mentions>
  </threadedComment>
  <threadedComment ref="E27" dT="2025-01-09T09:10:09.95" personId="{12837F69-AFAA-42B2-BCA6-14C47E6C14F6}" id="{37391BAB-614D-49D5-9565-A3AE57FD975D}">
    <text>@Mirra Flavio (EGP&amp;TGX) / @Tringali Danilo (EGP&amp;TGX)  come richiesto da Proc ogni foglio dovrebbe contenuere se possibile tutte le voci riguardanti le aree di impianto. Questo è un esempio in cui opere civili dovrebbero star qui e non nel foglio civile… parliamone. Se le mettiamo qui credo vada dato il dettaglio solito civile</text>
    <mentions>
      <mention mentionpersonId="{FD5C70FA-EC3C-4112-9809-35200B4E5880}" mentionId="{7C40476C-8D34-45CC-BE5A-8FE91CF2F0C8}" startIndex="0" length="23"/>
      <mention mentionpersonId="{5BF7922C-E19E-4DC1-8B9F-05BF5CF79F71}" mentionId="{EE2C835A-B3B1-4274-A5CE-759AAC869E16}" startIndex="26" length="26"/>
    </mentions>
  </threadedComment>
  <threadedComment ref="E27" dT="2025-01-30T09:22:06.17" personId="{D33E7E60-07BF-4CA1-A9E6-28AB9B9FCF03}" id="{55A15BA1-C44C-4BBE-82BF-F79B6F9530A0}" parentId="{37391BAB-614D-49D5-9565-A3AE57FD975D}">
    <text>Cambiare descrizione voce</text>
  </threadedComment>
</ThreadedComments>
</file>

<file path=xl/threadedComments/threadedComment10.xml><?xml version="1.0" encoding="utf-8"?>
<ThreadedComments xmlns="http://schemas.microsoft.com/office/spreadsheetml/2018/threadedcomments" xmlns:x="http://schemas.openxmlformats.org/spreadsheetml/2006/main">
  <threadedComment ref="F10" dT="2024-11-13T08:36:03.18" personId="{6C088EF9-76A1-4C62-BD88-A6351E8D941E}" id="{220E84BC-B636-450B-81DB-5EA679C66A53}">
    <text>The final list of HSE Plan depending of site activities and characteristics</text>
  </threadedComment>
  <threadedComment ref="F22" dT="2024-11-13T08:32:37.80" personId="{6C088EF9-76A1-4C62-BD88-A6351E8D941E}" id="{5C070D85-288C-437F-A480-287DCA27F3E7}">
    <text>Depending of the project activities</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8.bin"/><Relationship Id="rId6" Type="http://schemas.microsoft.com/office/2019/04/relationships/documenttask" Target="../documenttasks/documenttask1.x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9.bin"/><Relationship Id="rId4" Type="http://schemas.microsoft.com/office/2017/10/relationships/threadedComment" Target="../threadedComments/threadedComment3.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2.bin"/><Relationship Id="rId5" Type="http://schemas.microsoft.com/office/2019/04/relationships/documenttask" Target="../documenttasks/documenttask2.xml"/><Relationship Id="rId4" Type="http://schemas.microsoft.com/office/2017/10/relationships/threadedComment" Target="../threadedComments/threadedComment4.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3.bin"/><Relationship Id="rId4" Type="http://schemas.microsoft.com/office/2017/10/relationships/threadedComment" Target="../threadedComments/threadedComment5.xml"/></Relationships>
</file>

<file path=xl/worksheets/_rels/sheet16.xml.rels><?xml version="1.0" encoding="UTF-8" standalone="yes"?>
<Relationships xmlns="http://schemas.openxmlformats.org/package/2006/relationships"><Relationship Id="rId26" Type="http://schemas.openxmlformats.org/officeDocument/2006/relationships/ctrlProp" Target="../ctrlProps/ctrlProp23.xml"/><Relationship Id="rId21" Type="http://schemas.openxmlformats.org/officeDocument/2006/relationships/ctrlProp" Target="../ctrlProps/ctrlProp18.xml"/><Relationship Id="rId42" Type="http://schemas.openxmlformats.org/officeDocument/2006/relationships/ctrlProp" Target="../ctrlProps/ctrlProp39.xml"/><Relationship Id="rId47" Type="http://schemas.openxmlformats.org/officeDocument/2006/relationships/ctrlProp" Target="../ctrlProps/ctrlProp44.xml"/><Relationship Id="rId63" Type="http://schemas.openxmlformats.org/officeDocument/2006/relationships/ctrlProp" Target="../ctrlProps/ctrlProp60.xml"/><Relationship Id="rId68" Type="http://schemas.openxmlformats.org/officeDocument/2006/relationships/ctrlProp" Target="../ctrlProps/ctrlProp65.xml"/><Relationship Id="rId2" Type="http://schemas.openxmlformats.org/officeDocument/2006/relationships/drawing" Target="../drawings/drawing2.xml"/><Relationship Id="rId16" Type="http://schemas.openxmlformats.org/officeDocument/2006/relationships/ctrlProp" Target="../ctrlProps/ctrlProp13.xml"/><Relationship Id="rId29" Type="http://schemas.openxmlformats.org/officeDocument/2006/relationships/ctrlProp" Target="../ctrlProps/ctrlProp26.xml"/><Relationship Id="rId11" Type="http://schemas.openxmlformats.org/officeDocument/2006/relationships/ctrlProp" Target="../ctrlProps/ctrlProp8.xml"/><Relationship Id="rId24" Type="http://schemas.openxmlformats.org/officeDocument/2006/relationships/ctrlProp" Target="../ctrlProps/ctrlProp21.xml"/><Relationship Id="rId32" Type="http://schemas.openxmlformats.org/officeDocument/2006/relationships/ctrlProp" Target="../ctrlProps/ctrlProp29.xml"/><Relationship Id="rId37" Type="http://schemas.openxmlformats.org/officeDocument/2006/relationships/ctrlProp" Target="../ctrlProps/ctrlProp34.xml"/><Relationship Id="rId40" Type="http://schemas.openxmlformats.org/officeDocument/2006/relationships/ctrlProp" Target="../ctrlProps/ctrlProp37.xml"/><Relationship Id="rId45" Type="http://schemas.openxmlformats.org/officeDocument/2006/relationships/ctrlProp" Target="../ctrlProps/ctrlProp42.xml"/><Relationship Id="rId53" Type="http://schemas.openxmlformats.org/officeDocument/2006/relationships/ctrlProp" Target="../ctrlProps/ctrlProp50.xml"/><Relationship Id="rId58" Type="http://schemas.openxmlformats.org/officeDocument/2006/relationships/ctrlProp" Target="../ctrlProps/ctrlProp55.xml"/><Relationship Id="rId66" Type="http://schemas.openxmlformats.org/officeDocument/2006/relationships/ctrlProp" Target="../ctrlProps/ctrlProp63.xml"/><Relationship Id="rId74" Type="http://schemas.openxmlformats.org/officeDocument/2006/relationships/ctrlProp" Target="../ctrlProps/ctrlProp71.xml"/><Relationship Id="rId5" Type="http://schemas.openxmlformats.org/officeDocument/2006/relationships/ctrlProp" Target="../ctrlProps/ctrlProp2.xml"/><Relationship Id="rId61" Type="http://schemas.openxmlformats.org/officeDocument/2006/relationships/ctrlProp" Target="../ctrlProps/ctrlProp58.xml"/><Relationship Id="rId19" Type="http://schemas.openxmlformats.org/officeDocument/2006/relationships/ctrlProp" Target="../ctrlProps/ctrlProp16.xml"/><Relationship Id="rId14" Type="http://schemas.openxmlformats.org/officeDocument/2006/relationships/ctrlProp" Target="../ctrlProps/ctrlProp11.xml"/><Relationship Id="rId22" Type="http://schemas.openxmlformats.org/officeDocument/2006/relationships/ctrlProp" Target="../ctrlProps/ctrlProp19.xml"/><Relationship Id="rId27" Type="http://schemas.openxmlformats.org/officeDocument/2006/relationships/ctrlProp" Target="../ctrlProps/ctrlProp24.xml"/><Relationship Id="rId30" Type="http://schemas.openxmlformats.org/officeDocument/2006/relationships/ctrlProp" Target="../ctrlProps/ctrlProp27.xml"/><Relationship Id="rId35" Type="http://schemas.openxmlformats.org/officeDocument/2006/relationships/ctrlProp" Target="../ctrlProps/ctrlProp32.xml"/><Relationship Id="rId43" Type="http://schemas.openxmlformats.org/officeDocument/2006/relationships/ctrlProp" Target="../ctrlProps/ctrlProp40.xml"/><Relationship Id="rId48" Type="http://schemas.openxmlformats.org/officeDocument/2006/relationships/ctrlProp" Target="../ctrlProps/ctrlProp45.xml"/><Relationship Id="rId56" Type="http://schemas.openxmlformats.org/officeDocument/2006/relationships/ctrlProp" Target="../ctrlProps/ctrlProp53.xml"/><Relationship Id="rId64" Type="http://schemas.openxmlformats.org/officeDocument/2006/relationships/ctrlProp" Target="../ctrlProps/ctrlProp61.xml"/><Relationship Id="rId69" Type="http://schemas.openxmlformats.org/officeDocument/2006/relationships/ctrlProp" Target="../ctrlProps/ctrlProp66.xml"/><Relationship Id="rId8" Type="http://schemas.openxmlformats.org/officeDocument/2006/relationships/ctrlProp" Target="../ctrlProps/ctrlProp5.xml"/><Relationship Id="rId51" Type="http://schemas.openxmlformats.org/officeDocument/2006/relationships/ctrlProp" Target="../ctrlProps/ctrlProp48.xml"/><Relationship Id="rId72" Type="http://schemas.openxmlformats.org/officeDocument/2006/relationships/ctrlProp" Target="../ctrlProps/ctrlProp69.xml"/><Relationship Id="rId3" Type="http://schemas.openxmlformats.org/officeDocument/2006/relationships/vmlDrawing" Target="../drawings/vmlDrawing6.vml"/><Relationship Id="rId12" Type="http://schemas.openxmlformats.org/officeDocument/2006/relationships/ctrlProp" Target="../ctrlProps/ctrlProp9.xml"/><Relationship Id="rId17" Type="http://schemas.openxmlformats.org/officeDocument/2006/relationships/ctrlProp" Target="../ctrlProps/ctrlProp14.xml"/><Relationship Id="rId25" Type="http://schemas.openxmlformats.org/officeDocument/2006/relationships/ctrlProp" Target="../ctrlProps/ctrlProp22.xml"/><Relationship Id="rId33" Type="http://schemas.openxmlformats.org/officeDocument/2006/relationships/ctrlProp" Target="../ctrlProps/ctrlProp30.xml"/><Relationship Id="rId38" Type="http://schemas.openxmlformats.org/officeDocument/2006/relationships/ctrlProp" Target="../ctrlProps/ctrlProp35.xml"/><Relationship Id="rId46" Type="http://schemas.openxmlformats.org/officeDocument/2006/relationships/ctrlProp" Target="../ctrlProps/ctrlProp43.xml"/><Relationship Id="rId59" Type="http://schemas.openxmlformats.org/officeDocument/2006/relationships/ctrlProp" Target="../ctrlProps/ctrlProp56.xml"/><Relationship Id="rId67" Type="http://schemas.openxmlformats.org/officeDocument/2006/relationships/ctrlProp" Target="../ctrlProps/ctrlProp64.xml"/><Relationship Id="rId20" Type="http://schemas.openxmlformats.org/officeDocument/2006/relationships/ctrlProp" Target="../ctrlProps/ctrlProp17.xml"/><Relationship Id="rId41" Type="http://schemas.openxmlformats.org/officeDocument/2006/relationships/ctrlProp" Target="../ctrlProps/ctrlProp38.xml"/><Relationship Id="rId54" Type="http://schemas.openxmlformats.org/officeDocument/2006/relationships/ctrlProp" Target="../ctrlProps/ctrlProp51.xml"/><Relationship Id="rId62" Type="http://schemas.openxmlformats.org/officeDocument/2006/relationships/ctrlProp" Target="../ctrlProps/ctrlProp59.xml"/><Relationship Id="rId70" Type="http://schemas.openxmlformats.org/officeDocument/2006/relationships/ctrlProp" Target="../ctrlProps/ctrlProp67.xml"/><Relationship Id="rId1" Type="http://schemas.openxmlformats.org/officeDocument/2006/relationships/printerSettings" Target="../printerSettings/printerSettings14.bin"/><Relationship Id="rId6" Type="http://schemas.openxmlformats.org/officeDocument/2006/relationships/ctrlProp" Target="../ctrlProps/ctrlProp3.xml"/><Relationship Id="rId15" Type="http://schemas.openxmlformats.org/officeDocument/2006/relationships/ctrlProp" Target="../ctrlProps/ctrlProp12.xml"/><Relationship Id="rId23" Type="http://schemas.openxmlformats.org/officeDocument/2006/relationships/ctrlProp" Target="../ctrlProps/ctrlProp20.xml"/><Relationship Id="rId28" Type="http://schemas.openxmlformats.org/officeDocument/2006/relationships/ctrlProp" Target="../ctrlProps/ctrlProp25.xml"/><Relationship Id="rId36" Type="http://schemas.openxmlformats.org/officeDocument/2006/relationships/ctrlProp" Target="../ctrlProps/ctrlProp33.xml"/><Relationship Id="rId49" Type="http://schemas.openxmlformats.org/officeDocument/2006/relationships/ctrlProp" Target="../ctrlProps/ctrlProp46.xml"/><Relationship Id="rId57" Type="http://schemas.openxmlformats.org/officeDocument/2006/relationships/ctrlProp" Target="../ctrlProps/ctrlProp54.xml"/><Relationship Id="rId10" Type="http://schemas.openxmlformats.org/officeDocument/2006/relationships/ctrlProp" Target="../ctrlProps/ctrlProp7.xml"/><Relationship Id="rId31" Type="http://schemas.openxmlformats.org/officeDocument/2006/relationships/ctrlProp" Target="../ctrlProps/ctrlProp28.xml"/><Relationship Id="rId44" Type="http://schemas.openxmlformats.org/officeDocument/2006/relationships/ctrlProp" Target="../ctrlProps/ctrlProp41.xml"/><Relationship Id="rId52" Type="http://schemas.openxmlformats.org/officeDocument/2006/relationships/ctrlProp" Target="../ctrlProps/ctrlProp49.xml"/><Relationship Id="rId60" Type="http://schemas.openxmlformats.org/officeDocument/2006/relationships/ctrlProp" Target="../ctrlProps/ctrlProp57.xml"/><Relationship Id="rId65" Type="http://schemas.openxmlformats.org/officeDocument/2006/relationships/ctrlProp" Target="../ctrlProps/ctrlProp62.xml"/><Relationship Id="rId73" Type="http://schemas.openxmlformats.org/officeDocument/2006/relationships/ctrlProp" Target="../ctrlProps/ctrlProp70.xml"/><Relationship Id="rId4" Type="http://schemas.openxmlformats.org/officeDocument/2006/relationships/ctrlProp" Target="../ctrlProps/ctrlProp1.xml"/><Relationship Id="rId9" Type="http://schemas.openxmlformats.org/officeDocument/2006/relationships/ctrlProp" Target="../ctrlProps/ctrlProp6.xml"/><Relationship Id="rId13" Type="http://schemas.openxmlformats.org/officeDocument/2006/relationships/ctrlProp" Target="../ctrlProps/ctrlProp10.xml"/><Relationship Id="rId18" Type="http://schemas.openxmlformats.org/officeDocument/2006/relationships/ctrlProp" Target="../ctrlProps/ctrlProp15.xml"/><Relationship Id="rId39" Type="http://schemas.openxmlformats.org/officeDocument/2006/relationships/ctrlProp" Target="../ctrlProps/ctrlProp36.xml"/><Relationship Id="rId34" Type="http://schemas.openxmlformats.org/officeDocument/2006/relationships/ctrlProp" Target="../ctrlProps/ctrlProp31.xml"/><Relationship Id="rId50" Type="http://schemas.openxmlformats.org/officeDocument/2006/relationships/ctrlProp" Target="../ctrlProps/ctrlProp47.xml"/><Relationship Id="rId55" Type="http://schemas.openxmlformats.org/officeDocument/2006/relationships/ctrlProp" Target="../ctrlProps/ctrlProp52.xml"/><Relationship Id="rId7" Type="http://schemas.openxmlformats.org/officeDocument/2006/relationships/ctrlProp" Target="../ctrlProps/ctrlProp4.xml"/><Relationship Id="rId71" Type="http://schemas.openxmlformats.org/officeDocument/2006/relationships/ctrlProp" Target="../ctrlProps/ctrlProp68.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7.vml"/></Relationships>
</file>

<file path=xl/worksheets/_rels/sheet2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8.vml"/><Relationship Id="rId1" Type="http://schemas.openxmlformats.org/officeDocument/2006/relationships/printerSettings" Target="../printerSettings/printerSettings18.bin"/><Relationship Id="rId5" Type="http://schemas.microsoft.com/office/2019/04/relationships/documenttask" Target="../documenttasks/documenttask3.xml"/><Relationship Id="rId4" Type="http://schemas.microsoft.com/office/2017/10/relationships/threadedComment" Target="../threadedComments/threadedComment7.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9.vml"/><Relationship Id="rId1" Type="http://schemas.openxmlformats.org/officeDocument/2006/relationships/printerSettings" Target="../printerSettings/printerSettings19.bin"/><Relationship Id="rId5" Type="http://schemas.microsoft.com/office/2019/04/relationships/documenttask" Target="../documenttasks/documenttask4.xml"/><Relationship Id="rId4" Type="http://schemas.microsoft.com/office/2017/10/relationships/threadedComment" Target="../threadedComments/threadedComment8.x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10.vml"/><Relationship Id="rId4" Type="http://schemas.microsoft.com/office/2019/04/relationships/documenttask" Target="../documenttasks/documenttask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1.vml"/><Relationship Id="rId1" Type="http://schemas.openxmlformats.org/officeDocument/2006/relationships/printerSettings" Target="../printerSettings/printerSettings26.bin"/><Relationship Id="rId4" Type="http://schemas.microsoft.com/office/2017/10/relationships/threadedComment" Target="../threadedComments/threadedComment10.xml"/></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4A4AF-65AB-405B-B23A-140A5AEACD7A}">
  <sheetPr>
    <tabColor theme="8" tint="0.39997558519241921"/>
    <pageSetUpPr fitToPage="1"/>
  </sheetPr>
  <dimension ref="A2:K26"/>
  <sheetViews>
    <sheetView zoomScale="130" zoomScaleNormal="130" workbookViewId="0">
      <selection activeCell="H20" sqref="H20"/>
    </sheetView>
  </sheetViews>
  <sheetFormatPr defaultColWidth="9.28515625" defaultRowHeight="15" x14ac:dyDescent="0.25"/>
  <cols>
    <col min="1" max="1" width="3.7109375" style="445" customWidth="1"/>
    <col min="2" max="2" width="25.5703125" style="445" customWidth="1"/>
    <col min="3" max="3" width="22.28515625" style="445" customWidth="1"/>
    <col min="4" max="4" width="25.5703125" style="445" customWidth="1"/>
    <col min="5" max="5" width="2.7109375" style="445" customWidth="1"/>
    <col min="6" max="6" width="11.28515625" style="450" customWidth="1"/>
    <col min="7" max="8" width="12.28515625" style="450" customWidth="1"/>
    <col min="9" max="9" width="3.7109375" style="445" customWidth="1"/>
    <col min="10" max="10" width="2.42578125" style="445" customWidth="1"/>
    <col min="11" max="11" width="0.7109375" style="444" customWidth="1"/>
    <col min="12" max="16384" width="9.28515625" style="445"/>
  </cols>
  <sheetData>
    <row r="2" spans="1:10" x14ac:dyDescent="0.25">
      <c r="A2" s="439"/>
      <c r="B2" s="440"/>
      <c r="C2" s="440"/>
      <c r="D2" s="440"/>
      <c r="E2" s="440"/>
      <c r="F2" s="441"/>
      <c r="G2" s="441"/>
      <c r="H2" s="441"/>
      <c r="I2" s="442"/>
      <c r="J2" s="443"/>
    </row>
    <row r="3" spans="1:10" x14ac:dyDescent="0.25">
      <c r="A3" s="446"/>
      <c r="B3" s="1472" t="s">
        <v>0</v>
      </c>
      <c r="C3" s="1473"/>
      <c r="D3" s="1473"/>
      <c r="E3" s="1473"/>
      <c r="F3" s="1474"/>
      <c r="G3" s="447"/>
      <c r="H3" s="447"/>
      <c r="I3" s="448"/>
      <c r="J3" s="443"/>
    </row>
    <row r="4" spans="1:10" x14ac:dyDescent="0.25">
      <c r="A4" s="446"/>
      <c r="B4" s="1475"/>
      <c r="C4" s="1476"/>
      <c r="D4" s="1476"/>
      <c r="E4" s="1476"/>
      <c r="F4" s="1477"/>
      <c r="G4" s="447"/>
      <c r="H4" s="447"/>
      <c r="I4" s="448"/>
      <c r="J4" s="449">
        <v>43191</v>
      </c>
    </row>
    <row r="5" spans="1:10" x14ac:dyDescent="0.25">
      <c r="A5" s="446"/>
      <c r="B5" s="1478" t="s">
        <v>1</v>
      </c>
      <c r="C5" s="1479"/>
      <c r="D5" s="1479"/>
      <c r="E5" s="1479"/>
      <c r="F5" s="1480"/>
      <c r="G5" s="447"/>
      <c r="H5" s="447"/>
      <c r="I5" s="448"/>
      <c r="J5" s="449">
        <v>43434</v>
      </c>
    </row>
    <row r="6" spans="1:10" x14ac:dyDescent="0.25">
      <c r="A6" s="446"/>
      <c r="B6" s="1481"/>
      <c r="C6" s="1482"/>
      <c r="D6" s="1482"/>
      <c r="E6" s="1482"/>
      <c r="F6" s="1483"/>
      <c r="I6" s="448"/>
      <c r="J6" s="443"/>
    </row>
    <row r="7" spans="1:10" x14ac:dyDescent="0.25">
      <c r="A7" s="446"/>
      <c r="B7" s="1484"/>
      <c r="C7" s="1485"/>
      <c r="D7" s="1485"/>
      <c r="E7" s="1485"/>
      <c r="F7" s="1486"/>
      <c r="I7" s="448"/>
      <c r="J7" s="443"/>
    </row>
    <row r="8" spans="1:10" x14ac:dyDescent="0.25">
      <c r="A8" s="446"/>
      <c r="I8" s="448"/>
      <c r="J8" s="443"/>
    </row>
    <row r="9" spans="1:10" s="457" customFormat="1" x14ac:dyDescent="0.25">
      <c r="A9" s="451"/>
      <c r="B9" s="452" t="s">
        <v>2</v>
      </c>
      <c r="C9" s="1468" t="s">
        <v>3</v>
      </c>
      <c r="D9" s="1469"/>
      <c r="E9" s="1466" t="s">
        <v>4</v>
      </c>
      <c r="F9" s="1467"/>
      <c r="G9" s="450"/>
      <c r="H9" s="453" t="s">
        <v>5</v>
      </c>
      <c r="I9" s="454"/>
      <c r="J9" s="455"/>
    </row>
    <row r="10" spans="1:10" s="457" customFormat="1" x14ac:dyDescent="0.25">
      <c r="A10" s="451"/>
      <c r="B10" s="452" t="s">
        <v>6</v>
      </c>
      <c r="C10" s="1487"/>
      <c r="D10" s="1488"/>
      <c r="E10" s="1460" t="s">
        <v>7</v>
      </c>
      <c r="F10" s="1461"/>
      <c r="G10" s="450"/>
      <c r="H10" s="458"/>
      <c r="I10" s="454"/>
      <c r="J10" s="455"/>
    </row>
    <row r="11" spans="1:10" s="457" customFormat="1" x14ac:dyDescent="0.25">
      <c r="A11" s="451"/>
      <c r="B11" s="452" t="s">
        <v>8</v>
      </c>
      <c r="C11" s="1489"/>
      <c r="D11" s="1490"/>
      <c r="E11" s="1464"/>
      <c r="F11" s="1465"/>
      <c r="G11" s="450"/>
      <c r="H11" s="447"/>
      <c r="I11" s="454"/>
      <c r="J11" s="459"/>
    </row>
    <row r="12" spans="1:10" s="457" customFormat="1" x14ac:dyDescent="0.25">
      <c r="A12" s="451"/>
      <c r="B12" s="452" t="s">
        <v>9</v>
      </c>
      <c r="C12" s="1470" t="s">
        <v>10</v>
      </c>
      <c r="D12" s="1471"/>
      <c r="E12" s="1466" t="s">
        <v>11</v>
      </c>
      <c r="F12" s="1467"/>
      <c r="G12" s="450"/>
      <c r="H12" s="453" t="s">
        <v>12</v>
      </c>
      <c r="I12" s="454"/>
      <c r="J12" s="456"/>
    </row>
    <row r="13" spans="1:10" s="457" customFormat="1" x14ac:dyDescent="0.25">
      <c r="A13" s="451"/>
      <c r="B13" s="452" t="s">
        <v>13</v>
      </c>
      <c r="C13" s="1468" t="s">
        <v>14</v>
      </c>
      <c r="D13" s="1469"/>
      <c r="E13" s="1460" t="s">
        <v>15</v>
      </c>
      <c r="F13" s="1461"/>
      <c r="G13" s="450"/>
      <c r="H13" s="460" t="s">
        <v>16</v>
      </c>
      <c r="I13" s="454"/>
      <c r="J13" s="459"/>
    </row>
    <row r="14" spans="1:10" s="457" customFormat="1" x14ac:dyDescent="0.25">
      <c r="A14" s="451"/>
      <c r="B14" s="452" t="s">
        <v>17</v>
      </c>
      <c r="C14" s="1468" t="s">
        <v>18</v>
      </c>
      <c r="D14" s="1469"/>
      <c r="E14" s="1462"/>
      <c r="F14" s="1463"/>
      <c r="G14" s="450"/>
      <c r="H14" s="450"/>
      <c r="I14" s="454"/>
      <c r="J14" s="459"/>
    </row>
    <row r="15" spans="1:10" s="457" customFormat="1" x14ac:dyDescent="0.25">
      <c r="A15" s="451"/>
      <c r="B15" s="452" t="s">
        <v>19</v>
      </c>
      <c r="C15" s="1468" t="s">
        <v>20</v>
      </c>
      <c r="D15" s="1469"/>
      <c r="E15" s="1462"/>
      <c r="F15" s="1463"/>
      <c r="G15" s="450"/>
      <c r="H15" s="453" t="s">
        <v>21</v>
      </c>
      <c r="I15" s="454"/>
      <c r="J15" s="459"/>
    </row>
    <row r="16" spans="1:10" s="457" customFormat="1" x14ac:dyDescent="0.25">
      <c r="A16" s="451"/>
      <c r="B16" s="452" t="s">
        <v>22</v>
      </c>
      <c r="C16" s="1468" t="s">
        <v>23</v>
      </c>
      <c r="D16" s="1469"/>
      <c r="E16" s="1464"/>
      <c r="F16" s="1465"/>
      <c r="G16" s="450"/>
      <c r="H16" s="460" t="s">
        <v>24</v>
      </c>
      <c r="I16" s="454"/>
      <c r="J16" s="459"/>
    </row>
    <row r="17" spans="1:9" s="457" customFormat="1" x14ac:dyDescent="0.25">
      <c r="A17" s="451"/>
      <c r="B17" s="452" t="s">
        <v>25</v>
      </c>
      <c r="C17" s="1468" t="s">
        <v>26</v>
      </c>
      <c r="D17" s="1469"/>
      <c r="E17" s="1460" t="s">
        <v>27</v>
      </c>
      <c r="F17" s="1461"/>
      <c r="G17" s="450"/>
      <c r="H17" s="453" t="s">
        <v>28</v>
      </c>
      <c r="I17" s="454"/>
    </row>
    <row r="18" spans="1:9" s="457" customFormat="1" x14ac:dyDescent="0.25">
      <c r="A18" s="451"/>
      <c r="B18" s="452" t="s">
        <v>29</v>
      </c>
      <c r="C18" s="1468">
        <v>150</v>
      </c>
      <c r="D18" s="1469"/>
      <c r="E18" s="1462"/>
      <c r="F18" s="1463"/>
      <c r="G18" s="450"/>
      <c r="H18" s="460">
        <v>1</v>
      </c>
      <c r="I18" s="454"/>
    </row>
    <row r="19" spans="1:9" s="457" customFormat="1" x14ac:dyDescent="0.25">
      <c r="A19" s="451"/>
      <c r="B19" s="452" t="s">
        <v>30</v>
      </c>
      <c r="C19" s="1458">
        <v>0</v>
      </c>
      <c r="D19" s="1459"/>
      <c r="E19" s="1462"/>
      <c r="F19" s="1463"/>
      <c r="G19" s="450"/>
      <c r="H19" s="450"/>
      <c r="I19" s="454"/>
    </row>
    <row r="20" spans="1:9" s="457" customFormat="1" x14ac:dyDescent="0.25">
      <c r="A20" s="451"/>
      <c r="B20" s="452" t="s">
        <v>31</v>
      </c>
      <c r="C20" s="1458">
        <v>0</v>
      </c>
      <c r="D20" s="1459"/>
      <c r="E20" s="1462"/>
      <c r="F20" s="1463"/>
      <c r="G20" s="450"/>
      <c r="H20" s="450"/>
      <c r="I20" s="454"/>
    </row>
    <row r="21" spans="1:9" s="457" customFormat="1" x14ac:dyDescent="0.25">
      <c r="A21" s="451"/>
      <c r="B21" s="452" t="s">
        <v>32</v>
      </c>
      <c r="C21" s="1458" t="s">
        <v>33</v>
      </c>
      <c r="D21" s="1459"/>
      <c r="E21" s="1464"/>
      <c r="F21" s="1465"/>
      <c r="G21" s="450"/>
      <c r="H21" s="450"/>
      <c r="I21" s="454"/>
    </row>
    <row r="22" spans="1:9" s="457" customFormat="1" x14ac:dyDescent="0.25">
      <c r="A22" s="451"/>
      <c r="B22" s="452" t="s">
        <v>34</v>
      </c>
      <c r="C22" s="1458">
        <v>0</v>
      </c>
      <c r="D22" s="1459"/>
      <c r="E22" s="1460" t="s">
        <v>35</v>
      </c>
      <c r="F22" s="1461"/>
      <c r="G22" s="450"/>
      <c r="H22" s="450"/>
      <c r="I22" s="461"/>
    </row>
    <row r="23" spans="1:9" x14ac:dyDescent="0.25">
      <c r="A23" s="462"/>
      <c r="B23" s="452" t="s">
        <v>36</v>
      </c>
      <c r="C23" s="1458">
        <v>0</v>
      </c>
      <c r="D23" s="1459"/>
      <c r="E23" s="1462"/>
      <c r="F23" s="1463"/>
      <c r="I23" s="463"/>
    </row>
    <row r="24" spans="1:9" ht="30.75" customHeight="1" x14ac:dyDescent="0.25">
      <c r="A24" s="462"/>
      <c r="B24" s="464" t="s">
        <v>37</v>
      </c>
      <c r="C24" s="1458"/>
      <c r="D24" s="1459"/>
      <c r="E24" s="1464"/>
      <c r="F24" s="1465"/>
      <c r="I24" s="463"/>
    </row>
    <row r="25" spans="1:9" x14ac:dyDescent="0.25">
      <c r="A25" s="462"/>
      <c r="B25" s="452" t="s">
        <v>38</v>
      </c>
      <c r="C25" s="1458" t="s">
        <v>39</v>
      </c>
      <c r="D25" s="1459"/>
      <c r="E25" s="1466" t="s">
        <v>40</v>
      </c>
      <c r="F25" s="1467"/>
      <c r="I25" s="463"/>
    </row>
    <row r="26" spans="1:9" x14ac:dyDescent="0.25">
      <c r="A26" s="446"/>
      <c r="I26" s="463"/>
    </row>
  </sheetData>
  <mergeCells count="26">
    <mergeCell ref="B3:F4"/>
    <mergeCell ref="B5:F7"/>
    <mergeCell ref="C9:D9"/>
    <mergeCell ref="E9:F9"/>
    <mergeCell ref="C10:D10"/>
    <mergeCell ref="E10:F11"/>
    <mergeCell ref="C11:D11"/>
    <mergeCell ref="C12:D12"/>
    <mergeCell ref="E12:F12"/>
    <mergeCell ref="C13:D13"/>
    <mergeCell ref="E13:F16"/>
    <mergeCell ref="C14:D14"/>
    <mergeCell ref="C15:D15"/>
    <mergeCell ref="C16:D16"/>
    <mergeCell ref="C17:D17"/>
    <mergeCell ref="E17:F21"/>
    <mergeCell ref="C18:D18"/>
    <mergeCell ref="C19:D19"/>
    <mergeCell ref="C20:D20"/>
    <mergeCell ref="C21:D21"/>
    <mergeCell ref="C22:D22"/>
    <mergeCell ref="E22:F24"/>
    <mergeCell ref="C23:D23"/>
    <mergeCell ref="C24:D24"/>
    <mergeCell ref="C25:D25"/>
    <mergeCell ref="E25:F25"/>
  </mergeCells>
  <dataValidations count="1">
    <dataValidation type="list" allowBlank="1" showErrorMessage="1" promptTitle="FORMAT" prompt="The Revision must be in the Format 0A, 0B, 0C, etc, till the maximum revision 0G" sqref="H13" xr:uid="{79635C57-417C-4644-9AE4-5BD5F8CA9CAD}">
      <formula1>"'01,'02,'03,'04,'05,'06,'07,'08,'09"</formula1>
    </dataValidation>
  </dataValidations>
  <pageMargins left="0.70866141732283472" right="0.70866141732283472" top="0.74803149606299213" bottom="0.74803149606299213" header="0.31496062992125984" footer="0.31496062992125984"/>
  <pageSetup paperSize="9" scale="73" orientation="portrait" r:id="rId1"/>
  <headerFooter>
    <oddHeader>&amp;C&amp;"Arial"&amp;8&amp;K000000 INTERNAL&amp;1#_x000D_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7F202-D135-452C-BD72-93EF9C851650}">
  <sheetPr>
    <tabColor rgb="FF0070C0"/>
  </sheetPr>
  <dimension ref="D2:I25"/>
  <sheetViews>
    <sheetView zoomScale="90" zoomScaleNormal="90" workbookViewId="0">
      <selection activeCell="J23" sqref="J23"/>
    </sheetView>
  </sheetViews>
  <sheetFormatPr defaultColWidth="9.140625" defaultRowHeight="15" x14ac:dyDescent="0.25"/>
  <cols>
    <col min="4" max="4" width="27.5703125" customWidth="1"/>
    <col min="5" max="5" width="48.7109375" bestFit="1" customWidth="1"/>
    <col min="6" max="6" width="23.5703125" customWidth="1"/>
    <col min="7" max="7" width="30.7109375" customWidth="1"/>
    <col min="8" max="8" width="6.7109375" customWidth="1"/>
    <col min="9" max="9" width="18.28515625" customWidth="1"/>
    <col min="10" max="10" width="30.7109375" customWidth="1"/>
  </cols>
  <sheetData>
    <row r="2" spans="4:7" x14ac:dyDescent="0.25">
      <c r="D2" s="465" t="s">
        <v>41</v>
      </c>
      <c r="E2" s="298" t="s">
        <v>42</v>
      </c>
      <c r="F2" s="465" t="s">
        <v>43</v>
      </c>
      <c r="G2" s="1421" t="s">
        <v>24</v>
      </c>
    </row>
    <row r="3" spans="4:7" x14ac:dyDescent="0.25">
      <c r="D3" s="465" t="s">
        <v>44</v>
      </c>
      <c r="E3" s="298">
        <v>9.6957000000000004</v>
      </c>
      <c r="F3" s="465" t="s">
        <v>5</v>
      </c>
      <c r="G3" s="465" t="s">
        <v>45</v>
      </c>
    </row>
    <row r="4" spans="4:7" x14ac:dyDescent="0.25">
      <c r="D4" s="465" t="s">
        <v>46</v>
      </c>
      <c r="E4" s="1383" t="s">
        <v>47</v>
      </c>
      <c r="F4" s="1384" t="s">
        <v>48</v>
      </c>
      <c r="G4" s="467" t="s">
        <v>2602</v>
      </c>
    </row>
    <row r="5" spans="4:7" ht="37.15" customHeight="1" x14ac:dyDescent="0.25">
      <c r="D5" s="1491" t="s">
        <v>2603</v>
      </c>
      <c r="E5" s="1491"/>
      <c r="F5" s="1491"/>
      <c r="G5" s="1491"/>
    </row>
    <row r="6" spans="4:7" ht="15.75" thickBot="1" x14ac:dyDescent="0.3"/>
    <row r="7" spans="4:7" x14ac:dyDescent="0.25">
      <c r="D7" s="1391" t="s">
        <v>49</v>
      </c>
      <c r="E7" s="1392"/>
      <c r="F7" s="1393" t="s">
        <v>50</v>
      </c>
      <c r="G7" s="1394" t="s">
        <v>51</v>
      </c>
    </row>
    <row r="8" spans="4:7" x14ac:dyDescent="0.25">
      <c r="D8" s="1395" t="s">
        <v>52</v>
      </c>
      <c r="E8" s="468"/>
      <c r="F8" s="469">
        <f>Miscellaneous!S106</f>
        <v>1273888.2084761234</v>
      </c>
      <c r="G8" s="1396">
        <f>Miscellaneous!S107</f>
        <v>275471.23697414948</v>
      </c>
    </row>
    <row r="9" spans="4:7" x14ac:dyDescent="0.25">
      <c r="D9" s="1395" t="s">
        <v>53</v>
      </c>
      <c r="E9" s="468" t="s">
        <v>54</v>
      </c>
      <c r="F9" s="469">
        <f>'Civil Works'!V200</f>
        <v>973826.97272593633</v>
      </c>
      <c r="G9" s="1396"/>
    </row>
    <row r="10" spans="4:7" x14ac:dyDescent="0.25">
      <c r="D10" s="1395" t="s">
        <v>55</v>
      </c>
      <c r="E10" s="468"/>
      <c r="F10" s="469">
        <f>'ACCESS ROADS'!T107</f>
        <v>464173.10362143064</v>
      </c>
      <c r="G10" s="1396">
        <f>'ACCESS ROADS'!T108</f>
        <v>47050.404489835033</v>
      </c>
    </row>
    <row r="11" spans="4:7" x14ac:dyDescent="0.25">
      <c r="D11" s="1395" t="s">
        <v>56</v>
      </c>
      <c r="E11" s="468"/>
      <c r="F11" s="469"/>
      <c r="G11" s="1396"/>
    </row>
    <row r="12" spans="4:7" x14ac:dyDescent="0.25">
      <c r="D12" s="1395" t="s">
        <v>57</v>
      </c>
      <c r="E12" s="468" t="s">
        <v>58</v>
      </c>
      <c r="F12" s="469">
        <f>EMBOP_SI!S258</f>
        <v>2875653.9731978155</v>
      </c>
      <c r="G12" s="1396">
        <f>EMBOP_SI!S259</f>
        <v>8280</v>
      </c>
    </row>
    <row r="13" spans="4:7" x14ac:dyDescent="0.25">
      <c r="D13" s="1395" t="s">
        <v>59</v>
      </c>
      <c r="E13" s="468" t="s">
        <v>60</v>
      </c>
      <c r="F13" s="469">
        <f>'EMBOP-TRK Install.'!S6</f>
        <v>450547.2343887118</v>
      </c>
      <c r="G13" s="1396">
        <f>'EMBOP-TRK Install.'!S7</f>
        <v>0</v>
      </c>
    </row>
    <row r="14" spans="4:7" x14ac:dyDescent="0.25">
      <c r="D14" s="1395" t="s">
        <v>61</v>
      </c>
      <c r="E14" s="468"/>
      <c r="F14" s="469">
        <f>'Spare Parts'!S6</f>
        <v>0</v>
      </c>
      <c r="G14" s="1396">
        <f>'Spare Parts'!S7</f>
        <v>91424.487647216753</v>
      </c>
    </row>
    <row r="15" spans="4:7" x14ac:dyDescent="0.25">
      <c r="D15" s="1395" t="s">
        <v>62</v>
      </c>
      <c r="E15" s="468" t="s">
        <v>63</v>
      </c>
      <c r="F15" s="469">
        <f>'HSE (ITA ESP)'!$S$24</f>
        <v>93544.822930693103</v>
      </c>
      <c r="G15" s="1396">
        <f>'HSE (ITA ESP)'!$S$25</f>
        <v>0</v>
      </c>
    </row>
    <row r="16" spans="4:7" x14ac:dyDescent="0.25">
      <c r="D16" s="1395" t="s">
        <v>64</v>
      </c>
      <c r="E16" s="468"/>
      <c r="F16" s="469">
        <f>SUS!S6</f>
        <v>0</v>
      </c>
      <c r="G16" s="1396">
        <f>SUS!S7</f>
        <v>0</v>
      </c>
    </row>
    <row r="17" spans="4:9" ht="15.75" thickBot="1" x14ac:dyDescent="0.3">
      <c r="D17" s="1397" t="s">
        <v>65</v>
      </c>
      <c r="E17" s="1385"/>
      <c r="F17" s="1386">
        <f>Security!J5</f>
        <v>52060.219591199173</v>
      </c>
      <c r="G17" s="1398">
        <f>Security!J6</f>
        <v>0</v>
      </c>
    </row>
    <row r="18" spans="4:9" ht="15.75" thickBot="1" x14ac:dyDescent="0.3">
      <c r="D18" s="1387" t="s">
        <v>66</v>
      </c>
      <c r="E18" s="1388"/>
      <c r="F18" s="1389">
        <f>SUM(F8:F17)</f>
        <v>6183694.5349319102</v>
      </c>
      <c r="G18" s="1390">
        <f>SUM(G8:G17)</f>
        <v>422226.12911120127</v>
      </c>
      <c r="I18" s="1453">
        <f>SUM(F18:H18)</f>
        <v>6605920.6640431117</v>
      </c>
    </row>
    <row r="19" spans="4:9" x14ac:dyDescent="0.25">
      <c r="F19" s="466"/>
      <c r="G19" s="466"/>
    </row>
    <row r="20" spans="4:9" x14ac:dyDescent="0.25">
      <c r="F20" s="470" t="s">
        <v>67</v>
      </c>
      <c r="G20" s="470" t="s">
        <v>2617</v>
      </c>
    </row>
    <row r="21" spans="4:9" x14ac:dyDescent="0.25">
      <c r="D21" s="1381"/>
      <c r="F21" s="471">
        <f>F18/E3/10^6</f>
        <v>0.63777700784181746</v>
      </c>
      <c r="G21" s="1454">
        <f>G18/E3/10^6</f>
        <v>4.3547771600936626E-2</v>
      </c>
      <c r="I21" s="1455">
        <f>F21+G21</f>
        <v>0.68132477944275405</v>
      </c>
    </row>
    <row r="24" spans="4:9" x14ac:dyDescent="0.25">
      <c r="F24" t="s">
        <v>2618</v>
      </c>
      <c r="G24" s="1456">
        <f>+F18+G18-G25</f>
        <v>5075296.0040431116</v>
      </c>
      <c r="I24" s="1457">
        <f>G24/E3/10^6</f>
        <v>0.52345844075653247</v>
      </c>
    </row>
    <row r="25" spans="4:9" x14ac:dyDescent="0.25">
      <c r="F25" t="s">
        <v>2619</v>
      </c>
      <c r="G25" s="1456">
        <v>1530624.66</v>
      </c>
      <c r="I25" s="1457">
        <f>G25/E3/10^6</f>
        <v>0.15786633868622171</v>
      </c>
    </row>
  </sheetData>
  <mergeCells count="1">
    <mergeCell ref="D5:G5"/>
  </mergeCells>
  <conditionalFormatting sqref="D8:G12 D13:E17 D16:G16 D18 D21">
    <cfRule type="expression" dxfId="3" priority="7">
      <formula>#REF!="X"</formula>
    </cfRule>
  </conditionalFormatting>
  <conditionalFormatting sqref="F13:G13">
    <cfRule type="expression" dxfId="2" priority="8">
      <formula>$F18="X"</formula>
    </cfRule>
  </conditionalFormatting>
  <conditionalFormatting sqref="F14:G15 F17:G17">
    <cfRule type="expression" dxfId="1" priority="9">
      <formula>#REF!="X"</formula>
    </cfRule>
  </conditionalFormatting>
  <conditionalFormatting sqref="F16:G16">
    <cfRule type="expression" dxfId="0" priority="2">
      <formula>$F19="X"</formula>
    </cfRule>
  </conditionalFormatting>
  <pageMargins left="0.7" right="0.7" top="0.75" bottom="0.75" header="0.3" footer="0.3"/>
  <pageSetup paperSize="9" orientation="portrait" r:id="rId1"/>
  <headerFooter>
    <oddHeader>&amp;C&amp;"Arial"&amp;8&amp;K000000 INTERNAL&amp;1#_x000D_</oddHead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B1:F71"/>
  <sheetViews>
    <sheetView topLeftCell="A41" zoomScale="115" zoomScaleNormal="115" workbookViewId="0">
      <selection activeCell="D50" sqref="D50"/>
    </sheetView>
  </sheetViews>
  <sheetFormatPr defaultColWidth="9.5703125" defaultRowHeight="15" outlineLevelRow="2" x14ac:dyDescent="0.25"/>
  <cols>
    <col min="1" max="1" width="1.42578125" style="2" customWidth="1"/>
    <col min="2" max="2" width="44.5703125" style="11" customWidth="1"/>
    <col min="3" max="3" width="9" style="2" customWidth="1"/>
    <col min="4" max="4" width="32.42578125" style="2" customWidth="1"/>
    <col min="5" max="5" width="20.42578125" style="2" customWidth="1"/>
    <col min="6" max="6" width="49.28515625" style="2" bestFit="1" customWidth="1"/>
    <col min="7" max="253" width="9.5703125" style="2"/>
    <col min="254" max="254" width="1.42578125" style="2" customWidth="1"/>
    <col min="255" max="255" width="4.42578125" style="2" customWidth="1"/>
    <col min="256" max="256" width="53" style="2" bestFit="1" customWidth="1"/>
    <col min="257" max="257" width="18" style="2" customWidth="1"/>
    <col min="258" max="259" width="9" style="2" customWidth="1"/>
    <col min="260" max="260" width="32.42578125" style="2" customWidth="1"/>
    <col min="261" max="261" width="20.42578125" style="2" customWidth="1"/>
    <col min="262" max="509" width="9.5703125" style="2"/>
    <col min="510" max="510" width="1.42578125" style="2" customWidth="1"/>
    <col min="511" max="511" width="4.42578125" style="2" customWidth="1"/>
    <col min="512" max="512" width="53" style="2" bestFit="1" customWidth="1"/>
    <col min="513" max="513" width="18" style="2" customWidth="1"/>
    <col min="514" max="515" width="9" style="2" customWidth="1"/>
    <col min="516" max="516" width="32.42578125" style="2" customWidth="1"/>
    <col min="517" max="517" width="20.42578125" style="2" customWidth="1"/>
    <col min="518" max="765" width="9.5703125" style="2"/>
    <col min="766" max="766" width="1.42578125" style="2" customWidth="1"/>
    <col min="767" max="767" width="4.42578125" style="2" customWidth="1"/>
    <col min="768" max="768" width="53" style="2" bestFit="1" customWidth="1"/>
    <col min="769" max="769" width="18" style="2" customWidth="1"/>
    <col min="770" max="771" width="9" style="2" customWidth="1"/>
    <col min="772" max="772" width="32.42578125" style="2" customWidth="1"/>
    <col min="773" max="773" width="20.42578125" style="2" customWidth="1"/>
    <col min="774" max="1021" width="9.5703125" style="2"/>
    <col min="1022" max="1022" width="1.42578125" style="2" customWidth="1"/>
    <col min="1023" max="1023" width="4.42578125" style="2" customWidth="1"/>
    <col min="1024" max="1024" width="53" style="2" bestFit="1" customWidth="1"/>
    <col min="1025" max="1025" width="18" style="2" customWidth="1"/>
    <col min="1026" max="1027" width="9" style="2" customWidth="1"/>
    <col min="1028" max="1028" width="32.42578125" style="2" customWidth="1"/>
    <col min="1029" max="1029" width="20.42578125" style="2" customWidth="1"/>
    <col min="1030" max="1277" width="9.5703125" style="2"/>
    <col min="1278" max="1278" width="1.42578125" style="2" customWidth="1"/>
    <col min="1279" max="1279" width="4.42578125" style="2" customWidth="1"/>
    <col min="1280" max="1280" width="53" style="2" bestFit="1" customWidth="1"/>
    <col min="1281" max="1281" width="18" style="2" customWidth="1"/>
    <col min="1282" max="1283" width="9" style="2" customWidth="1"/>
    <col min="1284" max="1284" width="32.42578125" style="2" customWidth="1"/>
    <col min="1285" max="1285" width="20.42578125" style="2" customWidth="1"/>
    <col min="1286" max="1533" width="9.5703125" style="2"/>
    <col min="1534" max="1534" width="1.42578125" style="2" customWidth="1"/>
    <col min="1535" max="1535" width="4.42578125" style="2" customWidth="1"/>
    <col min="1536" max="1536" width="53" style="2" bestFit="1" customWidth="1"/>
    <col min="1537" max="1537" width="18" style="2" customWidth="1"/>
    <col min="1538" max="1539" width="9" style="2" customWidth="1"/>
    <col min="1540" max="1540" width="32.42578125" style="2" customWidth="1"/>
    <col min="1541" max="1541" width="20.42578125" style="2" customWidth="1"/>
    <col min="1542" max="1789" width="9.5703125" style="2"/>
    <col min="1790" max="1790" width="1.42578125" style="2" customWidth="1"/>
    <col min="1791" max="1791" width="4.42578125" style="2" customWidth="1"/>
    <col min="1792" max="1792" width="53" style="2" bestFit="1" customWidth="1"/>
    <col min="1793" max="1793" width="18" style="2" customWidth="1"/>
    <col min="1794" max="1795" width="9" style="2" customWidth="1"/>
    <col min="1796" max="1796" width="32.42578125" style="2" customWidth="1"/>
    <col min="1797" max="1797" width="20.42578125" style="2" customWidth="1"/>
    <col min="1798" max="2045" width="9.5703125" style="2"/>
    <col min="2046" max="2046" width="1.42578125" style="2" customWidth="1"/>
    <col min="2047" max="2047" width="4.42578125" style="2" customWidth="1"/>
    <col min="2048" max="2048" width="53" style="2" bestFit="1" customWidth="1"/>
    <col min="2049" max="2049" width="18" style="2" customWidth="1"/>
    <col min="2050" max="2051" width="9" style="2" customWidth="1"/>
    <col min="2052" max="2052" width="32.42578125" style="2" customWidth="1"/>
    <col min="2053" max="2053" width="20.42578125" style="2" customWidth="1"/>
    <col min="2054" max="2301" width="9.5703125" style="2"/>
    <col min="2302" max="2302" width="1.42578125" style="2" customWidth="1"/>
    <col min="2303" max="2303" width="4.42578125" style="2" customWidth="1"/>
    <col min="2304" max="2304" width="53" style="2" bestFit="1" customWidth="1"/>
    <col min="2305" max="2305" width="18" style="2" customWidth="1"/>
    <col min="2306" max="2307" width="9" style="2" customWidth="1"/>
    <col min="2308" max="2308" width="32.42578125" style="2" customWidth="1"/>
    <col min="2309" max="2309" width="20.42578125" style="2" customWidth="1"/>
    <col min="2310" max="2557" width="9.5703125" style="2"/>
    <col min="2558" max="2558" width="1.42578125" style="2" customWidth="1"/>
    <col min="2559" max="2559" width="4.42578125" style="2" customWidth="1"/>
    <col min="2560" max="2560" width="53" style="2" bestFit="1" customWidth="1"/>
    <col min="2561" max="2561" width="18" style="2" customWidth="1"/>
    <col min="2562" max="2563" width="9" style="2" customWidth="1"/>
    <col min="2564" max="2564" width="32.42578125" style="2" customWidth="1"/>
    <col min="2565" max="2565" width="20.42578125" style="2" customWidth="1"/>
    <col min="2566" max="2813" width="9.5703125" style="2"/>
    <col min="2814" max="2814" width="1.42578125" style="2" customWidth="1"/>
    <col min="2815" max="2815" width="4.42578125" style="2" customWidth="1"/>
    <col min="2816" max="2816" width="53" style="2" bestFit="1" customWidth="1"/>
    <col min="2817" max="2817" width="18" style="2" customWidth="1"/>
    <col min="2818" max="2819" width="9" style="2" customWidth="1"/>
    <col min="2820" max="2820" width="32.42578125" style="2" customWidth="1"/>
    <col min="2821" max="2821" width="20.42578125" style="2" customWidth="1"/>
    <col min="2822" max="3069" width="9.5703125" style="2"/>
    <col min="3070" max="3070" width="1.42578125" style="2" customWidth="1"/>
    <col min="3071" max="3071" width="4.42578125" style="2" customWidth="1"/>
    <col min="3072" max="3072" width="53" style="2" bestFit="1" customWidth="1"/>
    <col min="3073" max="3073" width="18" style="2" customWidth="1"/>
    <col min="3074" max="3075" width="9" style="2" customWidth="1"/>
    <col min="3076" max="3076" width="32.42578125" style="2" customWidth="1"/>
    <col min="3077" max="3077" width="20.42578125" style="2" customWidth="1"/>
    <col min="3078" max="3325" width="9.5703125" style="2"/>
    <col min="3326" max="3326" width="1.42578125" style="2" customWidth="1"/>
    <col min="3327" max="3327" width="4.42578125" style="2" customWidth="1"/>
    <col min="3328" max="3328" width="53" style="2" bestFit="1" customWidth="1"/>
    <col min="3329" max="3329" width="18" style="2" customWidth="1"/>
    <col min="3330" max="3331" width="9" style="2" customWidth="1"/>
    <col min="3332" max="3332" width="32.42578125" style="2" customWidth="1"/>
    <col min="3333" max="3333" width="20.42578125" style="2" customWidth="1"/>
    <col min="3334" max="3581" width="9.5703125" style="2"/>
    <col min="3582" max="3582" width="1.42578125" style="2" customWidth="1"/>
    <col min="3583" max="3583" width="4.42578125" style="2" customWidth="1"/>
    <col min="3584" max="3584" width="53" style="2" bestFit="1" customWidth="1"/>
    <col min="3585" max="3585" width="18" style="2" customWidth="1"/>
    <col min="3586" max="3587" width="9" style="2" customWidth="1"/>
    <col min="3588" max="3588" width="32.42578125" style="2" customWidth="1"/>
    <col min="3589" max="3589" width="20.42578125" style="2" customWidth="1"/>
    <col min="3590" max="3837" width="9.5703125" style="2"/>
    <col min="3838" max="3838" width="1.42578125" style="2" customWidth="1"/>
    <col min="3839" max="3839" width="4.42578125" style="2" customWidth="1"/>
    <col min="3840" max="3840" width="53" style="2" bestFit="1" customWidth="1"/>
    <col min="3841" max="3841" width="18" style="2" customWidth="1"/>
    <col min="3842" max="3843" width="9" style="2" customWidth="1"/>
    <col min="3844" max="3844" width="32.42578125" style="2" customWidth="1"/>
    <col min="3845" max="3845" width="20.42578125" style="2" customWidth="1"/>
    <col min="3846" max="4093" width="9.5703125" style="2"/>
    <col min="4094" max="4094" width="1.42578125" style="2" customWidth="1"/>
    <col min="4095" max="4095" width="4.42578125" style="2" customWidth="1"/>
    <col min="4096" max="4096" width="53" style="2" bestFit="1" customWidth="1"/>
    <col min="4097" max="4097" width="18" style="2" customWidth="1"/>
    <col min="4098" max="4099" width="9" style="2" customWidth="1"/>
    <col min="4100" max="4100" width="32.42578125" style="2" customWidth="1"/>
    <col min="4101" max="4101" width="20.42578125" style="2" customWidth="1"/>
    <col min="4102" max="4349" width="9.5703125" style="2"/>
    <col min="4350" max="4350" width="1.42578125" style="2" customWidth="1"/>
    <col min="4351" max="4351" width="4.42578125" style="2" customWidth="1"/>
    <col min="4352" max="4352" width="53" style="2" bestFit="1" customWidth="1"/>
    <col min="4353" max="4353" width="18" style="2" customWidth="1"/>
    <col min="4354" max="4355" width="9" style="2" customWidth="1"/>
    <col min="4356" max="4356" width="32.42578125" style="2" customWidth="1"/>
    <col min="4357" max="4357" width="20.42578125" style="2" customWidth="1"/>
    <col min="4358" max="4605" width="9.5703125" style="2"/>
    <col min="4606" max="4606" width="1.42578125" style="2" customWidth="1"/>
    <col min="4607" max="4607" width="4.42578125" style="2" customWidth="1"/>
    <col min="4608" max="4608" width="53" style="2" bestFit="1" customWidth="1"/>
    <col min="4609" max="4609" width="18" style="2" customWidth="1"/>
    <col min="4610" max="4611" width="9" style="2" customWidth="1"/>
    <col min="4612" max="4612" width="32.42578125" style="2" customWidth="1"/>
    <col min="4613" max="4613" width="20.42578125" style="2" customWidth="1"/>
    <col min="4614" max="4861" width="9.5703125" style="2"/>
    <col min="4862" max="4862" width="1.42578125" style="2" customWidth="1"/>
    <col min="4863" max="4863" width="4.42578125" style="2" customWidth="1"/>
    <col min="4864" max="4864" width="53" style="2" bestFit="1" customWidth="1"/>
    <col min="4865" max="4865" width="18" style="2" customWidth="1"/>
    <col min="4866" max="4867" width="9" style="2" customWidth="1"/>
    <col min="4868" max="4868" width="32.42578125" style="2" customWidth="1"/>
    <col min="4869" max="4869" width="20.42578125" style="2" customWidth="1"/>
    <col min="4870" max="5117" width="9.5703125" style="2"/>
    <col min="5118" max="5118" width="1.42578125" style="2" customWidth="1"/>
    <col min="5119" max="5119" width="4.42578125" style="2" customWidth="1"/>
    <col min="5120" max="5120" width="53" style="2" bestFit="1" customWidth="1"/>
    <col min="5121" max="5121" width="18" style="2" customWidth="1"/>
    <col min="5122" max="5123" width="9" style="2" customWidth="1"/>
    <col min="5124" max="5124" width="32.42578125" style="2" customWidth="1"/>
    <col min="5125" max="5125" width="20.42578125" style="2" customWidth="1"/>
    <col min="5126" max="5373" width="9.5703125" style="2"/>
    <col min="5374" max="5374" width="1.42578125" style="2" customWidth="1"/>
    <col min="5375" max="5375" width="4.42578125" style="2" customWidth="1"/>
    <col min="5376" max="5376" width="53" style="2" bestFit="1" customWidth="1"/>
    <col min="5377" max="5377" width="18" style="2" customWidth="1"/>
    <col min="5378" max="5379" width="9" style="2" customWidth="1"/>
    <col min="5380" max="5380" width="32.42578125" style="2" customWidth="1"/>
    <col min="5381" max="5381" width="20.42578125" style="2" customWidth="1"/>
    <col min="5382" max="5629" width="9.5703125" style="2"/>
    <col min="5630" max="5630" width="1.42578125" style="2" customWidth="1"/>
    <col min="5631" max="5631" width="4.42578125" style="2" customWidth="1"/>
    <col min="5632" max="5632" width="53" style="2" bestFit="1" customWidth="1"/>
    <col min="5633" max="5633" width="18" style="2" customWidth="1"/>
    <col min="5634" max="5635" width="9" style="2" customWidth="1"/>
    <col min="5636" max="5636" width="32.42578125" style="2" customWidth="1"/>
    <col min="5637" max="5637" width="20.42578125" style="2" customWidth="1"/>
    <col min="5638" max="5885" width="9.5703125" style="2"/>
    <col min="5886" max="5886" width="1.42578125" style="2" customWidth="1"/>
    <col min="5887" max="5887" width="4.42578125" style="2" customWidth="1"/>
    <col min="5888" max="5888" width="53" style="2" bestFit="1" customWidth="1"/>
    <col min="5889" max="5889" width="18" style="2" customWidth="1"/>
    <col min="5890" max="5891" width="9" style="2" customWidth="1"/>
    <col min="5892" max="5892" width="32.42578125" style="2" customWidth="1"/>
    <col min="5893" max="5893" width="20.42578125" style="2" customWidth="1"/>
    <col min="5894" max="6141" width="9.5703125" style="2"/>
    <col min="6142" max="6142" width="1.42578125" style="2" customWidth="1"/>
    <col min="6143" max="6143" width="4.42578125" style="2" customWidth="1"/>
    <col min="6144" max="6144" width="53" style="2" bestFit="1" customWidth="1"/>
    <col min="6145" max="6145" width="18" style="2" customWidth="1"/>
    <col min="6146" max="6147" width="9" style="2" customWidth="1"/>
    <col min="6148" max="6148" width="32.42578125" style="2" customWidth="1"/>
    <col min="6149" max="6149" width="20.42578125" style="2" customWidth="1"/>
    <col min="6150" max="6397" width="9.5703125" style="2"/>
    <col min="6398" max="6398" width="1.42578125" style="2" customWidth="1"/>
    <col min="6399" max="6399" width="4.42578125" style="2" customWidth="1"/>
    <col min="6400" max="6400" width="53" style="2" bestFit="1" customWidth="1"/>
    <col min="6401" max="6401" width="18" style="2" customWidth="1"/>
    <col min="6402" max="6403" width="9" style="2" customWidth="1"/>
    <col min="6404" max="6404" width="32.42578125" style="2" customWidth="1"/>
    <col min="6405" max="6405" width="20.42578125" style="2" customWidth="1"/>
    <col min="6406" max="6653" width="9.5703125" style="2"/>
    <col min="6654" max="6654" width="1.42578125" style="2" customWidth="1"/>
    <col min="6655" max="6655" width="4.42578125" style="2" customWidth="1"/>
    <col min="6656" max="6656" width="53" style="2" bestFit="1" customWidth="1"/>
    <col min="6657" max="6657" width="18" style="2" customWidth="1"/>
    <col min="6658" max="6659" width="9" style="2" customWidth="1"/>
    <col min="6660" max="6660" width="32.42578125" style="2" customWidth="1"/>
    <col min="6661" max="6661" width="20.42578125" style="2" customWidth="1"/>
    <col min="6662" max="6909" width="9.5703125" style="2"/>
    <col min="6910" max="6910" width="1.42578125" style="2" customWidth="1"/>
    <col min="6911" max="6911" width="4.42578125" style="2" customWidth="1"/>
    <col min="6912" max="6912" width="53" style="2" bestFit="1" customWidth="1"/>
    <col min="6913" max="6913" width="18" style="2" customWidth="1"/>
    <col min="6914" max="6915" width="9" style="2" customWidth="1"/>
    <col min="6916" max="6916" width="32.42578125" style="2" customWidth="1"/>
    <col min="6917" max="6917" width="20.42578125" style="2" customWidth="1"/>
    <col min="6918" max="7165" width="9.5703125" style="2"/>
    <col min="7166" max="7166" width="1.42578125" style="2" customWidth="1"/>
    <col min="7167" max="7167" width="4.42578125" style="2" customWidth="1"/>
    <col min="7168" max="7168" width="53" style="2" bestFit="1" customWidth="1"/>
    <col min="7169" max="7169" width="18" style="2" customWidth="1"/>
    <col min="7170" max="7171" width="9" style="2" customWidth="1"/>
    <col min="7172" max="7172" width="32.42578125" style="2" customWidth="1"/>
    <col min="7173" max="7173" width="20.42578125" style="2" customWidth="1"/>
    <col min="7174" max="7421" width="9.5703125" style="2"/>
    <col min="7422" max="7422" width="1.42578125" style="2" customWidth="1"/>
    <col min="7423" max="7423" width="4.42578125" style="2" customWidth="1"/>
    <col min="7424" max="7424" width="53" style="2" bestFit="1" customWidth="1"/>
    <col min="7425" max="7425" width="18" style="2" customWidth="1"/>
    <col min="7426" max="7427" width="9" style="2" customWidth="1"/>
    <col min="7428" max="7428" width="32.42578125" style="2" customWidth="1"/>
    <col min="7429" max="7429" width="20.42578125" style="2" customWidth="1"/>
    <col min="7430" max="7677" width="9.5703125" style="2"/>
    <col min="7678" max="7678" width="1.42578125" style="2" customWidth="1"/>
    <col min="7679" max="7679" width="4.42578125" style="2" customWidth="1"/>
    <col min="7680" max="7680" width="53" style="2" bestFit="1" customWidth="1"/>
    <col min="7681" max="7681" width="18" style="2" customWidth="1"/>
    <col min="7682" max="7683" width="9" style="2" customWidth="1"/>
    <col min="7684" max="7684" width="32.42578125" style="2" customWidth="1"/>
    <col min="7685" max="7685" width="20.42578125" style="2" customWidth="1"/>
    <col min="7686" max="7933" width="9.5703125" style="2"/>
    <col min="7934" max="7934" width="1.42578125" style="2" customWidth="1"/>
    <col min="7935" max="7935" width="4.42578125" style="2" customWidth="1"/>
    <col min="7936" max="7936" width="53" style="2" bestFit="1" customWidth="1"/>
    <col min="7937" max="7937" width="18" style="2" customWidth="1"/>
    <col min="7938" max="7939" width="9" style="2" customWidth="1"/>
    <col min="7940" max="7940" width="32.42578125" style="2" customWidth="1"/>
    <col min="7941" max="7941" width="20.42578125" style="2" customWidth="1"/>
    <col min="7942" max="8189" width="9.5703125" style="2"/>
    <col min="8190" max="8190" width="1.42578125" style="2" customWidth="1"/>
    <col min="8191" max="8191" width="4.42578125" style="2" customWidth="1"/>
    <col min="8192" max="8192" width="53" style="2" bestFit="1" customWidth="1"/>
    <col min="8193" max="8193" width="18" style="2" customWidth="1"/>
    <col min="8194" max="8195" width="9" style="2" customWidth="1"/>
    <col min="8196" max="8196" width="32.42578125" style="2" customWidth="1"/>
    <col min="8197" max="8197" width="20.42578125" style="2" customWidth="1"/>
    <col min="8198" max="8445" width="9.5703125" style="2"/>
    <col min="8446" max="8446" width="1.42578125" style="2" customWidth="1"/>
    <col min="8447" max="8447" width="4.42578125" style="2" customWidth="1"/>
    <col min="8448" max="8448" width="53" style="2" bestFit="1" customWidth="1"/>
    <col min="8449" max="8449" width="18" style="2" customWidth="1"/>
    <col min="8450" max="8451" width="9" style="2" customWidth="1"/>
    <col min="8452" max="8452" width="32.42578125" style="2" customWidth="1"/>
    <col min="8453" max="8453" width="20.42578125" style="2" customWidth="1"/>
    <col min="8454" max="8701" width="9.5703125" style="2"/>
    <col min="8702" max="8702" width="1.42578125" style="2" customWidth="1"/>
    <col min="8703" max="8703" width="4.42578125" style="2" customWidth="1"/>
    <col min="8704" max="8704" width="53" style="2" bestFit="1" customWidth="1"/>
    <col min="8705" max="8705" width="18" style="2" customWidth="1"/>
    <col min="8706" max="8707" width="9" style="2" customWidth="1"/>
    <col min="8708" max="8708" width="32.42578125" style="2" customWidth="1"/>
    <col min="8709" max="8709" width="20.42578125" style="2" customWidth="1"/>
    <col min="8710" max="8957" width="9.5703125" style="2"/>
    <col min="8958" max="8958" width="1.42578125" style="2" customWidth="1"/>
    <col min="8959" max="8959" width="4.42578125" style="2" customWidth="1"/>
    <col min="8960" max="8960" width="53" style="2" bestFit="1" customWidth="1"/>
    <col min="8961" max="8961" width="18" style="2" customWidth="1"/>
    <col min="8962" max="8963" width="9" style="2" customWidth="1"/>
    <col min="8964" max="8964" width="32.42578125" style="2" customWidth="1"/>
    <col min="8965" max="8965" width="20.42578125" style="2" customWidth="1"/>
    <col min="8966" max="9213" width="9.5703125" style="2"/>
    <col min="9214" max="9214" width="1.42578125" style="2" customWidth="1"/>
    <col min="9215" max="9215" width="4.42578125" style="2" customWidth="1"/>
    <col min="9216" max="9216" width="53" style="2" bestFit="1" customWidth="1"/>
    <col min="9217" max="9217" width="18" style="2" customWidth="1"/>
    <col min="9218" max="9219" width="9" style="2" customWidth="1"/>
    <col min="9220" max="9220" width="32.42578125" style="2" customWidth="1"/>
    <col min="9221" max="9221" width="20.42578125" style="2" customWidth="1"/>
    <col min="9222" max="9469" width="9.5703125" style="2"/>
    <col min="9470" max="9470" width="1.42578125" style="2" customWidth="1"/>
    <col min="9471" max="9471" width="4.42578125" style="2" customWidth="1"/>
    <col min="9472" max="9472" width="53" style="2" bestFit="1" customWidth="1"/>
    <col min="9473" max="9473" width="18" style="2" customWidth="1"/>
    <col min="9474" max="9475" width="9" style="2" customWidth="1"/>
    <col min="9476" max="9476" width="32.42578125" style="2" customWidth="1"/>
    <col min="9477" max="9477" width="20.42578125" style="2" customWidth="1"/>
    <col min="9478" max="9725" width="9.5703125" style="2"/>
    <col min="9726" max="9726" width="1.42578125" style="2" customWidth="1"/>
    <col min="9727" max="9727" width="4.42578125" style="2" customWidth="1"/>
    <col min="9728" max="9728" width="53" style="2" bestFit="1" customWidth="1"/>
    <col min="9729" max="9729" width="18" style="2" customWidth="1"/>
    <col min="9730" max="9731" width="9" style="2" customWidth="1"/>
    <col min="9732" max="9732" width="32.42578125" style="2" customWidth="1"/>
    <col min="9733" max="9733" width="20.42578125" style="2" customWidth="1"/>
    <col min="9734" max="9981" width="9.5703125" style="2"/>
    <col min="9982" max="9982" width="1.42578125" style="2" customWidth="1"/>
    <col min="9983" max="9983" width="4.42578125" style="2" customWidth="1"/>
    <col min="9984" max="9984" width="53" style="2" bestFit="1" customWidth="1"/>
    <col min="9985" max="9985" width="18" style="2" customWidth="1"/>
    <col min="9986" max="9987" width="9" style="2" customWidth="1"/>
    <col min="9988" max="9988" width="32.42578125" style="2" customWidth="1"/>
    <col min="9989" max="9989" width="20.42578125" style="2" customWidth="1"/>
    <col min="9990" max="10237" width="9.5703125" style="2"/>
    <col min="10238" max="10238" width="1.42578125" style="2" customWidth="1"/>
    <col min="10239" max="10239" width="4.42578125" style="2" customWidth="1"/>
    <col min="10240" max="10240" width="53" style="2" bestFit="1" customWidth="1"/>
    <col min="10241" max="10241" width="18" style="2" customWidth="1"/>
    <col min="10242" max="10243" width="9" style="2" customWidth="1"/>
    <col min="10244" max="10244" width="32.42578125" style="2" customWidth="1"/>
    <col min="10245" max="10245" width="20.42578125" style="2" customWidth="1"/>
    <col min="10246" max="10493" width="9.5703125" style="2"/>
    <col min="10494" max="10494" width="1.42578125" style="2" customWidth="1"/>
    <col min="10495" max="10495" width="4.42578125" style="2" customWidth="1"/>
    <col min="10496" max="10496" width="53" style="2" bestFit="1" customWidth="1"/>
    <col min="10497" max="10497" width="18" style="2" customWidth="1"/>
    <col min="10498" max="10499" width="9" style="2" customWidth="1"/>
    <col min="10500" max="10500" width="32.42578125" style="2" customWidth="1"/>
    <col min="10501" max="10501" width="20.42578125" style="2" customWidth="1"/>
    <col min="10502" max="10749" width="9.5703125" style="2"/>
    <col min="10750" max="10750" width="1.42578125" style="2" customWidth="1"/>
    <col min="10751" max="10751" width="4.42578125" style="2" customWidth="1"/>
    <col min="10752" max="10752" width="53" style="2" bestFit="1" customWidth="1"/>
    <col min="10753" max="10753" width="18" style="2" customWidth="1"/>
    <col min="10754" max="10755" width="9" style="2" customWidth="1"/>
    <col min="10756" max="10756" width="32.42578125" style="2" customWidth="1"/>
    <col min="10757" max="10757" width="20.42578125" style="2" customWidth="1"/>
    <col min="10758" max="11005" width="9.5703125" style="2"/>
    <col min="11006" max="11006" width="1.42578125" style="2" customWidth="1"/>
    <col min="11007" max="11007" width="4.42578125" style="2" customWidth="1"/>
    <col min="11008" max="11008" width="53" style="2" bestFit="1" customWidth="1"/>
    <col min="11009" max="11009" width="18" style="2" customWidth="1"/>
    <col min="11010" max="11011" width="9" style="2" customWidth="1"/>
    <col min="11012" max="11012" width="32.42578125" style="2" customWidth="1"/>
    <col min="11013" max="11013" width="20.42578125" style="2" customWidth="1"/>
    <col min="11014" max="11261" width="9.5703125" style="2"/>
    <col min="11262" max="11262" width="1.42578125" style="2" customWidth="1"/>
    <col min="11263" max="11263" width="4.42578125" style="2" customWidth="1"/>
    <col min="11264" max="11264" width="53" style="2" bestFit="1" customWidth="1"/>
    <col min="11265" max="11265" width="18" style="2" customWidth="1"/>
    <col min="11266" max="11267" width="9" style="2" customWidth="1"/>
    <col min="11268" max="11268" width="32.42578125" style="2" customWidth="1"/>
    <col min="11269" max="11269" width="20.42578125" style="2" customWidth="1"/>
    <col min="11270" max="11517" width="9.5703125" style="2"/>
    <col min="11518" max="11518" width="1.42578125" style="2" customWidth="1"/>
    <col min="11519" max="11519" width="4.42578125" style="2" customWidth="1"/>
    <col min="11520" max="11520" width="53" style="2" bestFit="1" customWidth="1"/>
    <col min="11521" max="11521" width="18" style="2" customWidth="1"/>
    <col min="11522" max="11523" width="9" style="2" customWidth="1"/>
    <col min="11524" max="11524" width="32.42578125" style="2" customWidth="1"/>
    <col min="11525" max="11525" width="20.42578125" style="2" customWidth="1"/>
    <col min="11526" max="11773" width="9.5703125" style="2"/>
    <col min="11774" max="11774" width="1.42578125" style="2" customWidth="1"/>
    <col min="11775" max="11775" width="4.42578125" style="2" customWidth="1"/>
    <col min="11776" max="11776" width="53" style="2" bestFit="1" customWidth="1"/>
    <col min="11777" max="11777" width="18" style="2" customWidth="1"/>
    <col min="11778" max="11779" width="9" style="2" customWidth="1"/>
    <col min="11780" max="11780" width="32.42578125" style="2" customWidth="1"/>
    <col min="11781" max="11781" width="20.42578125" style="2" customWidth="1"/>
    <col min="11782" max="12029" width="9.5703125" style="2"/>
    <col min="12030" max="12030" width="1.42578125" style="2" customWidth="1"/>
    <col min="12031" max="12031" width="4.42578125" style="2" customWidth="1"/>
    <col min="12032" max="12032" width="53" style="2" bestFit="1" customWidth="1"/>
    <col min="12033" max="12033" width="18" style="2" customWidth="1"/>
    <col min="12034" max="12035" width="9" style="2" customWidth="1"/>
    <col min="12036" max="12036" width="32.42578125" style="2" customWidth="1"/>
    <col min="12037" max="12037" width="20.42578125" style="2" customWidth="1"/>
    <col min="12038" max="12285" width="9.5703125" style="2"/>
    <col min="12286" max="12286" width="1.42578125" style="2" customWidth="1"/>
    <col min="12287" max="12287" width="4.42578125" style="2" customWidth="1"/>
    <col min="12288" max="12288" width="53" style="2" bestFit="1" customWidth="1"/>
    <col min="12289" max="12289" width="18" style="2" customWidth="1"/>
    <col min="12290" max="12291" width="9" style="2" customWidth="1"/>
    <col min="12292" max="12292" width="32.42578125" style="2" customWidth="1"/>
    <col min="12293" max="12293" width="20.42578125" style="2" customWidth="1"/>
    <col min="12294" max="12541" width="9.5703125" style="2"/>
    <col min="12542" max="12542" width="1.42578125" style="2" customWidth="1"/>
    <col min="12543" max="12543" width="4.42578125" style="2" customWidth="1"/>
    <col min="12544" max="12544" width="53" style="2" bestFit="1" customWidth="1"/>
    <col min="12545" max="12545" width="18" style="2" customWidth="1"/>
    <col min="12546" max="12547" width="9" style="2" customWidth="1"/>
    <col min="12548" max="12548" width="32.42578125" style="2" customWidth="1"/>
    <col min="12549" max="12549" width="20.42578125" style="2" customWidth="1"/>
    <col min="12550" max="12797" width="9.5703125" style="2"/>
    <col min="12798" max="12798" width="1.42578125" style="2" customWidth="1"/>
    <col min="12799" max="12799" width="4.42578125" style="2" customWidth="1"/>
    <col min="12800" max="12800" width="53" style="2" bestFit="1" customWidth="1"/>
    <col min="12801" max="12801" width="18" style="2" customWidth="1"/>
    <col min="12802" max="12803" width="9" style="2" customWidth="1"/>
    <col min="12804" max="12804" width="32.42578125" style="2" customWidth="1"/>
    <col min="12805" max="12805" width="20.42578125" style="2" customWidth="1"/>
    <col min="12806" max="13053" width="9.5703125" style="2"/>
    <col min="13054" max="13054" width="1.42578125" style="2" customWidth="1"/>
    <col min="13055" max="13055" width="4.42578125" style="2" customWidth="1"/>
    <col min="13056" max="13056" width="53" style="2" bestFit="1" customWidth="1"/>
    <col min="13057" max="13057" width="18" style="2" customWidth="1"/>
    <col min="13058" max="13059" width="9" style="2" customWidth="1"/>
    <col min="13060" max="13060" width="32.42578125" style="2" customWidth="1"/>
    <col min="13061" max="13061" width="20.42578125" style="2" customWidth="1"/>
    <col min="13062" max="13309" width="9.5703125" style="2"/>
    <col min="13310" max="13310" width="1.42578125" style="2" customWidth="1"/>
    <col min="13311" max="13311" width="4.42578125" style="2" customWidth="1"/>
    <col min="13312" max="13312" width="53" style="2" bestFit="1" customWidth="1"/>
    <col min="13313" max="13313" width="18" style="2" customWidth="1"/>
    <col min="13314" max="13315" width="9" style="2" customWidth="1"/>
    <col min="13316" max="13316" width="32.42578125" style="2" customWidth="1"/>
    <col min="13317" max="13317" width="20.42578125" style="2" customWidth="1"/>
    <col min="13318" max="13565" width="9.5703125" style="2"/>
    <col min="13566" max="13566" width="1.42578125" style="2" customWidth="1"/>
    <col min="13567" max="13567" width="4.42578125" style="2" customWidth="1"/>
    <col min="13568" max="13568" width="53" style="2" bestFit="1" customWidth="1"/>
    <col min="13569" max="13569" width="18" style="2" customWidth="1"/>
    <col min="13570" max="13571" width="9" style="2" customWidth="1"/>
    <col min="13572" max="13572" width="32.42578125" style="2" customWidth="1"/>
    <col min="13573" max="13573" width="20.42578125" style="2" customWidth="1"/>
    <col min="13574" max="13821" width="9.5703125" style="2"/>
    <col min="13822" max="13822" width="1.42578125" style="2" customWidth="1"/>
    <col min="13823" max="13823" width="4.42578125" style="2" customWidth="1"/>
    <col min="13824" max="13824" width="53" style="2" bestFit="1" customWidth="1"/>
    <col min="13825" max="13825" width="18" style="2" customWidth="1"/>
    <col min="13826" max="13827" width="9" style="2" customWidth="1"/>
    <col min="13828" max="13828" width="32.42578125" style="2" customWidth="1"/>
    <col min="13829" max="13829" width="20.42578125" style="2" customWidth="1"/>
    <col min="13830" max="14077" width="9.5703125" style="2"/>
    <col min="14078" max="14078" width="1.42578125" style="2" customWidth="1"/>
    <col min="14079" max="14079" width="4.42578125" style="2" customWidth="1"/>
    <col min="14080" max="14080" width="53" style="2" bestFit="1" customWidth="1"/>
    <col min="14081" max="14081" width="18" style="2" customWidth="1"/>
    <col min="14082" max="14083" width="9" style="2" customWidth="1"/>
    <col min="14084" max="14084" width="32.42578125" style="2" customWidth="1"/>
    <col min="14085" max="14085" width="20.42578125" style="2" customWidth="1"/>
    <col min="14086" max="14333" width="9.5703125" style="2"/>
    <col min="14334" max="14334" width="1.42578125" style="2" customWidth="1"/>
    <col min="14335" max="14335" width="4.42578125" style="2" customWidth="1"/>
    <col min="14336" max="14336" width="53" style="2" bestFit="1" customWidth="1"/>
    <col min="14337" max="14337" width="18" style="2" customWidth="1"/>
    <col min="14338" max="14339" width="9" style="2" customWidth="1"/>
    <col min="14340" max="14340" width="32.42578125" style="2" customWidth="1"/>
    <col min="14341" max="14341" width="20.42578125" style="2" customWidth="1"/>
    <col min="14342" max="14589" width="9.5703125" style="2"/>
    <col min="14590" max="14590" width="1.42578125" style="2" customWidth="1"/>
    <col min="14591" max="14591" width="4.42578125" style="2" customWidth="1"/>
    <col min="14592" max="14592" width="53" style="2" bestFit="1" customWidth="1"/>
    <col min="14593" max="14593" width="18" style="2" customWidth="1"/>
    <col min="14594" max="14595" width="9" style="2" customWidth="1"/>
    <col min="14596" max="14596" width="32.42578125" style="2" customWidth="1"/>
    <col min="14597" max="14597" width="20.42578125" style="2" customWidth="1"/>
    <col min="14598" max="14845" width="9.5703125" style="2"/>
    <col min="14846" max="14846" width="1.42578125" style="2" customWidth="1"/>
    <col min="14847" max="14847" width="4.42578125" style="2" customWidth="1"/>
    <col min="14848" max="14848" width="53" style="2" bestFit="1" customWidth="1"/>
    <col min="14849" max="14849" width="18" style="2" customWidth="1"/>
    <col min="14850" max="14851" width="9" style="2" customWidth="1"/>
    <col min="14852" max="14852" width="32.42578125" style="2" customWidth="1"/>
    <col min="14853" max="14853" width="20.42578125" style="2" customWidth="1"/>
    <col min="14854" max="15101" width="9.5703125" style="2"/>
    <col min="15102" max="15102" width="1.42578125" style="2" customWidth="1"/>
    <col min="15103" max="15103" width="4.42578125" style="2" customWidth="1"/>
    <col min="15104" max="15104" width="53" style="2" bestFit="1" customWidth="1"/>
    <col min="15105" max="15105" width="18" style="2" customWidth="1"/>
    <col min="15106" max="15107" width="9" style="2" customWidth="1"/>
    <col min="15108" max="15108" width="32.42578125" style="2" customWidth="1"/>
    <col min="15109" max="15109" width="20.42578125" style="2" customWidth="1"/>
    <col min="15110" max="15357" width="9.5703125" style="2"/>
    <col min="15358" max="15358" width="1.42578125" style="2" customWidth="1"/>
    <col min="15359" max="15359" width="4.42578125" style="2" customWidth="1"/>
    <col min="15360" max="15360" width="53" style="2" bestFit="1" customWidth="1"/>
    <col min="15361" max="15361" width="18" style="2" customWidth="1"/>
    <col min="15362" max="15363" width="9" style="2" customWidth="1"/>
    <col min="15364" max="15364" width="32.42578125" style="2" customWidth="1"/>
    <col min="15365" max="15365" width="20.42578125" style="2" customWidth="1"/>
    <col min="15366" max="15613" width="9.5703125" style="2"/>
    <col min="15614" max="15614" width="1.42578125" style="2" customWidth="1"/>
    <col min="15615" max="15615" width="4.42578125" style="2" customWidth="1"/>
    <col min="15616" max="15616" width="53" style="2" bestFit="1" customWidth="1"/>
    <col min="15617" max="15617" width="18" style="2" customWidth="1"/>
    <col min="15618" max="15619" width="9" style="2" customWidth="1"/>
    <col min="15620" max="15620" width="32.42578125" style="2" customWidth="1"/>
    <col min="15621" max="15621" width="20.42578125" style="2" customWidth="1"/>
    <col min="15622" max="15869" width="9.5703125" style="2"/>
    <col min="15870" max="15870" width="1.42578125" style="2" customWidth="1"/>
    <col min="15871" max="15871" width="4.42578125" style="2" customWidth="1"/>
    <col min="15872" max="15872" width="53" style="2" bestFit="1" customWidth="1"/>
    <col min="15873" max="15873" width="18" style="2" customWidth="1"/>
    <col min="15874" max="15875" width="9" style="2" customWidth="1"/>
    <col min="15876" max="15876" width="32.42578125" style="2" customWidth="1"/>
    <col min="15877" max="15877" width="20.42578125" style="2" customWidth="1"/>
    <col min="15878" max="16125" width="9.5703125" style="2"/>
    <col min="16126" max="16126" width="1.42578125" style="2" customWidth="1"/>
    <col min="16127" max="16127" width="4.42578125" style="2" customWidth="1"/>
    <col min="16128" max="16128" width="53" style="2" bestFit="1" customWidth="1"/>
    <col min="16129" max="16129" width="18" style="2" customWidth="1"/>
    <col min="16130" max="16131" width="9" style="2" customWidth="1"/>
    <col min="16132" max="16132" width="32.42578125" style="2" customWidth="1"/>
    <col min="16133" max="16133" width="20.42578125" style="2" customWidth="1"/>
    <col min="16134" max="16384" width="9.5703125" style="2"/>
  </cols>
  <sheetData>
    <row r="1" spans="2:6" ht="15.75" x14ac:dyDescent="0.25">
      <c r="B1" s="1492"/>
      <c r="C1" s="1492"/>
      <c r="D1" s="1"/>
    </row>
    <row r="2" spans="2:6" ht="15.75" x14ac:dyDescent="0.25">
      <c r="B2" s="1493" t="s">
        <v>68</v>
      </c>
      <c r="C2" s="1493"/>
      <c r="D2" s="1493"/>
    </row>
    <row r="3" spans="2:6" ht="14.25" customHeight="1" x14ac:dyDescent="0.25">
      <c r="B3" s="3"/>
      <c r="C3" s="4"/>
      <c r="D3" s="1"/>
    </row>
    <row r="4" spans="2:6" ht="15.75" x14ac:dyDescent="0.25">
      <c r="B4" s="1493" t="s">
        <v>69</v>
      </c>
      <c r="C4" s="1493"/>
      <c r="D4" s="1493"/>
    </row>
    <row r="5" spans="2:6" ht="15.75" thickBot="1" x14ac:dyDescent="0.3">
      <c r="B5" s="3"/>
      <c r="C5" s="1"/>
      <c r="D5" s="1"/>
    </row>
    <row r="6" spans="2:6" x14ac:dyDescent="0.25">
      <c r="B6" s="875" t="s">
        <v>70</v>
      </c>
      <c r="C6" s="876"/>
      <c r="D6" s="5" t="s">
        <v>71</v>
      </c>
      <c r="E6" s="5" t="s">
        <v>72</v>
      </c>
      <c r="F6" s="5" t="s">
        <v>73</v>
      </c>
    </row>
    <row r="7" spans="2:6" x14ac:dyDescent="0.25">
      <c r="B7" s="865" t="s">
        <v>74</v>
      </c>
      <c r="C7" s="6"/>
      <c r="D7" s="1167">
        <f>SUM(D8:D11)</f>
        <v>0</v>
      </c>
      <c r="E7" s="1167">
        <f>SUM(E8:E11)</f>
        <v>0</v>
      </c>
      <c r="F7" s="1162"/>
    </row>
    <row r="8" spans="2:6" ht="25.5" x14ac:dyDescent="0.25">
      <c r="B8" s="874" t="s">
        <v>75</v>
      </c>
      <c r="C8" s="12"/>
      <c r="D8" s="13"/>
      <c r="E8" s="13"/>
      <c r="F8" s="1163"/>
    </row>
    <row r="9" spans="2:6" ht="25.5" x14ac:dyDescent="0.25">
      <c r="B9" s="874" t="s">
        <v>76</v>
      </c>
      <c r="C9" s="12"/>
      <c r="D9" s="13">
        <f>'Tracker Supply'!S17-'Per AB'!D10+'Tracker Supply'!S30+'FX Supply'!S20+'Tracker Supply'!S26</f>
        <v>0</v>
      </c>
      <c r="E9" s="13">
        <f>'Tracker Supply'!S18-'Per AB'!D11+'Tracker Supply'!S31+'FX Supply'!S21+'Tracker Supply'!S27</f>
        <v>0</v>
      </c>
      <c r="F9" s="1163"/>
    </row>
    <row r="10" spans="2:6" x14ac:dyDescent="0.25">
      <c r="B10" s="867" t="s">
        <v>77</v>
      </c>
      <c r="C10" s="12"/>
      <c r="D10" s="13">
        <f>+SUMIF('Tracker Supply'!F21:F23,"Mandatory",'Tracker Supply'!S21:S23)+SUMIF('FX Supply'!F10:F12,"Mandatory",'FX Supply'!S10:S12)</f>
        <v>0</v>
      </c>
      <c r="E10" s="13">
        <f>+SUMIF('Tracker Supply'!F21:F23,"optional",'Tracker Supply'!S21:S23)+SUMIF('FX Supply'!F10:F12,"optional",'FX Supply'!S10:S12)</f>
        <v>0</v>
      </c>
      <c r="F10" s="1163"/>
    </row>
    <row r="11" spans="2:6" x14ac:dyDescent="0.25">
      <c r="B11" s="866" t="s">
        <v>78</v>
      </c>
      <c r="C11" s="12"/>
      <c r="D11" s="13">
        <f>'Tracker Supply'!S58+'FX Supply'!S35</f>
        <v>0</v>
      </c>
      <c r="E11" s="13">
        <f>+'Tracker Supply'!S59+'FX Supply'!S36</f>
        <v>0</v>
      </c>
      <c r="F11" s="1163"/>
    </row>
    <row r="12" spans="2:6" x14ac:dyDescent="0.25">
      <c r="B12" s="873" t="s">
        <v>79</v>
      </c>
      <c r="C12" s="12"/>
      <c r="D12" s="1166">
        <f>D13+D40</f>
        <v>4637409.6468830807</v>
      </c>
      <c r="E12" s="1166">
        <f>E13+E40</f>
        <v>2292760.0382813942</v>
      </c>
      <c r="F12" s="1163"/>
    </row>
    <row r="13" spans="2:6" x14ac:dyDescent="0.25">
      <c r="B13" s="872" t="s">
        <v>80</v>
      </c>
      <c r="C13" s="12"/>
      <c r="D13" s="1166">
        <f>D14+D18+D30+D34</f>
        <v>2092956.9859216472</v>
      </c>
      <c r="E13" s="1166">
        <f>E14+E18+E30+E34</f>
        <v>1558892.4689309981</v>
      </c>
      <c r="F13" s="1163"/>
    </row>
    <row r="14" spans="2:6" x14ac:dyDescent="0.25">
      <c r="B14" s="867" t="s">
        <v>81</v>
      </c>
      <c r="C14" s="12"/>
      <c r="D14" s="13">
        <f>D15+D16+D17</f>
        <v>426070.61087089131</v>
      </c>
      <c r="E14" s="13">
        <f>E15+E16+E17</f>
        <v>0</v>
      </c>
      <c r="F14" s="1163"/>
    </row>
    <row r="15" spans="2:6" outlineLevel="1" x14ac:dyDescent="0.25">
      <c r="B15" s="1271" t="s">
        <v>82</v>
      </c>
      <c r="C15" s="1186"/>
      <c r="D15" s="1187">
        <f>EMBOP_CI!S6+EMBOP_SI!S6</f>
        <v>62001.367050825145</v>
      </c>
      <c r="E15" s="1187">
        <f>EMBOP_CI!S7+EMBOP_SI!S7</f>
        <v>0</v>
      </c>
      <c r="F15" s="1187"/>
    </row>
    <row r="16" spans="2:6" outlineLevel="1" x14ac:dyDescent="0.25">
      <c r="B16" s="1271" t="s">
        <v>83</v>
      </c>
      <c r="C16" s="1186"/>
      <c r="D16" s="1187">
        <f>EMBOP_CI!S48+EMBOP_SI!S48</f>
        <v>356343.92580736207</v>
      </c>
      <c r="E16" s="1187">
        <f>EMBOP_CI!S49+EMBOP_SI!S49</f>
        <v>0</v>
      </c>
      <c r="F16" s="1187"/>
    </row>
    <row r="17" spans="2:5" outlineLevel="1" x14ac:dyDescent="0.25">
      <c r="B17" s="1271" t="s">
        <v>84</v>
      </c>
      <c r="C17" s="1186"/>
      <c r="D17" s="1187">
        <f>EMBOP_CI!S88+EMBOP_SI!S88</f>
        <v>7725.3180127040778</v>
      </c>
      <c r="E17" s="1187">
        <f>EMBOP_CI!S89+EMBOP_SI!S89</f>
        <v>0</v>
      </c>
    </row>
    <row r="18" spans="2:5" x14ac:dyDescent="0.25">
      <c r="B18" s="867" t="s">
        <v>85</v>
      </c>
      <c r="C18" s="12"/>
      <c r="D18" s="13">
        <f>SUM(D19:D29)</f>
        <v>454205.74937081535</v>
      </c>
      <c r="E18" s="13">
        <f>SUM(E19:E29)</f>
        <v>1523346.7675400993</v>
      </c>
    </row>
    <row r="19" spans="2:5" outlineLevel="1" x14ac:dyDescent="0.25">
      <c r="B19" s="1271" t="s">
        <v>86</v>
      </c>
      <c r="C19" s="1186"/>
      <c r="D19" s="1187">
        <f>EMBOP_CI!S8+EMBOP_SI!S8</f>
        <v>33552.026699096845</v>
      </c>
      <c r="E19" s="1187">
        <f>EMBOP_CI!S9+EMBOP_SI!S9</f>
        <v>0</v>
      </c>
    </row>
    <row r="20" spans="2:5" outlineLevel="1" x14ac:dyDescent="0.25">
      <c r="B20" s="1271" t="s">
        <v>87</v>
      </c>
      <c r="C20" s="1186"/>
      <c r="D20" s="1187">
        <f>EMBOP_CI!S50+EMBOP_SI!S50</f>
        <v>201724.28673586762</v>
      </c>
      <c r="E20" s="1187">
        <f>EMBOP_CI!S51+EMBOP_SI!S51</f>
        <v>0</v>
      </c>
    </row>
    <row r="21" spans="2:5" outlineLevel="1" x14ac:dyDescent="0.25">
      <c r="B21" s="1271" t="s">
        <v>88</v>
      </c>
      <c r="C21" s="1186"/>
      <c r="D21" s="1187">
        <f>EMBOP_CI!S90+EMBOP_SI!S90</f>
        <v>15052.990127023118</v>
      </c>
      <c r="E21" s="1187">
        <f>EMBOP_CI!S91+EMBOP_SI!S91</f>
        <v>0</v>
      </c>
    </row>
    <row r="22" spans="2:5" outlineLevel="1" x14ac:dyDescent="0.25">
      <c r="B22" s="1271" t="s">
        <v>89</v>
      </c>
      <c r="C22" s="1186"/>
      <c r="D22" s="1187">
        <f>EMBOP_CI!S117+EMBOP_SI!S117</f>
        <v>68413.30018733014</v>
      </c>
      <c r="E22" s="1187">
        <f>EMBOP_CI!S118+EMBOP_SI!S118</f>
        <v>0</v>
      </c>
    </row>
    <row r="23" spans="2:5" outlineLevel="1" x14ac:dyDescent="0.25">
      <c r="B23" s="1271" t="s">
        <v>90</v>
      </c>
      <c r="C23" s="1186"/>
      <c r="D23" s="1187">
        <f>EMBOP_CI!S173+EMBOP_SI!S175</f>
        <v>11379.997749834996</v>
      </c>
      <c r="E23" s="1187">
        <f>EMBOP_CI!S174+EMBOP_SI!S176</f>
        <v>0</v>
      </c>
    </row>
    <row r="24" spans="2:5" outlineLevel="1" x14ac:dyDescent="0.25">
      <c r="B24" s="1271" t="s">
        <v>91</v>
      </c>
      <c r="C24" s="1186"/>
      <c r="D24" s="1187">
        <f>EMBOP_CI!S193+EMBOP_SI!S198</f>
        <v>0</v>
      </c>
      <c r="E24" s="1187">
        <f>EMBOP_CI!S194+EMBOP_SI!S199</f>
        <v>0</v>
      </c>
    </row>
    <row r="25" spans="2:5" outlineLevel="1" x14ac:dyDescent="0.25">
      <c r="B25" s="1271" t="s">
        <v>92</v>
      </c>
      <c r="C25" s="1186"/>
      <c r="D25" s="1187">
        <f>EMBOP_CI!S240+EMBOP_SI!S247</f>
        <v>0</v>
      </c>
      <c r="E25" s="1187">
        <f>EMBOP_CI!S241+EMBOP_SI!S248</f>
        <v>58862.057326732735</v>
      </c>
    </row>
    <row r="26" spans="2:5" outlineLevel="1" x14ac:dyDescent="0.25">
      <c r="B26" s="1272" t="s">
        <v>93</v>
      </c>
      <c r="C26" s="1186"/>
      <c r="D26" s="1187">
        <f>EMBOP_CI!S134+EMBOP_SI!S134</f>
        <v>2877.7005804180449</v>
      </c>
      <c r="E26" s="1187">
        <f>EMBOP_CI!S135+EMBOP_SI!S135</f>
        <v>0</v>
      </c>
    </row>
    <row r="27" spans="2:5" outlineLevel="1" x14ac:dyDescent="0.25">
      <c r="B27" s="1272" t="s">
        <v>94</v>
      </c>
      <c r="C27" s="1186"/>
      <c r="D27" s="1187">
        <f>EMBOP_CI!S142+EMBOP_SI!S142</f>
        <v>0</v>
      </c>
      <c r="E27" s="1187">
        <f>EMBOP_CI!S143+EMBOP_SI!S143</f>
        <v>654.02285918591929</v>
      </c>
    </row>
    <row r="28" spans="2:5" outlineLevel="1" x14ac:dyDescent="0.25">
      <c r="B28" s="1271" t="s">
        <v>95</v>
      </c>
      <c r="C28" s="1186"/>
      <c r="D28" s="1187">
        <f>EMBOP_CI!S176+EMBOP_SI!S178</f>
        <v>26160.914367436773</v>
      </c>
      <c r="E28" s="1187">
        <f>EMBOP_CI!S177+EMBOP_SI!S179</f>
        <v>0</v>
      </c>
    </row>
    <row r="29" spans="2:5" outlineLevel="1" x14ac:dyDescent="0.25">
      <c r="B29" s="1272" t="s">
        <v>96</v>
      </c>
      <c r="C29" s="1186"/>
      <c r="D29" s="1187">
        <f>Miscellaneous!S88+'SI Supply'!S21+'PCU Supply'!S53+'TC Supply'!S46+EMBOP_CI!S10+EMBOP_CI!S52+EMBOP_CI!S92+EMBOP_CI!S119+EMBOP_CI!S155+EMBOP_CI!S200+EMBOP_SI!S10+EMBOP_SI!S52+EMBOP_SI!S92+EMBOP_SI!S119+EMBOP_SI!S157+EMBOP_SI!S211</f>
        <v>95044.532923807797</v>
      </c>
      <c r="E29" s="1187">
        <f>Miscellaneous!S84+'SI Supply'!S17+'PCU Supply'!S49+'TC Supply'!S42+EMBOP_CI!S6+EMBOP_CI!S48+EMBOP_CI!S88+EMBOP_CI!S115+EMBOP_CI!S151+EMBOP_CI!S196+EMBOP_SI!S6+EMBOP_SI!S48+EMBOP_SI!S88+EMBOP_SI!S115+EMBOP_SI!S153+EMBOP_SI!S207</f>
        <v>1463830.6873541807</v>
      </c>
    </row>
    <row r="30" spans="2:5" x14ac:dyDescent="0.25">
      <c r="B30" s="868" t="s">
        <v>97</v>
      </c>
      <c r="C30" s="12"/>
      <c r="D30" s="13">
        <f>SUM(D31:D33)</f>
        <v>805824.79404272535</v>
      </c>
      <c r="E30" s="13">
        <f>SUM(E31:E33)</f>
        <v>0</v>
      </c>
    </row>
    <row r="31" spans="2:5" outlineLevel="1" x14ac:dyDescent="0.25">
      <c r="B31" s="1271" t="s">
        <v>98</v>
      </c>
      <c r="C31" s="1186"/>
      <c r="D31" s="1187">
        <f>EMBOP_CI!S176+EMBOP_SI!S178</f>
        <v>26160.914367436773</v>
      </c>
      <c r="E31" s="1187">
        <f>EMBOP_CI!S177+EMBOP_SI!S179</f>
        <v>0</v>
      </c>
    </row>
    <row r="32" spans="2:5" outlineLevel="1" x14ac:dyDescent="0.25">
      <c r="B32" s="1271" t="s">
        <v>99</v>
      </c>
      <c r="C32" s="1186"/>
      <c r="D32" s="1187">
        <f>EMBOP_CI!S196+EMBOP_SI!S207</f>
        <v>779663.87967528857</v>
      </c>
      <c r="E32" s="1187">
        <f>EMBOP_CI!S197+EMBOP_SI!S208</f>
        <v>0</v>
      </c>
    </row>
    <row r="33" spans="2:6" outlineLevel="1" x14ac:dyDescent="0.25">
      <c r="B33" s="1271" t="s">
        <v>100</v>
      </c>
      <c r="C33" s="1186"/>
      <c r="D33" s="1187">
        <f>EMBOP_CI!S243+EMBOP_SI!S250</f>
        <v>0</v>
      </c>
      <c r="E33" s="1187">
        <f>EMBOP_CI!S244+EMBOP_SI!S251</f>
        <v>0</v>
      </c>
      <c r="F33" s="1187"/>
    </row>
    <row r="34" spans="2:6" x14ac:dyDescent="0.25">
      <c r="B34" s="870" t="s">
        <v>101</v>
      </c>
      <c r="C34" s="12"/>
      <c r="D34" s="13">
        <f>SUM(D35:D39)</f>
        <v>406855.8316372151</v>
      </c>
      <c r="E34" s="13">
        <f>SUM(E35:E39)</f>
        <v>35545.701390898837</v>
      </c>
      <c r="F34" s="1163"/>
    </row>
    <row r="35" spans="2:6" outlineLevel="1" x14ac:dyDescent="0.25">
      <c r="B35" s="1271" t="s">
        <v>102</v>
      </c>
      <c r="C35" s="1186"/>
      <c r="D35" s="1187">
        <f>EMBOP_CI!S115+EMBOP_SI!S115</f>
        <v>99869.380803521693</v>
      </c>
      <c r="E35" s="1187">
        <f>EMBOP_CI!S116+EMBOP_SI!S116</f>
        <v>0</v>
      </c>
      <c r="F35" s="1187"/>
    </row>
    <row r="36" spans="2:6" outlineLevel="2" x14ac:dyDescent="0.25">
      <c r="B36" s="1272" t="s">
        <v>93</v>
      </c>
      <c r="C36" s="1186"/>
      <c r="D36" s="1187">
        <f>EMBOP_CI!S143+EMBOP_SI!S143</f>
        <v>654.02285918591929</v>
      </c>
      <c r="E36" s="1187">
        <f>EMBOP_CI!S144+EMBOP_SI!S144</f>
        <v>7500</v>
      </c>
      <c r="F36" s="1187"/>
    </row>
    <row r="37" spans="2:6" outlineLevel="2" x14ac:dyDescent="0.25">
      <c r="B37" s="1272" t="s">
        <v>103</v>
      </c>
      <c r="C37" s="1186"/>
      <c r="D37" s="1187">
        <f>EMBOP_CI!S151+EMBOP_SI!S153</f>
        <v>154022.38333828401</v>
      </c>
      <c r="E37" s="1187">
        <f>EMBOP_CI!S152+EMBOP_SI!S154</f>
        <v>0</v>
      </c>
      <c r="F37" s="1187"/>
    </row>
    <row r="38" spans="2:6" outlineLevel="2" x14ac:dyDescent="0.25">
      <c r="B38" s="1272" t="s">
        <v>104</v>
      </c>
      <c r="C38" s="1186"/>
      <c r="D38" s="1187">
        <f>SUMIF(Miscellaneous!F26:F31,"Mandatory",Miscellaneous!S26:S31)+'SI Supply'!S11+'PCU Supply'!S12</f>
        <v>152310.04463622349</v>
      </c>
      <c r="E38" s="1187">
        <f>SUMIF(Miscellaneous!F27:F32,"Mandatory",Miscellaneous!S27:S32)+'SI Supply'!S12+'PCU Supply'!S13</f>
        <v>28045.701390898837</v>
      </c>
      <c r="F38" s="1187"/>
    </row>
    <row r="39" spans="2:6" outlineLevel="2" x14ac:dyDescent="0.25">
      <c r="B39" s="1271" t="s">
        <v>105</v>
      </c>
      <c r="C39" s="1186"/>
      <c r="D39" s="1187">
        <f>EMBOP_CI!S185+EMBOP_SI!S187</f>
        <v>0</v>
      </c>
      <c r="E39" s="1187">
        <f>EMBOP_CI!S186+EMBOP_SI!S188</f>
        <v>0</v>
      </c>
      <c r="F39" s="1187"/>
    </row>
    <row r="40" spans="2:6" x14ac:dyDescent="0.25">
      <c r="B40" s="871" t="s">
        <v>106</v>
      </c>
      <c r="C40" s="12"/>
      <c r="D40" s="1166">
        <f>D41+D42+D43+D44+D45+D46+D47+D48+D49+D50+D51+D52+D53+D54+D55</f>
        <v>2544452.6609614333</v>
      </c>
      <c r="E40" s="1166">
        <f>E41+E42+E43+E44+E45+E46+E47+E48+E49+E50+E51+E52+E53+E54+E55</f>
        <v>733867.56935039628</v>
      </c>
      <c r="F40" s="1163"/>
    </row>
    <row r="41" spans="2:6" x14ac:dyDescent="0.25">
      <c r="B41" s="867" t="s">
        <v>107</v>
      </c>
      <c r="C41" s="12"/>
      <c r="D41" s="13"/>
      <c r="E41" s="13"/>
      <c r="F41" s="1163"/>
    </row>
    <row r="42" spans="2:6" x14ac:dyDescent="0.25">
      <c r="B42" s="866" t="s">
        <v>108</v>
      </c>
      <c r="C42" s="12"/>
      <c r="D42" s="13"/>
      <c r="E42" s="13">
        <f>+'Civil Works'!V192</f>
        <v>0</v>
      </c>
      <c r="F42" s="1163"/>
    </row>
    <row r="43" spans="2:6" x14ac:dyDescent="0.25">
      <c r="B43" s="870" t="s">
        <v>109</v>
      </c>
      <c r="C43" s="12"/>
      <c r="D43" s="13">
        <f>'Civil Works'!V16+'Civil Works'!V17+'Civil Works'!V18+'Civil Works'!V20+'Civil Works'!V21+'Civil Works'!V22+'Civil Works'!V23+'Civil Works'!V12</f>
        <v>138400.56300534468</v>
      </c>
      <c r="E43" s="13"/>
      <c r="F43" s="1163"/>
    </row>
    <row r="44" spans="2:6" x14ac:dyDescent="0.25">
      <c r="B44" s="867" t="s">
        <v>110</v>
      </c>
      <c r="C44" s="12"/>
      <c r="D44" s="13">
        <f>'Civil Works'!V189</f>
        <v>162502.81902753413</v>
      </c>
      <c r="E44" s="13"/>
      <c r="F44" s="1163"/>
    </row>
    <row r="45" spans="2:6" x14ac:dyDescent="0.25">
      <c r="B45" s="866" t="s">
        <v>111</v>
      </c>
      <c r="C45" s="12"/>
      <c r="D45" s="13">
        <f>+'Civil Works'!V72</f>
        <v>126274.80951446218</v>
      </c>
      <c r="E45" s="13"/>
      <c r="F45" s="1163"/>
    </row>
    <row r="46" spans="2:6" x14ac:dyDescent="0.25">
      <c r="B46" s="866" t="s">
        <v>112</v>
      </c>
      <c r="C46" s="12"/>
      <c r="D46" s="13">
        <f>+'Civil Works'!V125+'Civil Works'!V124</f>
        <v>96873.865902618374</v>
      </c>
      <c r="E46" s="13"/>
      <c r="F46" s="1163"/>
    </row>
    <row r="47" spans="2:6" x14ac:dyDescent="0.25">
      <c r="B47" s="868" t="s">
        <v>113</v>
      </c>
      <c r="C47" s="12"/>
      <c r="D47" s="13">
        <f>+Miscellaneous!S75</f>
        <v>368607.28343718417</v>
      </c>
      <c r="E47" s="13">
        <f>+Miscellaneous!S76</f>
        <v>4204.4326661951955</v>
      </c>
      <c r="F47" s="1163"/>
    </row>
    <row r="48" spans="2:6" x14ac:dyDescent="0.25">
      <c r="B48" s="867" t="s">
        <v>114</v>
      </c>
      <c r="C48" s="12"/>
      <c r="D48" s="13"/>
      <c r="E48" s="13">
        <f>+'ACCESS ROADS'!T107</f>
        <v>464173.10362143064</v>
      </c>
      <c r="F48" s="1163"/>
    </row>
    <row r="49" spans="2:6" x14ac:dyDescent="0.25">
      <c r="B49" s="867" t="s">
        <v>115</v>
      </c>
      <c r="C49" s="12"/>
      <c r="D49" s="13">
        <f>+'Civil Works'!V15+'Civil Works'!V19+'Civil Works'!V25+'Civil Works'!V26+'Civil Works'!V27+'Civil Works'!V28+'Civil Works'!V29+'Civil Works'!V30</f>
        <v>251909.98467264054</v>
      </c>
      <c r="E49" s="13"/>
      <c r="F49" s="1163"/>
    </row>
    <row r="50" spans="2:6" x14ac:dyDescent="0.25">
      <c r="B50" s="867" t="s">
        <v>116</v>
      </c>
      <c r="C50" s="12"/>
      <c r="D50" s="13">
        <f>+'Civil Works'!V107+Miscellaneous!S6</f>
        <v>257492.89741977368</v>
      </c>
      <c r="E50" s="13"/>
      <c r="F50" s="1163"/>
    </row>
    <row r="51" spans="2:6" ht="47.25" customHeight="1" x14ac:dyDescent="0.25">
      <c r="B51" s="869" t="s">
        <v>117</v>
      </c>
      <c r="C51" s="12"/>
      <c r="D51" s="13">
        <f>'EMBOP-TRK Install.'!S6+'Tracker Supply'!S17+'Tracker Supply'!S54+'EMBOP-FX Install.'!S6+'FX Supply'!S6+'FX Supply'!S20+'FX Supply'!S32</f>
        <v>450547.2343887118</v>
      </c>
      <c r="E51" s="13">
        <f>'EMBOP-TRK Install.'!S7+'Tracker Supply'!S18+'Tracker Supply'!S55+'EMBOP-FX Install.'!S7+'FX Supply'!S7+'FX Supply'!S21+'FX Supply'!S33</f>
        <v>0</v>
      </c>
      <c r="F51" s="1163"/>
    </row>
    <row r="52" spans="2:6" x14ac:dyDescent="0.25">
      <c r="B52" s="867" t="s">
        <v>118</v>
      </c>
      <c r="C52" s="12"/>
      <c r="D52" s="13">
        <f>+'Civil Works'!V103</f>
        <v>49410.11896577783</v>
      </c>
      <c r="E52" s="13"/>
      <c r="F52" s="1163"/>
    </row>
    <row r="53" spans="2:6" x14ac:dyDescent="0.25">
      <c r="B53" s="867" t="s">
        <v>119</v>
      </c>
      <c r="C53" s="12"/>
      <c r="D53" s="13">
        <f>+'O&amp;M building'!S14+'O&amp;M building'!S19</f>
        <v>0</v>
      </c>
      <c r="E53" s="13">
        <f>+'O&amp;M building'!S15+'O&amp;M building'!S20</f>
        <v>0</v>
      </c>
      <c r="F53" s="1163"/>
    </row>
    <row r="54" spans="2:6" x14ac:dyDescent="0.25">
      <c r="B54" s="867" t="s">
        <v>120</v>
      </c>
      <c r="C54" s="12"/>
      <c r="D54" s="13">
        <f>+'Civil Works'!V120+'Civil Works'!V13+Miscellaneous!S44+Miscellaneous!S36</f>
        <v>29888.844664796517</v>
      </c>
      <c r="E54" s="13">
        <f>+Miscellaneous!S37+Miscellaneous!S45</f>
        <v>130804.57183718386</v>
      </c>
      <c r="F54" s="1165"/>
    </row>
    <row r="55" spans="2:6" x14ac:dyDescent="0.25">
      <c r="B55" s="868" t="s">
        <v>121</v>
      </c>
      <c r="C55" s="12"/>
      <c r="D55" s="13">
        <f>SUM(D56:D67)</f>
        <v>612544.23996258946</v>
      </c>
      <c r="E55" s="13">
        <f>SUM(E56:E67)</f>
        <v>134685.46122558656</v>
      </c>
      <c r="F55" s="1163"/>
    </row>
    <row r="56" spans="2:6" s="1188" customFormat="1" ht="13.9" customHeight="1" outlineLevel="1" x14ac:dyDescent="0.2">
      <c r="B56" s="1185" t="s">
        <v>107</v>
      </c>
      <c r="C56" s="1186"/>
      <c r="D56" s="1187">
        <f>+SUM('Civil Works'!V112:V118)+'Civil Works'!V121+'Civil Works'!V122+'Civil Works'!V123+'Civil Works'!V198</f>
        <v>15565.74404862488</v>
      </c>
      <c r="E56" s="1187"/>
      <c r="F56" s="1184"/>
    </row>
    <row r="57" spans="2:6" s="1188" customFormat="1" ht="13.9" customHeight="1" outlineLevel="1" x14ac:dyDescent="0.2">
      <c r="B57" s="1185" t="s">
        <v>122</v>
      </c>
      <c r="C57" s="1186"/>
      <c r="D57" s="1187">
        <f>SUMIF(Miscellaneous!F19:F25,"Mandatory",Miscellaneous!S19:S25)+'FX Supply'!S16</f>
        <v>131382.99182256282</v>
      </c>
      <c r="E57" s="1187">
        <f>SUMIF(Miscellaneous!F19:F25,"Mandatory",Miscellaneous!S19:S25)+'FX Supply'!S17</f>
        <v>131382.99182256282</v>
      </c>
      <c r="F57" s="1184"/>
    </row>
    <row r="58" spans="2:6" s="1188" customFormat="1" ht="13.9" customHeight="1" outlineLevel="1" x14ac:dyDescent="0.2">
      <c r="B58" s="1185" t="s">
        <v>123</v>
      </c>
      <c r="C58" s="1186"/>
      <c r="D58" s="1187">
        <f>Process!S6</f>
        <v>0</v>
      </c>
      <c r="E58" s="1187">
        <f>Process!S7</f>
        <v>0</v>
      </c>
      <c r="F58" s="1184"/>
    </row>
    <row r="59" spans="2:6" s="1188" customFormat="1" ht="13.9" customHeight="1" outlineLevel="1" x14ac:dyDescent="0.2">
      <c r="B59" s="1185" t="s">
        <v>124</v>
      </c>
      <c r="C59" s="1186"/>
      <c r="D59" s="1187">
        <f>Process!S33</f>
        <v>0</v>
      </c>
      <c r="E59" s="1187">
        <f>Process!S34</f>
        <v>0</v>
      </c>
      <c r="F59" s="1184"/>
    </row>
    <row r="60" spans="2:6" s="1188" customFormat="1" ht="13.9" customHeight="1" outlineLevel="1" x14ac:dyDescent="0.2">
      <c r="B60" s="1185" t="s">
        <v>125</v>
      </c>
      <c r="C60" s="1186"/>
      <c r="D60" s="1187">
        <f>Process!S81</f>
        <v>0</v>
      </c>
      <c r="E60" s="1187">
        <f>Process!S82</f>
        <v>0</v>
      </c>
      <c r="F60" s="1184"/>
    </row>
    <row r="61" spans="2:6" s="1188" customFormat="1" ht="13.9" customHeight="1" outlineLevel="1" x14ac:dyDescent="0.2">
      <c r="B61" s="1185" t="s">
        <v>126</v>
      </c>
      <c r="C61" s="1186"/>
      <c r="D61" s="1187">
        <f>Process!S111</f>
        <v>0</v>
      </c>
      <c r="E61" s="1187">
        <f>Process!S112</f>
        <v>0</v>
      </c>
      <c r="F61" s="1184"/>
    </row>
    <row r="62" spans="2:6" s="1188" customFormat="1" ht="13.9" customHeight="1" outlineLevel="1" x14ac:dyDescent="0.2">
      <c r="B62" s="1185" t="s">
        <v>127</v>
      </c>
      <c r="C62" s="1186"/>
      <c r="D62" s="1187">
        <f>Process!S127+Process!S170+Process!S186</f>
        <v>0</v>
      </c>
      <c r="E62" s="1187">
        <f>Process!S128+Process!S171+Process!S187</f>
        <v>0</v>
      </c>
      <c r="F62" s="1184"/>
    </row>
    <row r="63" spans="2:6" s="1188" customFormat="1" ht="13.9" customHeight="1" outlineLevel="1" x14ac:dyDescent="0.2">
      <c r="B63" s="1185" t="s">
        <v>128</v>
      </c>
      <c r="C63" s="1186"/>
      <c r="D63" s="1187">
        <f>Process!S194</f>
        <v>0</v>
      </c>
      <c r="E63" s="1187">
        <f>Process!S195</f>
        <v>0</v>
      </c>
      <c r="F63" s="1184"/>
    </row>
    <row r="64" spans="2:6" s="1188" customFormat="1" ht="13.9" customHeight="1" outlineLevel="1" x14ac:dyDescent="0.2">
      <c r="B64" s="1185" t="s">
        <v>129</v>
      </c>
      <c r="C64" s="1186"/>
      <c r="D64" s="1187">
        <f>'HSE (ITA ESP)'!S6</f>
        <v>70000</v>
      </c>
      <c r="E64" s="1187"/>
      <c r="F64" s="1184" t="s">
        <v>130</v>
      </c>
    </row>
    <row r="65" spans="2:6" s="1188" customFormat="1" ht="13.9" customHeight="1" outlineLevel="1" x14ac:dyDescent="0.2">
      <c r="B65" s="1185" t="s">
        <v>131</v>
      </c>
      <c r="C65" s="1186"/>
      <c r="D65" s="1187">
        <f>'HSE (ITA ESP)'!S8+'HSE (ITA ESP)'!S11+'HSE (ITA ESP)'!S15+'HSE (ITA ESP)'!S19</f>
        <v>23544.822930693095</v>
      </c>
      <c r="E65" s="1187">
        <f>'HSE (ITA ESP)'!S9+'HSE (ITA ESP)'!S12+'HSE (ITA ESP)'!S16+'HSE (ITA ESP)'!S20</f>
        <v>0</v>
      </c>
      <c r="F65" s="1184"/>
    </row>
    <row r="66" spans="2:6" s="1188" customFormat="1" ht="13.9" customHeight="1" outlineLevel="1" x14ac:dyDescent="0.2">
      <c r="B66" s="1185" t="str">
        <f>+'Labour rates-Mach rental rates'!B5</f>
        <v>Labour rates-Machine rental rates</v>
      </c>
      <c r="C66" s="1186"/>
      <c r="D66" s="1187">
        <f>+'Labour rates-Mach rental rates'!J5</f>
        <v>0</v>
      </c>
      <c r="E66" s="1187">
        <f>+'Labour rates-Mach rental rates'!J6</f>
        <v>0</v>
      </c>
      <c r="F66" s="1184"/>
    </row>
    <row r="67" spans="2:6" s="1188" customFormat="1" ht="13.9" customHeight="1" outlineLevel="1" x14ac:dyDescent="0.2">
      <c r="B67" s="1185" t="str">
        <f>Miscellaneous!B58</f>
        <v>PERSONNEL</v>
      </c>
      <c r="C67" s="1186"/>
      <c r="D67" s="1187">
        <f>Miscellaneous!S58</f>
        <v>372050.6811607086</v>
      </c>
      <c r="E67" s="1187">
        <f>Miscellaneous!S59</f>
        <v>3302.4694030237442</v>
      </c>
      <c r="F67" s="1184"/>
    </row>
    <row r="68" spans="2:6" x14ac:dyDescent="0.25">
      <c r="B68" s="867"/>
      <c r="C68" s="12"/>
      <c r="D68" s="13"/>
      <c r="E68" s="13"/>
      <c r="F68" s="1163"/>
    </row>
    <row r="69" spans="2:6" x14ac:dyDescent="0.25">
      <c r="B69" s="866" t="s">
        <v>132</v>
      </c>
      <c r="C69" s="7"/>
      <c r="D69" s="13">
        <f>'Spare Parts'!S6+'Tracker Supply'!S58+'FX Supply'!S35+'SI Supply'!S24+'PCU Supply'!S59+'TC Supply'!S52</f>
        <v>0</v>
      </c>
      <c r="E69" s="13">
        <f>'Spare Parts'!S7+'Tracker Supply'!S59+'FX Supply'!S36+'SI Supply'!S25+'PCU Supply'!S60+'TC Supply'!S53</f>
        <v>91424.487647216753</v>
      </c>
      <c r="F69" s="1163"/>
    </row>
    <row r="70" spans="2:6" x14ac:dyDescent="0.25">
      <c r="B70" s="1268" t="s">
        <v>64</v>
      </c>
      <c r="C70" s="7"/>
      <c r="D70" s="13">
        <f>SUS!S6+'SI Supply'!S24+'PCU Supply'!S59+'TC Supply'!S52</f>
        <v>0</v>
      </c>
      <c r="E70" s="13">
        <f>SUS!S7</f>
        <v>0</v>
      </c>
      <c r="F70" s="1163"/>
    </row>
    <row r="71" spans="2:6" ht="16.5" thickBot="1" x14ac:dyDescent="0.3">
      <c r="B71" s="8" t="s">
        <v>133</v>
      </c>
      <c r="C71" s="9"/>
      <c r="D71" s="10">
        <f>SUM(D7:D70)</f>
        <v>16617730.166533479</v>
      </c>
      <c r="E71" s="10">
        <f>SUM(E7:E70)</f>
        <v>8663282.5326479841</v>
      </c>
      <c r="F71" s="1164"/>
    </row>
  </sheetData>
  <autoFilter ref="B6:E67" xr:uid="{00000000-0001-0000-0000-000000000000}"/>
  <mergeCells count="3">
    <mergeCell ref="B1:C1"/>
    <mergeCell ref="B2:D2"/>
    <mergeCell ref="B4:D4"/>
  </mergeCells>
  <pageMargins left="0.7" right="0.7" top="0.75" bottom="0.75" header="0.3" footer="0.3"/>
  <headerFooter>
    <oddHeader>&amp;C&amp;"Arial"&amp;8&amp;K000000 INTERNAL&amp;1#_x000D_</oddHeader>
  </headerFooter>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675250-BB08-416D-8CFE-CDAEE291A683}">
  <sheetPr>
    <tabColor rgb="FF00B050"/>
  </sheetPr>
  <dimension ref="B2:T107"/>
  <sheetViews>
    <sheetView showGridLines="0" tabSelected="1" topLeftCell="C1" zoomScale="70" zoomScaleNormal="70" workbookViewId="0">
      <pane ySplit="5" topLeftCell="A6" activePane="bottomLeft" state="frozen"/>
      <selection activeCell="G29" sqref="G29"/>
      <selection pane="bottomLeft" activeCell="L11" sqref="L11"/>
    </sheetView>
  </sheetViews>
  <sheetFormatPr defaultColWidth="12" defaultRowHeight="12.75" x14ac:dyDescent="0.25"/>
  <cols>
    <col min="1" max="1" width="3.7109375" style="431" customWidth="1"/>
    <col min="2" max="2" width="12" style="431"/>
    <col min="3" max="3" width="43.7109375" style="431" customWidth="1"/>
    <col min="4" max="4" width="12" style="431"/>
    <col min="5" max="5" width="43.140625" style="431" customWidth="1"/>
    <col min="6" max="6" width="12" style="431"/>
    <col min="7" max="7" width="15.42578125" style="431" bestFit="1" customWidth="1"/>
    <col min="8" max="8" width="11" style="1119" customWidth="1"/>
    <col min="9" max="9" width="9.42578125" style="1119" bestFit="1" customWidth="1"/>
    <col min="10" max="10" width="11.140625" style="1119" bestFit="1" customWidth="1"/>
    <col min="11" max="11" width="12.28515625" style="1119" bestFit="1" customWidth="1"/>
    <col min="12" max="12" width="9.42578125" style="1119" bestFit="1" customWidth="1"/>
    <col min="13" max="13" width="11.140625" style="1119" bestFit="1" customWidth="1"/>
    <col min="14" max="14" width="10.85546875" style="1119" bestFit="1" customWidth="1"/>
    <col min="15" max="15" width="43.7109375" style="1119" bestFit="1" customWidth="1"/>
    <col min="16" max="16" width="12.28515625" style="1119" bestFit="1" customWidth="1"/>
    <col min="17" max="17" width="45" style="1119" bestFit="1" customWidth="1"/>
    <col min="18" max="18" width="15.28515625" style="431" bestFit="1" customWidth="1"/>
    <col min="19" max="19" width="15.28515625" style="431" customWidth="1"/>
    <col min="20" max="20" width="34.7109375" style="431" bestFit="1" customWidth="1"/>
    <col min="21" max="16384" width="12" style="431"/>
  </cols>
  <sheetData>
    <row r="2" spans="2:20" ht="15" customHeight="1" x14ac:dyDescent="0.25">
      <c r="B2" s="1511" t="s">
        <v>134</v>
      </c>
      <c r="C2" s="1511"/>
      <c r="D2" s="1511"/>
      <c r="E2" s="1511"/>
      <c r="F2" s="1511"/>
      <c r="G2" s="1511"/>
      <c r="H2" s="1511"/>
      <c r="I2" s="1511"/>
      <c r="J2" s="1511"/>
      <c r="K2" s="1511"/>
      <c r="L2" s="1511"/>
      <c r="M2" s="1511"/>
      <c r="N2" s="1511"/>
      <c r="O2" s="1511"/>
      <c r="P2" s="1511"/>
      <c r="Q2" s="1511"/>
      <c r="R2" s="1511"/>
      <c r="S2" s="1511"/>
      <c r="T2" s="1511"/>
    </row>
    <row r="3" spans="2:20" ht="15.75" thickBot="1" x14ac:dyDescent="0.3">
      <c r="B3" s="26"/>
      <c r="C3" s="27"/>
      <c r="D3" s="82"/>
      <c r="E3" s="28"/>
      <c r="G3" s="83"/>
      <c r="H3" s="1114"/>
      <c r="I3" s="1114"/>
      <c r="J3" s="1114"/>
      <c r="K3" s="1114"/>
      <c r="L3" s="1114"/>
      <c r="M3" s="1114"/>
      <c r="N3" s="1114"/>
      <c r="O3" s="1114"/>
      <c r="P3" s="1114"/>
      <c r="Q3" s="1114"/>
      <c r="R3" s="84"/>
      <c r="S3" s="84"/>
      <c r="T3" s="31"/>
    </row>
    <row r="4" spans="2:20" s="172" customFormat="1" ht="15" customHeight="1" x14ac:dyDescent="0.25">
      <c r="B4" s="1512" t="s">
        <v>135</v>
      </c>
      <c r="C4" s="1514" t="s">
        <v>136</v>
      </c>
      <c r="D4" s="1514" t="s">
        <v>137</v>
      </c>
      <c r="E4" s="1516" t="s">
        <v>138</v>
      </c>
      <c r="F4" s="1518" t="s">
        <v>139</v>
      </c>
      <c r="G4" s="1520" t="s">
        <v>140</v>
      </c>
      <c r="H4" s="1520" t="s">
        <v>141</v>
      </c>
      <c r="I4" s="1528" t="s">
        <v>142</v>
      </c>
      <c r="J4" s="1528"/>
      <c r="K4" s="1528"/>
      <c r="L4" s="1528" t="s">
        <v>143</v>
      </c>
      <c r="M4" s="1528"/>
      <c r="N4" s="1528"/>
      <c r="O4" s="1528"/>
      <c r="P4" s="1528" t="s">
        <v>144</v>
      </c>
      <c r="Q4" s="1528"/>
      <c r="R4" s="1522" t="s">
        <v>145</v>
      </c>
      <c r="S4" s="1524" t="s">
        <v>146</v>
      </c>
      <c r="T4" s="1526" t="s">
        <v>147</v>
      </c>
    </row>
    <row r="5" spans="2:20" s="172" customFormat="1" ht="34.5" customHeight="1" x14ac:dyDescent="0.25">
      <c r="B5" s="1513"/>
      <c r="C5" s="1515"/>
      <c r="D5" s="1515"/>
      <c r="E5" s="1517"/>
      <c r="F5" s="1519"/>
      <c r="G5" s="1521"/>
      <c r="H5" s="1521"/>
      <c r="I5" s="983" t="s">
        <v>148</v>
      </c>
      <c r="J5" s="983" t="s">
        <v>149</v>
      </c>
      <c r="K5" s="983" t="s">
        <v>150</v>
      </c>
      <c r="L5" s="983" t="s">
        <v>148</v>
      </c>
      <c r="M5" s="983" t="s">
        <v>149</v>
      </c>
      <c r="N5" s="983" t="s">
        <v>150</v>
      </c>
      <c r="O5" s="983" t="s">
        <v>151</v>
      </c>
      <c r="P5" s="983" t="s">
        <v>150</v>
      </c>
      <c r="Q5" s="983" t="s">
        <v>152</v>
      </c>
      <c r="R5" s="1523"/>
      <c r="S5" s="1525"/>
      <c r="T5" s="1527"/>
    </row>
    <row r="6" spans="2:20" s="1093" customFormat="1" ht="14.25" collapsed="1" x14ac:dyDescent="0.25">
      <c r="B6" s="1496" t="s">
        <v>153</v>
      </c>
      <c r="C6" s="1497"/>
      <c r="D6" s="1497"/>
      <c r="E6" s="1498"/>
      <c r="F6" s="1503" t="s">
        <v>154</v>
      </c>
      <c r="G6" s="1503" t="s">
        <v>155</v>
      </c>
      <c r="H6" s="1503" t="s">
        <v>155</v>
      </c>
      <c r="I6" s="1503" t="s">
        <v>155</v>
      </c>
      <c r="J6" s="1503"/>
      <c r="K6" s="1503"/>
      <c r="L6" s="1503"/>
      <c r="M6" s="1503"/>
      <c r="N6" s="1503"/>
      <c r="O6" s="1503"/>
      <c r="P6" s="1503"/>
      <c r="Q6" s="1503"/>
      <c r="R6" s="1504"/>
      <c r="S6" s="908">
        <f>SUMIF(F9:F11,"Mandatory",S9:S11)</f>
        <v>154492.67449563646</v>
      </c>
      <c r="T6" s="1179" t="s">
        <v>155</v>
      </c>
    </row>
    <row r="7" spans="2:20" s="1093" customFormat="1" ht="14.25" x14ac:dyDescent="0.25">
      <c r="B7" s="1499"/>
      <c r="C7" s="1500"/>
      <c r="D7" s="1500"/>
      <c r="E7" s="1501"/>
      <c r="F7" s="1500" t="s">
        <v>156</v>
      </c>
      <c r="G7" s="1500" t="s">
        <v>155</v>
      </c>
      <c r="H7" s="1500" t="s">
        <v>155</v>
      </c>
      <c r="I7" s="1500" t="s">
        <v>155</v>
      </c>
      <c r="J7" s="1500"/>
      <c r="K7" s="1500"/>
      <c r="L7" s="1500"/>
      <c r="M7" s="1500"/>
      <c r="N7" s="1500"/>
      <c r="O7" s="1500"/>
      <c r="P7" s="1500"/>
      <c r="Q7" s="1500"/>
      <c r="R7" s="1501"/>
      <c r="S7" s="863">
        <f>SUMIF(F9:F11,"optional",S9:S11)</f>
        <v>0</v>
      </c>
      <c r="T7" s="1180" t="s">
        <v>155</v>
      </c>
    </row>
    <row r="8" spans="2:20" customFormat="1" ht="15" x14ac:dyDescent="0.25">
      <c r="B8" s="1494" t="s">
        <v>157</v>
      </c>
      <c r="C8" s="1495"/>
      <c r="D8" s="1495"/>
      <c r="E8" s="1495"/>
      <c r="F8" s="928"/>
      <c r="G8" s="928"/>
      <c r="H8" s="928"/>
      <c r="I8" s="928"/>
      <c r="J8" s="928"/>
      <c r="K8" s="928"/>
      <c r="L8" s="928"/>
      <c r="M8" s="928"/>
      <c r="N8" s="928"/>
      <c r="O8" s="928"/>
      <c r="P8" s="928"/>
      <c r="Q8" s="928"/>
      <c r="R8" s="928"/>
      <c r="S8" s="928"/>
      <c r="T8" s="1181"/>
    </row>
    <row r="9" spans="2:20" customFormat="1" ht="38.25" x14ac:dyDescent="0.25">
      <c r="B9" s="1399"/>
      <c r="C9" s="1400" t="s">
        <v>158</v>
      </c>
      <c r="D9" s="1401"/>
      <c r="E9" s="1402" t="s">
        <v>159</v>
      </c>
      <c r="F9" s="1403" t="s">
        <v>160</v>
      </c>
      <c r="G9" s="1404" t="s">
        <v>161</v>
      </c>
      <c r="H9" s="1401">
        <v>1</v>
      </c>
      <c r="I9" s="1405"/>
      <c r="J9" s="1405"/>
      <c r="K9" s="991">
        <f>I9*J9</f>
        <v>0</v>
      </c>
      <c r="L9" s="1405"/>
      <c r="M9" s="1405"/>
      <c r="N9" s="991">
        <f>L9*M9</f>
        <v>0</v>
      </c>
      <c r="O9" s="1406"/>
      <c r="P9" s="1405">
        <v>115580</v>
      </c>
      <c r="Q9" s="1406"/>
      <c r="R9" s="994">
        <f>P9+N9+K9</f>
        <v>115580</v>
      </c>
      <c r="S9" s="905">
        <f>IF(F9="NA","",R9*H9)</f>
        <v>115580</v>
      </c>
      <c r="T9" s="1401"/>
    </row>
    <row r="10" spans="2:20" s="1060" customFormat="1" x14ac:dyDescent="0.25">
      <c r="B10" s="1494" t="s">
        <v>162</v>
      </c>
      <c r="C10" s="1495"/>
      <c r="D10" s="1495"/>
      <c r="E10" s="1495"/>
      <c r="F10" s="928"/>
      <c r="G10" s="928"/>
      <c r="H10" s="928"/>
      <c r="I10" s="928"/>
      <c r="J10" s="928"/>
      <c r="K10" s="928"/>
      <c r="L10" s="928"/>
      <c r="M10" s="928"/>
      <c r="N10" s="928"/>
      <c r="O10" s="928"/>
      <c r="P10" s="928"/>
      <c r="Q10" s="928"/>
      <c r="R10" s="928"/>
      <c r="S10" s="928"/>
      <c r="T10" s="1181"/>
    </row>
    <row r="11" spans="2:20" s="970" customFormat="1" ht="87.75" customHeight="1" x14ac:dyDescent="0.25">
      <c r="B11" s="984"/>
      <c r="C11" s="985" t="str">
        <f>'Reference documents'!B20</f>
        <v>GRE.EEC.S.21.IT.P.18371.00.126.01 - SOW BOP Pontestura</v>
      </c>
      <c r="D11" s="986"/>
      <c r="E11" s="1080" t="s">
        <v>163</v>
      </c>
      <c r="F11" s="987" t="s">
        <v>160</v>
      </c>
      <c r="G11" s="988" t="s">
        <v>164</v>
      </c>
      <c r="H11" s="1424">
        <v>15390</v>
      </c>
      <c r="I11" s="990"/>
      <c r="J11" s="990"/>
      <c r="K11" s="991">
        <f>I11*J11</f>
        <v>0</v>
      </c>
      <c r="L11" s="990"/>
      <c r="M11" s="990"/>
      <c r="N11" s="991">
        <f>L11*M11</f>
        <v>0</v>
      </c>
      <c r="O11" s="992"/>
      <c r="P11" s="990">
        <v>2.5284388886053581</v>
      </c>
      <c r="Q11" s="992"/>
      <c r="R11" s="994">
        <f>P11+N11+K11</f>
        <v>2.5284388886053581</v>
      </c>
      <c r="S11" s="905">
        <f>IF(F11="NA","",R11*H11)</f>
        <v>38912.674495636464</v>
      </c>
      <c r="T11" s="993"/>
    </row>
    <row r="12" spans="2:20" s="172" customFormat="1" ht="17.25" customHeight="1" x14ac:dyDescent="0.25">
      <c r="B12" s="1496" t="s">
        <v>165</v>
      </c>
      <c r="C12" s="1497"/>
      <c r="D12" s="1497"/>
      <c r="E12" s="1498"/>
      <c r="F12" s="1503" t="s">
        <v>154</v>
      </c>
      <c r="G12" s="1503"/>
      <c r="H12" s="1503"/>
      <c r="I12" s="1503"/>
      <c r="J12" s="1503"/>
      <c r="K12" s="1503"/>
      <c r="L12" s="1503"/>
      <c r="M12" s="1503"/>
      <c r="N12" s="1503"/>
      <c r="O12" s="1503"/>
      <c r="P12" s="1503"/>
      <c r="Q12" s="1503"/>
      <c r="R12" s="1504"/>
      <c r="S12" s="863">
        <f>SUMIF(F14:F16,"Mandatory",S14:S16)</f>
        <v>0</v>
      </c>
      <c r="T12" s="917"/>
    </row>
    <row r="13" spans="2:20" ht="12" customHeight="1" x14ac:dyDescent="0.25">
      <c r="B13" s="1499"/>
      <c r="C13" s="1500"/>
      <c r="D13" s="1500"/>
      <c r="E13" s="1501"/>
      <c r="F13" s="1500" t="s">
        <v>156</v>
      </c>
      <c r="G13" s="1500"/>
      <c r="H13" s="1500"/>
      <c r="I13" s="1500"/>
      <c r="J13" s="1500"/>
      <c r="K13" s="1500"/>
      <c r="L13" s="1500"/>
      <c r="M13" s="1500"/>
      <c r="N13" s="1500"/>
      <c r="O13" s="1500"/>
      <c r="P13" s="1500"/>
      <c r="Q13" s="1500"/>
      <c r="R13" s="1501"/>
      <c r="S13" s="908">
        <f>SUMIF(F14:F16,"Optional",S14:S16)</f>
        <v>32827.5943388339</v>
      </c>
      <c r="T13" s="918"/>
    </row>
    <row r="14" spans="2:20" ht="45.95" customHeight="1" x14ac:dyDescent="0.25">
      <c r="B14" s="919"/>
      <c r="C14" s="985" t="str">
        <f>CONCATENATE('Reference documents'!B15,":
PPP.PSS.ENG.03.001 Topography")</f>
        <v>GRE.EEC.S.21.IT.P.18371.00.127.00 Technical Specification:
PPP.PSS.ENG.03.001 Topography</v>
      </c>
      <c r="D14" s="900"/>
      <c r="E14" s="901" t="s">
        <v>166</v>
      </c>
      <c r="F14" s="902" t="s">
        <v>167</v>
      </c>
      <c r="G14" s="900" t="s">
        <v>161</v>
      </c>
      <c r="H14" s="1106">
        <v>1</v>
      </c>
      <c r="I14" s="990"/>
      <c r="J14" s="990"/>
      <c r="K14" s="991">
        <f>I14*J14</f>
        <v>0</v>
      </c>
      <c r="L14" s="990"/>
      <c r="M14" s="990"/>
      <c r="N14" s="991">
        <f>L14*M14</f>
        <v>0</v>
      </c>
      <c r="O14" s="992"/>
      <c r="P14" s="990">
        <v>7848.2743102310314</v>
      </c>
      <c r="Q14" s="992"/>
      <c r="R14" s="994">
        <f t="shared" ref="R14:R16" si="0">P14+N14+K14</f>
        <v>7848.2743102310314</v>
      </c>
      <c r="S14" s="905">
        <f>IF(F14="NA","",R14*H14)</f>
        <v>7848.2743102310314</v>
      </c>
      <c r="T14" s="906" t="s">
        <v>168</v>
      </c>
    </row>
    <row r="15" spans="2:20" ht="45" customHeight="1" x14ac:dyDescent="0.25">
      <c r="B15" s="97"/>
      <c r="C15" s="985" t="str">
        <f>CONCATENATE('Reference documents'!B15,":
PPP.PSS.ENG.03.002 Geotechnical Studies")</f>
        <v>GRE.EEC.S.21.IT.P.18371.00.127.00 Technical Specification:
PPP.PSS.ENG.03.002 Geotechnical Studies</v>
      </c>
      <c r="D15" s="100"/>
      <c r="E15" s="98" t="s">
        <v>169</v>
      </c>
      <c r="F15" s="902" t="s">
        <v>167</v>
      </c>
      <c r="G15" s="100" t="s">
        <v>161</v>
      </c>
      <c r="H15" s="1112">
        <v>1</v>
      </c>
      <c r="I15" s="990"/>
      <c r="J15" s="990"/>
      <c r="K15" s="991">
        <f>I15*J15</f>
        <v>0</v>
      </c>
      <c r="L15" s="990"/>
      <c r="M15" s="990"/>
      <c r="N15" s="991">
        <f>L15*M15</f>
        <v>0</v>
      </c>
      <c r="O15" s="992"/>
      <c r="P15" s="990">
        <v>15823</v>
      </c>
      <c r="Q15" s="992"/>
      <c r="R15" s="994">
        <f t="shared" si="0"/>
        <v>15823</v>
      </c>
      <c r="S15" s="845">
        <f>IF(F15="NA","",R15*H15)</f>
        <v>15823</v>
      </c>
      <c r="T15" s="884" t="s">
        <v>168</v>
      </c>
    </row>
    <row r="16" spans="2:20" ht="39.950000000000003" customHeight="1" x14ac:dyDescent="0.25">
      <c r="B16" s="921"/>
      <c r="C16" s="1189"/>
      <c r="D16" s="885"/>
      <c r="E16" s="888" t="s">
        <v>170</v>
      </c>
      <c r="F16" s="902" t="s">
        <v>167</v>
      </c>
      <c r="G16" s="885" t="s">
        <v>161</v>
      </c>
      <c r="H16" s="1113">
        <v>1</v>
      </c>
      <c r="I16" s="990"/>
      <c r="J16" s="990"/>
      <c r="K16" s="991">
        <f>I16*J16</f>
        <v>0</v>
      </c>
      <c r="L16" s="990"/>
      <c r="M16" s="990"/>
      <c r="N16" s="991">
        <f>L16*M16</f>
        <v>0</v>
      </c>
      <c r="O16" s="992"/>
      <c r="P16" s="990">
        <v>9156.3200286028696</v>
      </c>
      <c r="Q16" s="992"/>
      <c r="R16" s="994">
        <f t="shared" si="0"/>
        <v>9156.3200286028696</v>
      </c>
      <c r="S16" s="891">
        <f>IF(F16="NA","",R16*H16)</f>
        <v>9156.3200286028696</v>
      </c>
      <c r="T16" s="920" t="s">
        <v>168</v>
      </c>
    </row>
    <row r="17" spans="2:20" ht="12.75" customHeight="1" x14ac:dyDescent="0.25">
      <c r="B17" s="1496" t="s">
        <v>171</v>
      </c>
      <c r="C17" s="1497"/>
      <c r="D17" s="1497"/>
      <c r="E17" s="1498"/>
      <c r="F17" s="1503" t="s">
        <v>154</v>
      </c>
      <c r="G17" s="1503"/>
      <c r="H17" s="1503"/>
      <c r="I17" s="1503"/>
      <c r="J17" s="1503"/>
      <c r="K17" s="1503"/>
      <c r="L17" s="1503"/>
      <c r="M17" s="1503"/>
      <c r="N17" s="1503"/>
      <c r="O17" s="1503"/>
      <c r="P17" s="1503"/>
      <c r="Q17" s="1503"/>
      <c r="R17" s="1504"/>
      <c r="S17" s="908">
        <f>SUMIF(F19:F31,"Mandatory",S19:S31)</f>
        <v>283693.03645878629</v>
      </c>
      <c r="T17" s="863"/>
    </row>
    <row r="18" spans="2:20" ht="15" customHeight="1" x14ac:dyDescent="0.25">
      <c r="B18" s="1499"/>
      <c r="C18" s="1500"/>
      <c r="D18" s="1500"/>
      <c r="E18" s="1501"/>
      <c r="F18" s="1502" t="s">
        <v>156</v>
      </c>
      <c r="G18" s="1503"/>
      <c r="H18" s="1503"/>
      <c r="I18" s="1503"/>
      <c r="J18" s="1503"/>
      <c r="K18" s="1503"/>
      <c r="L18" s="1503"/>
      <c r="M18" s="1503"/>
      <c r="N18" s="1503"/>
      <c r="O18" s="1503"/>
      <c r="P18" s="1503"/>
      <c r="Q18" s="1503"/>
      <c r="R18" s="1504"/>
      <c r="S18" s="863">
        <f>SUMIF(F19:F31,"Optional",S19:S31)</f>
        <v>43689.006773667541</v>
      </c>
      <c r="T18" s="918"/>
    </row>
    <row r="19" spans="2:20" ht="38.25" x14ac:dyDescent="0.25">
      <c r="B19" s="1197"/>
      <c r="C19" s="1198" t="str">
        <f>CONCATENATE('Reference documents'!B15,":
PPP.PSS.ENG ENGINEERING")</f>
        <v>GRE.EEC.S.21.IT.P.18371.00.127.00 Technical Specification:
PPP.PSS.ENG ENGINEERING</v>
      </c>
      <c r="D19" s="1434"/>
      <c r="E19" s="1198" t="s">
        <v>172</v>
      </c>
      <c r="F19" s="1345" t="s">
        <v>160</v>
      </c>
      <c r="G19" s="1435" t="s">
        <v>161</v>
      </c>
      <c r="H19" s="1200">
        <v>1</v>
      </c>
      <c r="I19" s="966">
        <v>1853.0647676934379</v>
      </c>
      <c r="J19" s="966">
        <v>60</v>
      </c>
      <c r="K19" s="967">
        <f t="shared" ref="K19:K31" si="1">I19*J19</f>
        <v>111183.88606160627</v>
      </c>
      <c r="L19" s="966"/>
      <c r="M19" s="966"/>
      <c r="N19" s="967">
        <f t="shared" ref="N19:N31" si="2">L19*M19</f>
        <v>0</v>
      </c>
      <c r="O19" s="968"/>
      <c r="P19" s="966"/>
      <c r="Q19" s="968"/>
      <c r="R19" s="994">
        <f t="shared" ref="R19:R31" si="3">P19+N19+K19</f>
        <v>111183.88606160627</v>
      </c>
      <c r="S19" s="1436">
        <f t="shared" ref="S19:S28" si="4">IF(F19="NA","",R19*H19)</f>
        <v>111183.88606160627</v>
      </c>
      <c r="T19" s="1529" t="s">
        <v>2604</v>
      </c>
    </row>
    <row r="20" spans="2:20" ht="38.25" x14ac:dyDescent="0.25">
      <c r="B20" s="100"/>
      <c r="C20" s="98" t="str">
        <f>CONCATENATE('Reference documents'!B15,":
PPP.PSS.ENG ENGINEERING")</f>
        <v>GRE.EEC.S.21.IT.P.18371.00.127.00 Technical Specification:
PPP.PSS.ENG ENGINEERING</v>
      </c>
      <c r="D20" s="851"/>
      <c r="E20" s="98" t="s">
        <v>173</v>
      </c>
      <c r="F20" s="902" t="s">
        <v>160</v>
      </c>
      <c r="G20" s="100" t="s">
        <v>161</v>
      </c>
      <c r="H20" s="1112">
        <v>1</v>
      </c>
      <c r="I20" s="990">
        <v>118.61305628195559</v>
      </c>
      <c r="J20" s="990">
        <v>60</v>
      </c>
      <c r="K20" s="991">
        <f t="shared" si="1"/>
        <v>7116.7833769173358</v>
      </c>
      <c r="L20" s="990"/>
      <c r="M20" s="990"/>
      <c r="N20" s="991">
        <f t="shared" si="2"/>
        <v>0</v>
      </c>
      <c r="O20" s="992"/>
      <c r="P20" s="990"/>
      <c r="Q20" s="992"/>
      <c r="R20" s="994">
        <f t="shared" si="3"/>
        <v>7116.7833769173358</v>
      </c>
      <c r="S20" s="845">
        <f t="shared" si="4"/>
        <v>7116.7833769173358</v>
      </c>
      <c r="T20" s="1530"/>
    </row>
    <row r="21" spans="2:20" ht="14.25" x14ac:dyDescent="0.25">
      <c r="B21" s="100"/>
      <c r="C21" s="98"/>
      <c r="D21" s="851"/>
      <c r="E21" s="98" t="s">
        <v>174</v>
      </c>
      <c r="F21" s="902" t="s">
        <v>167</v>
      </c>
      <c r="G21" s="100" t="s">
        <v>161</v>
      </c>
      <c r="H21" s="1112">
        <v>1</v>
      </c>
      <c r="I21" s="990">
        <v>109.00380986431989</v>
      </c>
      <c r="J21" s="990">
        <v>60</v>
      </c>
      <c r="K21" s="991">
        <f t="shared" si="1"/>
        <v>6540.2285918591933</v>
      </c>
      <c r="L21" s="990"/>
      <c r="M21" s="990"/>
      <c r="N21" s="991">
        <f t="shared" si="2"/>
        <v>0</v>
      </c>
      <c r="O21" s="992"/>
      <c r="P21" s="990"/>
      <c r="Q21" s="992"/>
      <c r="R21" s="994">
        <f t="shared" si="3"/>
        <v>6540.2285918591933</v>
      </c>
      <c r="S21" s="845">
        <f t="shared" si="4"/>
        <v>6540.2285918591933</v>
      </c>
      <c r="T21" s="1530"/>
    </row>
    <row r="22" spans="2:20" ht="14.25" x14ac:dyDescent="0.25">
      <c r="B22" s="100"/>
      <c r="C22" s="98"/>
      <c r="D22" s="851"/>
      <c r="E22" s="98" t="s">
        <v>175</v>
      </c>
      <c r="F22" s="902" t="s">
        <v>167</v>
      </c>
      <c r="G22" s="100" t="s">
        <v>161</v>
      </c>
      <c r="H22" s="1112">
        <v>1</v>
      </c>
      <c r="I22" s="990">
        <v>106.82373366703349</v>
      </c>
      <c r="J22" s="990">
        <v>60</v>
      </c>
      <c r="K22" s="991">
        <f t="shared" si="1"/>
        <v>6409.4240200220092</v>
      </c>
      <c r="L22" s="990"/>
      <c r="M22" s="990"/>
      <c r="N22" s="991">
        <f t="shared" si="2"/>
        <v>0</v>
      </c>
      <c r="O22" s="992"/>
      <c r="P22" s="990"/>
      <c r="Q22" s="992"/>
      <c r="R22" s="994">
        <f t="shared" si="3"/>
        <v>6409.4240200220092</v>
      </c>
      <c r="S22" s="845">
        <f t="shared" si="4"/>
        <v>6409.4240200220092</v>
      </c>
      <c r="T22" s="1530"/>
    </row>
    <row r="23" spans="2:20" ht="38.25" x14ac:dyDescent="0.25">
      <c r="B23" s="100"/>
      <c r="C23" s="98" t="str">
        <f>CONCATENATE('Reference documents'!B15,":
PPP.PSS.ENG ENGINEERING")</f>
        <v>GRE.EEC.S.21.IT.P.18371.00.127.00 Technical Specification:
PPP.PSS.ENG ENGINEERING</v>
      </c>
      <c r="D23" s="851"/>
      <c r="E23" s="98" t="s">
        <v>176</v>
      </c>
      <c r="F23" s="902" t="s">
        <v>160</v>
      </c>
      <c r="G23" s="100" t="s">
        <v>161</v>
      </c>
      <c r="H23" s="1112">
        <v>1</v>
      </c>
      <c r="I23" s="990">
        <v>218.03870640065367</v>
      </c>
      <c r="J23" s="990">
        <v>60</v>
      </c>
      <c r="K23" s="991">
        <f t="shared" si="1"/>
        <v>13082.32238403922</v>
      </c>
      <c r="L23" s="990"/>
      <c r="M23" s="990"/>
      <c r="N23" s="991">
        <f t="shared" si="2"/>
        <v>0</v>
      </c>
      <c r="O23" s="992"/>
      <c r="P23" s="990"/>
      <c r="Q23" s="992"/>
      <c r="R23" s="994">
        <f t="shared" si="3"/>
        <v>13082.32238403922</v>
      </c>
      <c r="S23" s="845">
        <f t="shared" si="4"/>
        <v>13082.32238403922</v>
      </c>
      <c r="T23" s="1530"/>
    </row>
    <row r="24" spans="2:20" ht="14.25" x14ac:dyDescent="0.25">
      <c r="B24" s="100"/>
      <c r="C24" s="98" t="str">
        <f>CONCATENATE('Reference documents'!B18,"(section Fire Fighting)+FEED")</f>
        <v>GRE…..(section Fire Fighting)+FEED</v>
      </c>
      <c r="D24" s="851"/>
      <c r="E24" s="853" t="s">
        <v>177</v>
      </c>
      <c r="F24" s="902" t="s">
        <v>167</v>
      </c>
      <c r="G24" s="100" t="s">
        <v>161</v>
      </c>
      <c r="H24" s="1112">
        <v>1</v>
      </c>
      <c r="I24" s="990">
        <v>32.705805960098047</v>
      </c>
      <c r="J24" s="990">
        <v>60</v>
      </c>
      <c r="K24" s="991">
        <f t="shared" si="1"/>
        <v>1962.3483576058829</v>
      </c>
      <c r="L24" s="990"/>
      <c r="M24" s="990"/>
      <c r="N24" s="991">
        <f t="shared" si="2"/>
        <v>0</v>
      </c>
      <c r="O24" s="992"/>
      <c r="P24" s="990"/>
      <c r="Q24" s="992"/>
      <c r="R24" s="994">
        <f t="shared" si="3"/>
        <v>1962.3483576058829</v>
      </c>
      <c r="S24" s="845">
        <f t="shared" si="4"/>
        <v>1962.3483576058829</v>
      </c>
      <c r="T24" s="1530"/>
    </row>
    <row r="25" spans="2:20" ht="14.25" x14ac:dyDescent="0.25">
      <c r="B25" s="885"/>
      <c r="C25" s="888"/>
      <c r="D25" s="887"/>
      <c r="E25" s="888" t="s">
        <v>178</v>
      </c>
      <c r="F25" s="886" t="s">
        <v>167</v>
      </c>
      <c r="G25" s="885" t="s">
        <v>161</v>
      </c>
      <c r="H25" s="1113">
        <v>1</v>
      </c>
      <c r="I25" s="990">
        <v>261.60914367436771</v>
      </c>
      <c r="J25" s="990">
        <v>60</v>
      </c>
      <c r="K25" s="991">
        <f t="shared" si="1"/>
        <v>15696.548620462063</v>
      </c>
      <c r="L25" s="990"/>
      <c r="M25" s="990"/>
      <c r="N25" s="991">
        <f t="shared" si="2"/>
        <v>0</v>
      </c>
      <c r="O25" s="992"/>
      <c r="P25" s="990"/>
      <c r="Q25" s="992"/>
      <c r="R25" s="994">
        <f t="shared" si="3"/>
        <v>15696.548620462063</v>
      </c>
      <c r="S25" s="891">
        <f t="shared" si="4"/>
        <v>15696.548620462063</v>
      </c>
      <c r="T25" s="1530"/>
    </row>
    <row r="26" spans="2:20" ht="43.5" customHeight="1" x14ac:dyDescent="0.25">
      <c r="B26" s="100"/>
      <c r="C26" s="98" t="str">
        <f>CONCATENATE('Reference documents'!B15,":
PPP.PSS.ENG ENGINEERING")</f>
        <v>GRE.EEC.S.21.IT.P.18371.00.127.00 Technical Specification:
PPP.PSS.ENG ENGINEERING</v>
      </c>
      <c r="D26" s="851"/>
      <c r="E26" s="98" t="s">
        <v>179</v>
      </c>
      <c r="F26" s="902" t="s">
        <v>160</v>
      </c>
      <c r="G26" s="100" t="s">
        <v>161</v>
      </c>
      <c r="H26" s="1112">
        <v>1</v>
      </c>
      <c r="I26" s="990">
        <v>2071.0723874220776</v>
      </c>
      <c r="J26" s="990">
        <v>60</v>
      </c>
      <c r="K26" s="991">
        <f t="shared" si="1"/>
        <v>124264.34324532465</v>
      </c>
      <c r="L26" s="990"/>
      <c r="M26" s="990"/>
      <c r="N26" s="991">
        <f t="shared" si="2"/>
        <v>0</v>
      </c>
      <c r="O26" s="992"/>
      <c r="P26" s="990"/>
      <c r="Q26" s="992"/>
      <c r="R26" s="994">
        <f t="shared" si="3"/>
        <v>124264.34324532465</v>
      </c>
      <c r="S26" s="845">
        <f t="shared" si="4"/>
        <v>124264.34324532465</v>
      </c>
      <c r="T26" s="1530"/>
    </row>
    <row r="27" spans="2:20" ht="63.75" x14ac:dyDescent="0.25">
      <c r="B27" s="100"/>
      <c r="C27" s="98" t="str">
        <f>CONCATENATE('Reference documents'!B18,"(section Fire Fighting)+FEED")</f>
        <v>GRE…..(section Fire Fighting)+FEED</v>
      </c>
      <c r="D27" s="851"/>
      <c r="E27" s="98" t="s">
        <v>180</v>
      </c>
      <c r="F27" s="902" t="s">
        <v>167</v>
      </c>
      <c r="G27" s="100" t="s">
        <v>161</v>
      </c>
      <c r="H27" s="1112">
        <v>1</v>
      </c>
      <c r="I27" s="990">
        <v>109.00380986431989</v>
      </c>
      <c r="J27" s="990">
        <v>60</v>
      </c>
      <c r="K27" s="991">
        <f t="shared" si="1"/>
        <v>6540.2285918591933</v>
      </c>
      <c r="L27" s="990"/>
      <c r="M27" s="990"/>
      <c r="N27" s="991">
        <f t="shared" si="2"/>
        <v>0</v>
      </c>
      <c r="O27" s="992"/>
      <c r="P27" s="990"/>
      <c r="Q27" s="992"/>
      <c r="R27" s="994">
        <f t="shared" si="3"/>
        <v>6540.2285918591933</v>
      </c>
      <c r="S27" s="845">
        <f t="shared" si="4"/>
        <v>6540.2285918591933</v>
      </c>
      <c r="T27" s="1530"/>
    </row>
    <row r="28" spans="2:20" ht="63.75" x14ac:dyDescent="0.25">
      <c r="B28" s="100"/>
      <c r="C28" s="98" t="str">
        <f>CONCATENATE('Reference documents'!B18,"(section Fire Fighting)+FEED")</f>
        <v>GRE…..(section Fire Fighting)+FEED</v>
      </c>
      <c r="D28" s="851"/>
      <c r="E28" s="98" t="s">
        <v>181</v>
      </c>
      <c r="F28" s="902" t="s">
        <v>167</v>
      </c>
      <c r="G28" s="100" t="s">
        <v>161</v>
      </c>
      <c r="H28" s="1112">
        <v>1</v>
      </c>
      <c r="I28" s="990">
        <v>54.501904932159945</v>
      </c>
      <c r="J28" s="990">
        <v>60</v>
      </c>
      <c r="K28" s="991">
        <f t="shared" si="1"/>
        <v>3270.1142959295967</v>
      </c>
      <c r="L28" s="990"/>
      <c r="M28" s="990"/>
      <c r="N28" s="991">
        <f t="shared" si="2"/>
        <v>0</v>
      </c>
      <c r="O28" s="992"/>
      <c r="P28" s="990"/>
      <c r="Q28" s="992"/>
      <c r="R28" s="994">
        <f t="shared" si="3"/>
        <v>3270.1142959295967</v>
      </c>
      <c r="S28" s="845">
        <f t="shared" si="4"/>
        <v>3270.1142959295967</v>
      </c>
      <c r="T28" s="1530"/>
    </row>
    <row r="29" spans="2:20" ht="38.25" x14ac:dyDescent="0.25">
      <c r="B29" s="100"/>
      <c r="C29" s="98" t="str">
        <f>CONCATENATE('Reference documents'!B15,":
PPP.PSS.ENG ENGINEERING")</f>
        <v>GRE.EEC.S.21.IT.P.18371.00.127.00 Technical Specification:
PPP.PSS.ENG ENGINEERING</v>
      </c>
      <c r="D29" s="851"/>
      <c r="E29" s="98" t="s">
        <v>182</v>
      </c>
      <c r="F29" s="902" t="s">
        <v>160</v>
      </c>
      <c r="G29" s="100" t="s">
        <v>161</v>
      </c>
      <c r="H29" s="1112">
        <v>1</v>
      </c>
      <c r="I29" s="990">
        <v>140.41692692202096</v>
      </c>
      <c r="J29" s="990">
        <v>60</v>
      </c>
      <c r="K29" s="991">
        <f t="shared" si="1"/>
        <v>8425.0156153212574</v>
      </c>
      <c r="L29" s="990"/>
      <c r="M29" s="990"/>
      <c r="N29" s="991">
        <f t="shared" si="2"/>
        <v>0</v>
      </c>
      <c r="O29" s="992"/>
      <c r="P29" s="990"/>
      <c r="Q29" s="992"/>
      <c r="R29" s="994">
        <f t="shared" si="3"/>
        <v>8425.0156153212574</v>
      </c>
      <c r="S29" s="845">
        <f t="shared" ref="S29:S31" si="5">IF(F29="NA","",R29*H29)</f>
        <v>8425.0156153212574</v>
      </c>
      <c r="T29" s="1530"/>
    </row>
    <row r="30" spans="2:20" ht="14.25" x14ac:dyDescent="0.25">
      <c r="B30" s="100"/>
      <c r="C30" s="98" t="str">
        <f>CONCATENATE('Reference documents'!B18,"(section Fire Fighting)+FEED")</f>
        <v>GRE…..(section Fire Fighting)+FEED</v>
      </c>
      <c r="D30" s="851"/>
      <c r="E30" s="98" t="s">
        <v>183</v>
      </c>
      <c r="F30" s="902" t="s">
        <v>167</v>
      </c>
      <c r="G30" s="100" t="s">
        <v>161</v>
      </c>
      <c r="H30" s="1112">
        <v>1</v>
      </c>
      <c r="I30" s="990">
        <v>54.501904932159945</v>
      </c>
      <c r="J30" s="990">
        <v>60</v>
      </c>
      <c r="K30" s="991">
        <f t="shared" si="1"/>
        <v>3270.1142959295967</v>
      </c>
      <c r="L30" s="990"/>
      <c r="M30" s="990"/>
      <c r="N30" s="991">
        <f t="shared" si="2"/>
        <v>0</v>
      </c>
      <c r="O30" s="992"/>
      <c r="P30" s="990"/>
      <c r="Q30" s="992"/>
      <c r="R30" s="994">
        <f t="shared" si="3"/>
        <v>3270.1142959295967</v>
      </c>
      <c r="S30" s="845">
        <f t="shared" si="5"/>
        <v>3270.1142959295967</v>
      </c>
      <c r="T30" s="1530"/>
    </row>
    <row r="31" spans="2:20" ht="38.25" x14ac:dyDescent="0.25">
      <c r="B31" s="885"/>
      <c r="C31" s="888" t="str">
        <f>CONCATENATE('Reference documents'!B15,":
PPP.PSS.ENG ENGINEERING")</f>
        <v>GRE.EEC.S.21.IT.P.18371.00.127.00 Technical Specification:
PPP.PSS.ENG ENGINEERING</v>
      </c>
      <c r="D31" s="887"/>
      <c r="E31" s="888" t="s">
        <v>184</v>
      </c>
      <c r="F31" s="1277" t="s">
        <v>160</v>
      </c>
      <c r="G31" s="885" t="s">
        <v>161</v>
      </c>
      <c r="H31" s="1113">
        <v>1</v>
      </c>
      <c r="I31" s="990">
        <v>327.01142959295964</v>
      </c>
      <c r="J31" s="990">
        <v>60</v>
      </c>
      <c r="K31" s="991">
        <f t="shared" si="1"/>
        <v>19620.685775577578</v>
      </c>
      <c r="L31" s="990"/>
      <c r="M31" s="990"/>
      <c r="N31" s="991">
        <f t="shared" si="2"/>
        <v>0</v>
      </c>
      <c r="O31" s="992"/>
      <c r="P31" s="990"/>
      <c r="Q31" s="992"/>
      <c r="R31" s="994">
        <f t="shared" si="3"/>
        <v>19620.685775577578</v>
      </c>
      <c r="S31" s="891">
        <f t="shared" si="5"/>
        <v>19620.685775577578</v>
      </c>
      <c r="T31" s="1531"/>
    </row>
    <row r="33" spans="2:20" s="171" customFormat="1" ht="15.75" x14ac:dyDescent="0.2">
      <c r="B33" s="124"/>
      <c r="C33" s="20"/>
      <c r="D33" s="20"/>
      <c r="E33" s="21" t="s">
        <v>185</v>
      </c>
      <c r="F33" s="23"/>
      <c r="G33" s="22"/>
      <c r="H33" s="1115"/>
      <c r="I33" s="1115"/>
      <c r="J33" s="1115"/>
      <c r="K33" s="1115"/>
      <c r="L33" s="1115"/>
      <c r="M33" s="1115"/>
      <c r="N33" s="1115"/>
      <c r="O33" s="1115"/>
      <c r="P33" s="1115"/>
      <c r="Q33" s="1115"/>
      <c r="R33" s="22"/>
      <c r="S33" s="22"/>
      <c r="T33" s="22"/>
    </row>
    <row r="34" spans="2:20" s="171" customFormat="1" ht="15.75" thickBot="1" x14ac:dyDescent="0.25">
      <c r="B34" s="121"/>
      <c r="C34" s="26"/>
      <c r="D34" s="26"/>
      <c r="E34" s="28"/>
      <c r="F34" s="30"/>
      <c r="G34" s="29"/>
      <c r="H34" s="1111"/>
      <c r="I34" s="1111"/>
      <c r="J34" s="1111"/>
      <c r="K34" s="1111"/>
      <c r="L34" s="1111"/>
      <c r="M34" s="1111"/>
      <c r="N34" s="1111"/>
      <c r="O34" s="1111"/>
      <c r="P34" s="1111"/>
      <c r="Q34" s="1111"/>
    </row>
    <row r="35" spans="2:20" s="172" customFormat="1" ht="24.75" customHeight="1" x14ac:dyDescent="0.25">
      <c r="B35" s="882" t="s">
        <v>186</v>
      </c>
      <c r="C35" s="883" t="s">
        <v>136</v>
      </c>
      <c r="D35" s="883" t="s">
        <v>137</v>
      </c>
      <c r="E35" s="709" t="s">
        <v>187</v>
      </c>
      <c r="F35" s="90" t="s">
        <v>139</v>
      </c>
      <c r="G35" s="33" t="s">
        <v>140</v>
      </c>
      <c r="H35" s="33" t="s">
        <v>141</v>
      </c>
      <c r="I35" s="33"/>
      <c r="J35" s="33"/>
      <c r="K35" s="33"/>
      <c r="L35" s="33"/>
      <c r="M35" s="33"/>
      <c r="N35" s="33"/>
      <c r="O35" s="33"/>
      <c r="P35" s="33"/>
      <c r="Q35" s="33"/>
      <c r="R35" s="33" t="s">
        <v>145</v>
      </c>
      <c r="S35" s="33" t="s">
        <v>146</v>
      </c>
      <c r="T35" s="92" t="s">
        <v>147</v>
      </c>
    </row>
    <row r="36" spans="2:20" s="173" customFormat="1" ht="14.25" customHeight="1" collapsed="1" x14ac:dyDescent="0.2">
      <c r="B36" s="1496" t="s">
        <v>188</v>
      </c>
      <c r="C36" s="1497"/>
      <c r="D36" s="1497"/>
      <c r="E36" s="1497"/>
      <c r="F36" s="1496" t="s">
        <v>154</v>
      </c>
      <c r="G36" s="1497"/>
      <c r="H36" s="1497"/>
      <c r="I36" s="1497"/>
      <c r="J36" s="1497"/>
      <c r="K36" s="1497"/>
      <c r="L36" s="1497"/>
      <c r="M36" s="1497"/>
      <c r="N36" s="1497"/>
      <c r="O36" s="1497"/>
      <c r="P36" s="1497"/>
      <c r="Q36" s="1497"/>
      <c r="R36" s="1498"/>
      <c r="S36" s="917">
        <f>SUMIF(F39:F43,"Mandatory",S39:S43)</f>
        <v>0</v>
      </c>
      <c r="T36" s="863" t="s">
        <v>155</v>
      </c>
    </row>
    <row r="37" spans="2:20" s="173" customFormat="1" ht="14.25" customHeight="1" x14ac:dyDescent="0.2">
      <c r="B37" s="1532"/>
      <c r="C37" s="1533"/>
      <c r="D37" s="1533"/>
      <c r="E37" s="1533"/>
      <c r="F37" s="1499" t="s">
        <v>156</v>
      </c>
      <c r="G37" s="1500"/>
      <c r="H37" s="1500"/>
      <c r="I37" s="1500"/>
      <c r="J37" s="1500"/>
      <c r="K37" s="1500"/>
      <c r="L37" s="1500"/>
      <c r="M37" s="1500"/>
      <c r="N37" s="1500"/>
      <c r="O37" s="1500"/>
      <c r="P37" s="1500"/>
      <c r="Q37" s="1500"/>
      <c r="R37" s="1501"/>
      <c r="S37" s="863">
        <f>SUMIF(F39:F43,"optional",S39:S43)</f>
        <v>130804.57183718386</v>
      </c>
      <c r="T37" s="923" t="s">
        <v>155</v>
      </c>
    </row>
    <row r="38" spans="2:20" s="171" customFormat="1" x14ac:dyDescent="0.2">
      <c r="B38" s="926" t="s">
        <v>155</v>
      </c>
      <c r="C38" s="927" t="s">
        <v>155</v>
      </c>
      <c r="D38" s="927" t="s">
        <v>155</v>
      </c>
      <c r="E38" s="928" t="s">
        <v>189</v>
      </c>
      <c r="F38" s="929" t="s">
        <v>155</v>
      </c>
      <c r="G38" s="929" t="s">
        <v>155</v>
      </c>
      <c r="H38" s="1116" t="s">
        <v>155</v>
      </c>
      <c r="I38" s="1116"/>
      <c r="J38" s="1116"/>
      <c r="K38" s="1116"/>
      <c r="L38" s="1116"/>
      <c r="M38" s="1116"/>
      <c r="N38" s="1116"/>
      <c r="O38" s="1116"/>
      <c r="P38" s="1116"/>
      <c r="Q38" s="1116"/>
      <c r="R38" s="929" t="s">
        <v>155</v>
      </c>
      <c r="S38" s="929" t="s">
        <v>155</v>
      </c>
      <c r="T38" s="930" t="s">
        <v>155</v>
      </c>
    </row>
    <row r="39" spans="2:20" s="174" customFormat="1" ht="51" x14ac:dyDescent="0.25">
      <c r="B39" s="898" t="s">
        <v>155</v>
      </c>
      <c r="C39" s="98" t="str">
        <f>'Reference documents'!B11</f>
        <v>GRE…..</v>
      </c>
      <c r="D39" s="900" t="s">
        <v>155</v>
      </c>
      <c r="E39" s="901" t="s">
        <v>190</v>
      </c>
      <c r="F39" s="902" t="s">
        <v>191</v>
      </c>
      <c r="G39" s="900" t="s">
        <v>161</v>
      </c>
      <c r="H39" s="1106">
        <v>0</v>
      </c>
      <c r="I39" s="990"/>
      <c r="J39" s="990"/>
      <c r="K39" s="991">
        <f>I39*J39</f>
        <v>0</v>
      </c>
      <c r="L39" s="990"/>
      <c r="M39" s="990"/>
      <c r="N39" s="991">
        <f>L39*M39</f>
        <v>0</v>
      </c>
      <c r="O39" s="992"/>
      <c r="P39" s="990"/>
      <c r="Q39" s="992"/>
      <c r="R39" s="994">
        <f>P39+N39+K39</f>
        <v>0</v>
      </c>
      <c r="S39" s="845" t="str">
        <f>IF(F39="NA","",R39*H39)</f>
        <v/>
      </c>
      <c r="T39" s="906"/>
    </row>
    <row r="40" spans="2:20" s="171" customFormat="1" x14ac:dyDescent="0.2">
      <c r="B40" s="926" t="s">
        <v>155</v>
      </c>
      <c r="C40" s="927" t="s">
        <v>155</v>
      </c>
      <c r="D40" s="927" t="s">
        <v>155</v>
      </c>
      <c r="E40" s="928" t="s">
        <v>192</v>
      </c>
      <c r="F40" s="929" t="s">
        <v>155</v>
      </c>
      <c r="G40" s="929" t="s">
        <v>155</v>
      </c>
      <c r="H40" s="1116" t="s">
        <v>155</v>
      </c>
      <c r="I40" s="1116"/>
      <c r="J40" s="1116"/>
      <c r="K40" s="1116"/>
      <c r="L40" s="1116"/>
      <c r="M40" s="1116"/>
      <c r="N40" s="1116"/>
      <c r="O40" s="1116"/>
      <c r="P40" s="1116"/>
      <c r="Q40" s="1116"/>
      <c r="R40" s="929" t="s">
        <v>155</v>
      </c>
      <c r="S40" s="929" t="s">
        <v>155</v>
      </c>
      <c r="T40" s="930" t="s">
        <v>155</v>
      </c>
    </row>
    <row r="41" spans="2:20" s="174" customFormat="1" ht="63.75" x14ac:dyDescent="0.25">
      <c r="B41" s="898" t="s">
        <v>155</v>
      </c>
      <c r="C41" s="98" t="str">
        <f>'Reference documents'!B13</f>
        <v>GRE…..</v>
      </c>
      <c r="D41" s="900" t="s">
        <v>155</v>
      </c>
      <c r="E41" s="901" t="s">
        <v>193</v>
      </c>
      <c r="F41" s="902" t="s">
        <v>191</v>
      </c>
      <c r="G41" s="900" t="s">
        <v>161</v>
      </c>
      <c r="H41" s="1106">
        <v>0</v>
      </c>
      <c r="I41" s="990"/>
      <c r="J41" s="990"/>
      <c r="K41" s="991">
        <f>I41*J41</f>
        <v>0</v>
      </c>
      <c r="L41" s="990"/>
      <c r="M41" s="990"/>
      <c r="N41" s="991">
        <f>L41*M41</f>
        <v>0</v>
      </c>
      <c r="O41" s="992"/>
      <c r="P41" s="990"/>
      <c r="Q41" s="992"/>
      <c r="R41" s="994">
        <f>P41+N41+K41</f>
        <v>0</v>
      </c>
      <c r="S41" s="845" t="str">
        <f>IF(F41="NA","",R41*H41)</f>
        <v/>
      </c>
      <c r="T41" s="906"/>
    </row>
    <row r="42" spans="2:20" s="178" customFormat="1" ht="16.149999999999999" customHeight="1" x14ac:dyDescent="0.2">
      <c r="B42" s="926" t="s">
        <v>155</v>
      </c>
      <c r="C42" s="927" t="s">
        <v>155</v>
      </c>
      <c r="D42" s="927" t="s">
        <v>155</v>
      </c>
      <c r="E42" s="928" t="s">
        <v>194</v>
      </c>
      <c r="F42" s="929" t="s">
        <v>155</v>
      </c>
      <c r="G42" s="929" t="s">
        <v>155</v>
      </c>
      <c r="H42" s="1116" t="s">
        <v>155</v>
      </c>
      <c r="I42" s="1116"/>
      <c r="J42" s="1116"/>
      <c r="K42" s="1116"/>
      <c r="L42" s="1116"/>
      <c r="M42" s="1116"/>
      <c r="N42" s="1116"/>
      <c r="O42" s="1116"/>
      <c r="P42" s="1116"/>
      <c r="Q42" s="1116"/>
      <c r="R42" s="929" t="s">
        <v>155</v>
      </c>
      <c r="S42" s="929" t="s">
        <v>155</v>
      </c>
      <c r="T42" s="930" t="s">
        <v>155</v>
      </c>
    </row>
    <row r="43" spans="2:20" s="174" customFormat="1" ht="89.25" x14ac:dyDescent="0.25">
      <c r="B43" s="898" t="s">
        <v>155</v>
      </c>
      <c r="C43" s="98" t="str">
        <f>'Reference documents'!B15</f>
        <v>GRE.EEC.S.21.IT.P.18371.00.127.00 Technical Specification</v>
      </c>
      <c r="D43" s="900" t="s">
        <v>155</v>
      </c>
      <c r="E43" s="901" t="s">
        <v>195</v>
      </c>
      <c r="F43" s="902" t="s">
        <v>167</v>
      </c>
      <c r="G43" s="900" t="s">
        <v>161</v>
      </c>
      <c r="H43" s="1106">
        <v>1</v>
      </c>
      <c r="I43" s="990">
        <v>440.11429592959649</v>
      </c>
      <c r="J43" s="990">
        <v>40</v>
      </c>
      <c r="K43" s="991">
        <f>I43*J43</f>
        <v>17604.571837183859</v>
      </c>
      <c r="L43" s="990">
        <v>640</v>
      </c>
      <c r="M43" s="990">
        <v>80</v>
      </c>
      <c r="N43" s="991">
        <f>L43*M43</f>
        <v>51200</v>
      </c>
      <c r="O43" s="992"/>
      <c r="P43" s="990">
        <v>62000</v>
      </c>
      <c r="Q43" s="992"/>
      <c r="R43" s="994">
        <f>P43+N43+K43</f>
        <v>130804.57183718386</v>
      </c>
      <c r="S43" s="845">
        <f t="shared" ref="S43" si="6">IF(F43="NA","",R43*H43)</f>
        <v>130804.57183718386</v>
      </c>
      <c r="T43" s="1451" t="s">
        <v>2611</v>
      </c>
    </row>
    <row r="44" spans="2:20" s="178" customFormat="1" ht="15.75" customHeight="1" x14ac:dyDescent="0.2">
      <c r="B44" s="1496" t="s">
        <v>196</v>
      </c>
      <c r="C44" s="1497"/>
      <c r="D44" s="1497"/>
      <c r="E44" s="1497"/>
      <c r="F44" s="1534" t="s">
        <v>154</v>
      </c>
      <c r="G44" s="1535"/>
      <c r="H44" s="1535"/>
      <c r="I44" s="1535"/>
      <c r="J44" s="1535"/>
      <c r="K44" s="1535"/>
      <c r="L44" s="1535"/>
      <c r="M44" s="1535"/>
      <c r="N44" s="1535"/>
      <c r="O44" s="1535"/>
      <c r="P44" s="1535"/>
      <c r="Q44" s="1535"/>
      <c r="R44" s="1536"/>
      <c r="S44" s="917">
        <f>SUMIF(F47:F53,"Mandatory",S47:S53)</f>
        <v>0</v>
      </c>
      <c r="T44" s="924" t="s">
        <v>155</v>
      </c>
    </row>
    <row r="45" spans="2:20" s="178" customFormat="1" x14ac:dyDescent="0.2">
      <c r="B45" s="1499"/>
      <c r="C45" s="1500"/>
      <c r="D45" s="1500"/>
      <c r="E45" s="1500"/>
      <c r="F45" s="1537" t="s">
        <v>156</v>
      </c>
      <c r="G45" s="1538"/>
      <c r="H45" s="1538"/>
      <c r="I45" s="1538"/>
      <c r="J45" s="1538"/>
      <c r="K45" s="1538"/>
      <c r="L45" s="1538"/>
      <c r="M45" s="1538"/>
      <c r="N45" s="1538"/>
      <c r="O45" s="1538"/>
      <c r="P45" s="1538"/>
      <c r="Q45" s="1538"/>
      <c r="R45" s="1539"/>
      <c r="S45" s="863">
        <f>SUMIF(F47:F53,"optional",S47:S53)</f>
        <v>0</v>
      </c>
      <c r="T45" s="925" t="s">
        <v>155</v>
      </c>
    </row>
    <row r="46" spans="2:20" s="178" customFormat="1" x14ac:dyDescent="0.2">
      <c r="B46" s="926" t="s">
        <v>155</v>
      </c>
      <c r="C46" s="927" t="s">
        <v>155</v>
      </c>
      <c r="D46" s="927" t="s">
        <v>155</v>
      </c>
      <c r="E46" s="928" t="s">
        <v>197</v>
      </c>
      <c r="F46" s="929" t="s">
        <v>155</v>
      </c>
      <c r="G46" s="929" t="s">
        <v>155</v>
      </c>
      <c r="H46" s="1116" t="s">
        <v>155</v>
      </c>
      <c r="I46" s="1116"/>
      <c r="J46" s="1116"/>
      <c r="K46" s="1116"/>
      <c r="L46" s="1116"/>
      <c r="M46" s="1116"/>
      <c r="N46" s="1116"/>
      <c r="O46" s="1116"/>
      <c r="P46" s="1116"/>
      <c r="Q46" s="1116"/>
      <c r="R46" s="929" t="s">
        <v>155</v>
      </c>
      <c r="S46" s="929" t="s">
        <v>155</v>
      </c>
      <c r="T46" s="930" t="s">
        <v>155</v>
      </c>
    </row>
    <row r="47" spans="2:20" s="174" customFormat="1" ht="51" x14ac:dyDescent="0.25">
      <c r="B47" s="898" t="s">
        <v>155</v>
      </c>
      <c r="C47" s="98" t="str">
        <f>'Reference documents'!B19</f>
        <v>GRE…..</v>
      </c>
      <c r="D47" s="900" t="s">
        <v>155</v>
      </c>
      <c r="E47" s="901" t="s">
        <v>198</v>
      </c>
      <c r="F47" s="902" t="s">
        <v>191</v>
      </c>
      <c r="G47" s="900" t="s">
        <v>161</v>
      </c>
      <c r="H47" s="1106">
        <v>0</v>
      </c>
      <c r="I47" s="990"/>
      <c r="J47" s="990"/>
      <c r="K47" s="991">
        <f>I47*J47</f>
        <v>0</v>
      </c>
      <c r="L47" s="990"/>
      <c r="M47" s="990"/>
      <c r="N47" s="991">
        <f>L47*M47</f>
        <v>0</v>
      </c>
      <c r="O47" s="992"/>
      <c r="P47" s="990"/>
      <c r="Q47" s="992"/>
      <c r="R47" s="994">
        <f>P47+N47+K47</f>
        <v>0</v>
      </c>
      <c r="S47" s="845" t="str">
        <f t="shared" ref="S47" si="7">IF(F47="NA","",R47*H47)</f>
        <v/>
      </c>
      <c r="T47" s="906"/>
    </row>
    <row r="48" spans="2:20" s="178" customFormat="1" x14ac:dyDescent="0.2">
      <c r="B48" s="926" t="s">
        <v>155</v>
      </c>
      <c r="C48" s="927" t="s">
        <v>155</v>
      </c>
      <c r="D48" s="927" t="s">
        <v>155</v>
      </c>
      <c r="E48" s="928" t="s">
        <v>199</v>
      </c>
      <c r="F48" s="929" t="s">
        <v>155</v>
      </c>
      <c r="G48" s="929" t="s">
        <v>155</v>
      </c>
      <c r="H48" s="1116" t="s">
        <v>155</v>
      </c>
      <c r="I48" s="1116"/>
      <c r="J48" s="1116"/>
      <c r="K48" s="1116"/>
      <c r="L48" s="1116"/>
      <c r="M48" s="1116"/>
      <c r="N48" s="1116"/>
      <c r="O48" s="1116"/>
      <c r="P48" s="1116"/>
      <c r="Q48" s="1116"/>
      <c r="R48" s="929" t="s">
        <v>155</v>
      </c>
      <c r="S48" s="929" t="s">
        <v>155</v>
      </c>
      <c r="T48" s="930" t="s">
        <v>155</v>
      </c>
    </row>
    <row r="49" spans="2:20" s="174" customFormat="1" ht="72.75" customHeight="1" x14ac:dyDescent="0.25">
      <c r="B49" s="898" t="s">
        <v>155</v>
      </c>
      <c r="C49" s="98" t="str">
        <f>'Reference documents'!B21</f>
        <v>GRE.EEC.S.21.IT.P.18371.00.126.01 - SOW BOP Pontestura</v>
      </c>
      <c r="D49" s="900" t="s">
        <v>155</v>
      </c>
      <c r="E49" s="901" t="s">
        <v>200</v>
      </c>
      <c r="F49" s="902" t="s">
        <v>191</v>
      </c>
      <c r="G49" s="900" t="s">
        <v>161</v>
      </c>
      <c r="H49" s="1106">
        <v>0</v>
      </c>
      <c r="I49" s="990"/>
      <c r="J49" s="990"/>
      <c r="K49" s="991">
        <f>I49*J49</f>
        <v>0</v>
      </c>
      <c r="L49" s="990"/>
      <c r="M49" s="990"/>
      <c r="N49" s="991">
        <f>L49*M49</f>
        <v>0</v>
      </c>
      <c r="O49" s="992"/>
      <c r="P49" s="990"/>
      <c r="Q49" s="992"/>
      <c r="R49" s="994">
        <f>P49+N49+K49</f>
        <v>0</v>
      </c>
      <c r="S49" s="845" t="str">
        <f t="shared" ref="S49" si="8">IF(F49="NA","",R49*H49)</f>
        <v/>
      </c>
      <c r="T49" s="906"/>
    </row>
    <row r="50" spans="2:20" s="178" customFormat="1" ht="25.5" x14ac:dyDescent="0.2">
      <c r="B50" s="926" t="s">
        <v>155</v>
      </c>
      <c r="C50" s="927" t="s">
        <v>155</v>
      </c>
      <c r="D50" s="927" t="s">
        <v>155</v>
      </c>
      <c r="E50" s="928" t="s">
        <v>201</v>
      </c>
      <c r="F50" s="929" t="s">
        <v>155</v>
      </c>
      <c r="G50" s="929" t="s">
        <v>155</v>
      </c>
      <c r="H50" s="1116" t="s">
        <v>155</v>
      </c>
      <c r="I50" s="1116"/>
      <c r="J50" s="1116"/>
      <c r="K50" s="1116"/>
      <c r="L50" s="1116"/>
      <c r="M50" s="1116"/>
      <c r="N50" s="1116"/>
      <c r="O50" s="1116"/>
      <c r="P50" s="1116"/>
      <c r="Q50" s="1116"/>
      <c r="R50" s="929" t="s">
        <v>155</v>
      </c>
      <c r="S50" s="929" t="s">
        <v>155</v>
      </c>
      <c r="T50" s="930" t="s">
        <v>155</v>
      </c>
    </row>
    <row r="51" spans="2:20" s="174" customFormat="1" ht="73.5" customHeight="1" x14ac:dyDescent="0.25">
      <c r="B51" s="898" t="s">
        <v>155</v>
      </c>
      <c r="C51" s="98" t="str">
        <f>'Reference documents'!B23</f>
        <v>GRE.EEC.S.21.IT.P.18371.00.126.01 - SOW BOP Pontestura</v>
      </c>
      <c r="D51" s="900" t="s">
        <v>155</v>
      </c>
      <c r="E51" s="901" t="s">
        <v>202</v>
      </c>
      <c r="F51" s="902" t="s">
        <v>191</v>
      </c>
      <c r="G51" s="900" t="s">
        <v>161</v>
      </c>
      <c r="H51" s="1106">
        <v>0</v>
      </c>
      <c r="I51" s="990"/>
      <c r="J51" s="990"/>
      <c r="K51" s="991">
        <f>I51*J51</f>
        <v>0</v>
      </c>
      <c r="L51" s="990"/>
      <c r="M51" s="990"/>
      <c r="N51" s="991">
        <f>L51*M51</f>
        <v>0</v>
      </c>
      <c r="O51" s="992"/>
      <c r="P51" s="990"/>
      <c r="Q51" s="992"/>
      <c r="R51" s="994">
        <f>P51+N51+K51</f>
        <v>0</v>
      </c>
      <c r="S51" s="845" t="str">
        <f>IF(F51="NA","",R51*H51)</f>
        <v/>
      </c>
      <c r="T51" s="906"/>
    </row>
    <row r="52" spans="2:20" s="178" customFormat="1" ht="25.5" x14ac:dyDescent="0.2">
      <c r="B52" s="926" t="s">
        <v>155</v>
      </c>
      <c r="C52" s="927" t="s">
        <v>155</v>
      </c>
      <c r="D52" s="927" t="s">
        <v>155</v>
      </c>
      <c r="E52" s="928" t="s">
        <v>203</v>
      </c>
      <c r="F52" s="929" t="s">
        <v>155</v>
      </c>
      <c r="G52" s="929" t="s">
        <v>155</v>
      </c>
      <c r="H52" s="1116" t="s">
        <v>155</v>
      </c>
      <c r="I52" s="1116"/>
      <c r="J52" s="1116"/>
      <c r="K52" s="1116"/>
      <c r="L52" s="1116"/>
      <c r="M52" s="1116"/>
      <c r="N52" s="1116"/>
      <c r="O52" s="1116"/>
      <c r="P52" s="1116"/>
      <c r="Q52" s="1116"/>
      <c r="R52" s="929" t="s">
        <v>155</v>
      </c>
      <c r="S52" s="929" t="s">
        <v>155</v>
      </c>
      <c r="T52" s="930" t="s">
        <v>155</v>
      </c>
    </row>
    <row r="53" spans="2:20" s="174" customFormat="1" ht="38.25" x14ac:dyDescent="0.25">
      <c r="B53" s="910" t="s">
        <v>155</v>
      </c>
      <c r="C53" s="98" t="str">
        <f>'Reference documents'!B25</f>
        <v>GRE…..</v>
      </c>
      <c r="D53" s="912" t="s">
        <v>155</v>
      </c>
      <c r="E53" s="913" t="s">
        <v>204</v>
      </c>
      <c r="F53" s="914" t="s">
        <v>191</v>
      </c>
      <c r="G53" s="912" t="s">
        <v>161</v>
      </c>
      <c r="H53" s="1095"/>
      <c r="I53" s="990"/>
      <c r="J53" s="990"/>
      <c r="K53" s="991">
        <f>I53*J53</f>
        <v>0</v>
      </c>
      <c r="L53" s="990"/>
      <c r="M53" s="990"/>
      <c r="N53" s="991">
        <f>L53*M53</f>
        <v>0</v>
      </c>
      <c r="O53" s="992"/>
      <c r="P53" s="990"/>
      <c r="Q53" s="992"/>
      <c r="R53" s="994">
        <f>P53+N53+K53</f>
        <v>0</v>
      </c>
      <c r="S53" s="1089" t="str">
        <f>IF(F53="NA","",R53*H53)</f>
        <v/>
      </c>
      <c r="T53" s="916"/>
    </row>
    <row r="54" spans="2:20" customFormat="1" ht="15" x14ac:dyDescent="0.25">
      <c r="C54" s="893"/>
      <c r="D54" s="30"/>
      <c r="E54" s="29"/>
      <c r="F54" s="171"/>
      <c r="G54" s="171"/>
      <c r="H54" s="1105"/>
      <c r="I54" s="1105"/>
      <c r="J54" s="1105"/>
      <c r="K54" s="1105"/>
      <c r="L54" s="1105"/>
      <c r="M54" s="1105"/>
      <c r="N54" s="1105"/>
      <c r="O54" s="1105"/>
      <c r="P54" s="1105"/>
      <c r="Q54" s="1105"/>
      <c r="R54" s="171"/>
    </row>
    <row r="55" spans="2:20" customFormat="1" ht="15.75" customHeight="1" x14ac:dyDescent="0.25">
      <c r="B55" s="1511" t="s">
        <v>205</v>
      </c>
      <c r="C55" s="1511"/>
      <c r="D55" s="1511"/>
      <c r="E55" s="1511"/>
      <c r="F55" s="1511"/>
      <c r="G55" s="1511"/>
      <c r="H55" s="1511"/>
      <c r="I55" s="1511"/>
      <c r="J55" s="1511"/>
      <c r="K55" s="1511"/>
      <c r="L55" s="1511"/>
      <c r="M55" s="1511"/>
      <c r="N55" s="1511"/>
      <c r="O55" s="1511"/>
      <c r="P55" s="1511"/>
      <c r="Q55" s="1511"/>
      <c r="R55" s="1511"/>
      <c r="S55" s="1511"/>
      <c r="T55" s="1511"/>
    </row>
    <row r="56" spans="2:20" customFormat="1" ht="15.75" thickBot="1" x14ac:dyDescent="0.3">
      <c r="C56" s="894"/>
      <c r="D56" s="26"/>
      <c r="E56" s="28"/>
      <c r="F56" s="30"/>
      <c r="G56" s="29"/>
      <c r="H56" s="1105"/>
      <c r="I56" s="1105"/>
      <c r="J56" s="1105"/>
      <c r="K56" s="1105"/>
      <c r="L56" s="1105"/>
      <c r="M56" s="1105"/>
      <c r="N56" s="1105"/>
      <c r="O56" s="1105"/>
      <c r="P56" s="1105"/>
      <c r="Q56" s="1105"/>
      <c r="R56" s="171"/>
      <c r="S56" s="171"/>
      <c r="T56" s="171"/>
    </row>
    <row r="57" spans="2:20" customFormat="1" ht="26.1" customHeight="1" x14ac:dyDescent="0.25">
      <c r="B57" s="33"/>
      <c r="C57" s="33" t="s">
        <v>136</v>
      </c>
      <c r="D57" s="33" t="s">
        <v>137</v>
      </c>
      <c r="E57" s="33" t="s">
        <v>187</v>
      </c>
      <c r="F57" s="33" t="s">
        <v>139</v>
      </c>
      <c r="G57" s="33" t="s">
        <v>140</v>
      </c>
      <c r="H57" s="33" t="s">
        <v>141</v>
      </c>
      <c r="I57" s="33"/>
      <c r="J57" s="33"/>
      <c r="K57" s="33"/>
      <c r="L57" s="33"/>
      <c r="M57" s="33"/>
      <c r="N57" s="33"/>
      <c r="O57" s="33"/>
      <c r="P57" s="33"/>
      <c r="Q57" s="33"/>
      <c r="R57" s="33" t="s">
        <v>145</v>
      </c>
      <c r="S57" s="33" t="s">
        <v>146</v>
      </c>
      <c r="T57" s="897" t="s">
        <v>147</v>
      </c>
    </row>
    <row r="58" spans="2:20" customFormat="1" ht="25.5" customHeight="1" x14ac:dyDescent="0.25">
      <c r="B58" s="1496" t="s">
        <v>205</v>
      </c>
      <c r="C58" s="1497"/>
      <c r="D58" s="1497"/>
      <c r="E58" s="1498"/>
      <c r="F58" s="1502" t="s">
        <v>154</v>
      </c>
      <c r="G58" s="1503"/>
      <c r="H58" s="1503"/>
      <c r="I58" s="1503"/>
      <c r="J58" s="1503"/>
      <c r="K58" s="1503"/>
      <c r="L58" s="1503"/>
      <c r="M58" s="1503"/>
      <c r="N58" s="1503"/>
      <c r="O58" s="1503"/>
      <c r="P58" s="1503"/>
      <c r="Q58" s="1503"/>
      <c r="R58" s="1504"/>
      <c r="S58" s="908">
        <f>SUMIF(F61:F70,"Mandatory",S61:S70)</f>
        <v>372050.6811607086</v>
      </c>
      <c r="T58" s="895"/>
    </row>
    <row r="59" spans="2:20" customFormat="1" ht="25.5" customHeight="1" x14ac:dyDescent="0.25">
      <c r="B59" s="1499"/>
      <c r="C59" s="1500"/>
      <c r="D59" s="1500"/>
      <c r="E59" s="1501"/>
      <c r="F59" s="1499" t="s">
        <v>156</v>
      </c>
      <c r="G59" s="1500"/>
      <c r="H59" s="1500"/>
      <c r="I59" s="1500"/>
      <c r="J59" s="1500"/>
      <c r="K59" s="1500"/>
      <c r="L59" s="1500"/>
      <c r="M59" s="1500"/>
      <c r="N59" s="1500"/>
      <c r="O59" s="1500"/>
      <c r="P59" s="1500"/>
      <c r="Q59" s="1500"/>
      <c r="R59" s="1501"/>
      <c r="S59" s="863">
        <f>SUMIF(F61:F70,"optional",S61:S70)</f>
        <v>3302.4694030237442</v>
      </c>
      <c r="T59" s="909"/>
    </row>
    <row r="60" spans="2:20" s="171" customFormat="1" x14ac:dyDescent="0.2">
      <c r="B60" s="926"/>
      <c r="C60" s="927"/>
      <c r="D60" s="927"/>
      <c r="E60" s="928" t="s">
        <v>206</v>
      </c>
      <c r="F60" s="929"/>
      <c r="G60" s="929" t="s">
        <v>207</v>
      </c>
      <c r="H60" s="1116"/>
      <c r="I60" s="1116"/>
      <c r="J60" s="1116"/>
      <c r="K60" s="1116"/>
      <c r="L60" s="1116"/>
      <c r="M60" s="1116"/>
      <c r="N60" s="1116"/>
      <c r="O60" s="1116"/>
      <c r="P60" s="1116"/>
      <c r="Q60" s="1116"/>
      <c r="R60" s="929"/>
      <c r="S60" s="929"/>
      <c r="T60" s="930"/>
    </row>
    <row r="61" spans="2:20" customFormat="1" ht="51" x14ac:dyDescent="0.25">
      <c r="B61" s="910"/>
      <c r="C61" s="911" t="s">
        <v>208</v>
      </c>
      <c r="D61" s="912"/>
      <c r="E61" s="913" t="s">
        <v>209</v>
      </c>
      <c r="F61" s="914" t="s">
        <v>160</v>
      </c>
      <c r="G61" s="912" t="s">
        <v>210</v>
      </c>
      <c r="H61" s="990">
        <v>6560</v>
      </c>
      <c r="I61" s="990">
        <v>1</v>
      </c>
      <c r="J61" s="990">
        <v>52.677824203799211</v>
      </c>
      <c r="K61" s="991">
        <f>I61*J61</f>
        <v>52.677824203799211</v>
      </c>
      <c r="L61" s="990"/>
      <c r="M61" s="990"/>
      <c r="N61" s="991">
        <f>L61*M61</f>
        <v>0</v>
      </c>
      <c r="O61" s="992"/>
      <c r="P61" s="990"/>
      <c r="Q61" s="992"/>
      <c r="R61" s="994">
        <f>P61+N61+K61</f>
        <v>52.677824203799211</v>
      </c>
      <c r="S61" s="845">
        <f>IF(F61="NA","",R61*H61)</f>
        <v>345566.52677692281</v>
      </c>
      <c r="T61" s="916"/>
    </row>
    <row r="62" spans="2:20" s="171" customFormat="1" x14ac:dyDescent="0.2">
      <c r="B62" s="926"/>
      <c r="C62" s="927"/>
      <c r="D62" s="927"/>
      <c r="E62" s="928" t="s">
        <v>211</v>
      </c>
      <c r="F62" s="929"/>
      <c r="G62" s="929"/>
      <c r="H62" s="1116"/>
      <c r="I62" s="1116"/>
      <c r="J62" s="1116"/>
      <c r="K62" s="1116"/>
      <c r="L62" s="1116"/>
      <c r="M62" s="1116"/>
      <c r="N62" s="1116"/>
      <c r="O62" s="1116"/>
      <c r="P62" s="1116"/>
      <c r="Q62" s="1116"/>
      <c r="R62" s="929"/>
      <c r="S62" s="929"/>
      <c r="T62" s="930"/>
    </row>
    <row r="63" spans="2:20" customFormat="1" ht="51" x14ac:dyDescent="0.25">
      <c r="B63" s="898"/>
      <c r="C63" s="899" t="s">
        <v>212</v>
      </c>
      <c r="D63" s="900"/>
      <c r="E63" s="901" t="s">
        <v>213</v>
      </c>
      <c r="F63" s="902" t="s">
        <v>160</v>
      </c>
      <c r="G63" s="912" t="s">
        <v>210</v>
      </c>
      <c r="H63" s="990"/>
      <c r="I63" s="990"/>
      <c r="J63" s="990"/>
      <c r="K63" s="991">
        <f>I63*J63</f>
        <v>0</v>
      </c>
      <c r="L63" s="990"/>
      <c r="M63" s="990"/>
      <c r="N63" s="991">
        <f>L63*M63</f>
        <v>0</v>
      </c>
      <c r="O63" s="992"/>
      <c r="P63" s="990"/>
      <c r="Q63" s="992"/>
      <c r="R63" s="994">
        <f t="shared" ref="R63:R66" si="9">P63+N63+K63</f>
        <v>0</v>
      </c>
      <c r="S63" s="845">
        <f>IF(F63="NA","",R63*H63)</f>
        <v>0</v>
      </c>
      <c r="T63" s="906"/>
    </row>
    <row r="64" spans="2:20" customFormat="1" ht="51" x14ac:dyDescent="0.25">
      <c r="B64" s="97"/>
      <c r="C64" s="854" t="s">
        <v>212</v>
      </c>
      <c r="D64" s="100"/>
      <c r="E64" s="98" t="s">
        <v>214</v>
      </c>
      <c r="F64" s="902" t="s">
        <v>160</v>
      </c>
      <c r="G64" s="912" t="s">
        <v>210</v>
      </c>
      <c r="H64" s="990"/>
      <c r="I64" s="990"/>
      <c r="J64" s="990"/>
      <c r="K64" s="991">
        <f>I64*J64</f>
        <v>0</v>
      </c>
      <c r="L64" s="990"/>
      <c r="M64" s="990"/>
      <c r="N64" s="991">
        <f>L64*M64</f>
        <v>0</v>
      </c>
      <c r="O64" s="992"/>
      <c r="P64" s="990"/>
      <c r="Q64" s="992"/>
      <c r="R64" s="994">
        <f t="shared" si="9"/>
        <v>0</v>
      </c>
      <c r="S64" s="845">
        <f t="shared" ref="S64:S66" si="10">IF(F64="NA","",R64*H64)</f>
        <v>0</v>
      </c>
      <c r="T64" s="884"/>
    </row>
    <row r="65" spans="2:20" customFormat="1" ht="51" x14ac:dyDescent="0.25">
      <c r="B65" s="97"/>
      <c r="C65" s="854" t="s">
        <v>212</v>
      </c>
      <c r="D65" s="100"/>
      <c r="E65" s="98" t="s">
        <v>215</v>
      </c>
      <c r="F65" s="902" t="s">
        <v>160</v>
      </c>
      <c r="G65" s="912" t="s">
        <v>210</v>
      </c>
      <c r="H65" s="990"/>
      <c r="I65" s="990"/>
      <c r="J65" s="990"/>
      <c r="K65" s="991">
        <f>I65*J65</f>
        <v>0</v>
      </c>
      <c r="L65" s="990"/>
      <c r="M65" s="990"/>
      <c r="N65" s="991">
        <f>L65*M65</f>
        <v>0</v>
      </c>
      <c r="O65" s="992"/>
      <c r="P65" s="990"/>
      <c r="Q65" s="992"/>
      <c r="R65" s="994">
        <f t="shared" si="9"/>
        <v>0</v>
      </c>
      <c r="S65" s="845">
        <f t="shared" si="10"/>
        <v>0</v>
      </c>
      <c r="T65" s="884"/>
    </row>
    <row r="66" spans="2:20" s="171" customFormat="1" ht="51" x14ac:dyDescent="0.2">
      <c r="B66" s="921"/>
      <c r="C66" s="907" t="s">
        <v>212</v>
      </c>
      <c r="D66" s="885"/>
      <c r="E66" s="888" t="s">
        <v>216</v>
      </c>
      <c r="F66" s="886" t="s">
        <v>160</v>
      </c>
      <c r="G66" s="912" t="s">
        <v>210</v>
      </c>
      <c r="H66" s="990"/>
      <c r="I66" s="990"/>
      <c r="J66" s="990"/>
      <c r="K66" s="991">
        <f>I66*J66</f>
        <v>0</v>
      </c>
      <c r="L66" s="990"/>
      <c r="M66" s="990"/>
      <c r="N66" s="991">
        <f>L66*M66</f>
        <v>0</v>
      </c>
      <c r="O66" s="992"/>
      <c r="P66" s="990"/>
      <c r="Q66" s="992"/>
      <c r="R66" s="994">
        <f t="shared" si="9"/>
        <v>0</v>
      </c>
      <c r="S66" s="891">
        <f t="shared" si="10"/>
        <v>0</v>
      </c>
      <c r="T66" s="892" t="s">
        <v>217</v>
      </c>
    </row>
    <row r="67" spans="2:20" s="171" customFormat="1" x14ac:dyDescent="0.2">
      <c r="B67" s="926"/>
      <c r="C67" s="927"/>
      <c r="D67" s="927"/>
      <c r="E67" s="928" t="s">
        <v>218</v>
      </c>
      <c r="F67" s="929"/>
      <c r="G67" s="929" t="s">
        <v>207</v>
      </c>
      <c r="H67" s="1116"/>
      <c r="I67" s="1116"/>
      <c r="J67" s="1116"/>
      <c r="K67" s="1116"/>
      <c r="L67" s="1116"/>
      <c r="M67" s="1116"/>
      <c r="N67" s="1116"/>
      <c r="O67" s="1116"/>
      <c r="P67" s="1116"/>
      <c r="Q67" s="1116"/>
      <c r="R67" s="929"/>
      <c r="S67" s="929"/>
      <c r="T67" s="930"/>
    </row>
    <row r="68" spans="2:20" customFormat="1" ht="38.25" x14ac:dyDescent="0.25">
      <c r="B68" s="910"/>
      <c r="C68" s="911" t="s">
        <v>219</v>
      </c>
      <c r="D68" s="912"/>
      <c r="E68" s="1420" t="s">
        <v>220</v>
      </c>
      <c r="F68" s="914" t="s">
        <v>167</v>
      </c>
      <c r="G68" s="912" t="s">
        <v>161</v>
      </c>
      <c r="H68" s="1200">
        <v>1</v>
      </c>
      <c r="I68" s="990">
        <v>42.561735075593603</v>
      </c>
      <c r="J68" s="990">
        <v>40</v>
      </c>
      <c r="K68" s="991">
        <f>I68*J68</f>
        <v>1702.4694030237442</v>
      </c>
      <c r="L68" s="990">
        <v>8</v>
      </c>
      <c r="M68" s="990">
        <v>200</v>
      </c>
      <c r="N68" s="991">
        <f>L68*M68</f>
        <v>1600</v>
      </c>
      <c r="O68" s="992"/>
      <c r="P68" s="990"/>
      <c r="Q68" s="992"/>
      <c r="R68" s="994">
        <f>P68+N68+K68</f>
        <v>3302.4694030237442</v>
      </c>
      <c r="S68" s="845">
        <f>IF(F68="NA","",R68*H68)</f>
        <v>3302.4694030237442</v>
      </c>
      <c r="T68" s="916"/>
    </row>
    <row r="69" spans="2:20" customFormat="1" ht="38.25" x14ac:dyDescent="0.25">
      <c r="B69" s="910"/>
      <c r="C69" s="911" t="s">
        <v>219</v>
      </c>
      <c r="D69" s="912"/>
      <c r="E69" s="1420" t="s">
        <v>221</v>
      </c>
      <c r="F69" s="914" t="s">
        <v>160</v>
      </c>
      <c r="G69" s="912" t="s">
        <v>161</v>
      </c>
      <c r="H69" s="1418">
        <v>1</v>
      </c>
      <c r="I69" s="990">
        <v>153.55192979732232</v>
      </c>
      <c r="J69" s="990">
        <v>40</v>
      </c>
      <c r="K69" s="991">
        <f>I69*J69</f>
        <v>6142.0771918928931</v>
      </c>
      <c r="L69" s="990">
        <v>80</v>
      </c>
      <c r="M69" s="990">
        <v>70</v>
      </c>
      <c r="N69" s="991">
        <f>L69*M69</f>
        <v>5600</v>
      </c>
      <c r="O69" s="992"/>
      <c r="P69" s="990">
        <v>1500</v>
      </c>
      <c r="Q69" s="992"/>
      <c r="R69" s="994">
        <f>P69+N69+K69</f>
        <v>13242.077191892893</v>
      </c>
      <c r="S69" s="845">
        <f>IF(F69="NA","",R69*H69)</f>
        <v>13242.077191892893</v>
      </c>
      <c r="T69" s="916"/>
    </row>
    <row r="70" spans="2:20" customFormat="1" ht="38.25" x14ac:dyDescent="0.25">
      <c r="B70" s="910"/>
      <c r="C70" s="911" t="s">
        <v>219</v>
      </c>
      <c r="D70" s="912"/>
      <c r="E70" s="1420" t="s">
        <v>222</v>
      </c>
      <c r="F70" s="914" t="s">
        <v>160</v>
      </c>
      <c r="G70" s="912" t="s">
        <v>161</v>
      </c>
      <c r="H70" s="1418">
        <v>1</v>
      </c>
      <c r="I70" s="990">
        <v>153.55192979732232</v>
      </c>
      <c r="J70" s="990">
        <v>40</v>
      </c>
      <c r="K70" s="991">
        <f>I70*J70</f>
        <v>6142.0771918928931</v>
      </c>
      <c r="L70" s="990">
        <v>80</v>
      </c>
      <c r="M70" s="990">
        <v>70</v>
      </c>
      <c r="N70" s="991">
        <f>L70*M70</f>
        <v>5600</v>
      </c>
      <c r="O70" s="992"/>
      <c r="P70" s="990">
        <v>1500</v>
      </c>
      <c r="Q70" s="992"/>
      <c r="R70" s="994">
        <f>P70+N70+K70</f>
        <v>13242.077191892893</v>
      </c>
      <c r="S70" s="845">
        <f>IF(F70="NA","",R70*H70)</f>
        <v>13242.077191892893</v>
      </c>
      <c r="T70" s="916"/>
    </row>
    <row r="71" spans="2:20" ht="13.5" x14ac:dyDescent="0.25">
      <c r="B71" s="846"/>
      <c r="C71" s="846"/>
      <c r="D71" s="846"/>
      <c r="E71" s="847"/>
      <c r="F71" s="847"/>
      <c r="G71" s="846"/>
      <c r="H71" s="1117"/>
      <c r="I71" s="1117"/>
      <c r="J71" s="1117"/>
      <c r="K71" s="1117"/>
      <c r="L71" s="1117"/>
      <c r="M71" s="1117"/>
      <c r="N71" s="1117"/>
      <c r="O71" s="1117"/>
      <c r="P71" s="1117"/>
      <c r="Q71" s="1117"/>
      <c r="R71" s="848"/>
      <c r="S71" s="849"/>
      <c r="T71" s="850"/>
    </row>
    <row r="72" spans="2:20" s="171" customFormat="1" ht="15.75" x14ac:dyDescent="0.2">
      <c r="B72" s="1511" t="s">
        <v>223</v>
      </c>
      <c r="C72" s="1511"/>
      <c r="D72" s="1511"/>
      <c r="E72" s="1511"/>
      <c r="F72" s="1511"/>
      <c r="G72" s="1511"/>
      <c r="H72" s="1511"/>
      <c r="I72" s="1511"/>
      <c r="J72" s="1511"/>
      <c r="K72" s="1511"/>
      <c r="L72" s="1511"/>
      <c r="M72" s="1511"/>
      <c r="N72" s="1511"/>
      <c r="O72" s="1511"/>
      <c r="P72" s="1511"/>
      <c r="Q72" s="1511"/>
      <c r="R72" s="1511"/>
      <c r="S72" s="1511"/>
      <c r="T72" s="1511"/>
    </row>
    <row r="73" spans="2:20" s="171" customFormat="1" ht="15.75" thickBot="1" x14ac:dyDescent="0.25">
      <c r="B73" s="121"/>
      <c r="C73" s="26"/>
      <c r="D73" s="26"/>
      <c r="E73" s="28"/>
      <c r="F73" s="30"/>
      <c r="G73" s="29"/>
      <c r="H73" s="1105"/>
      <c r="I73" s="1105"/>
      <c r="J73" s="1105"/>
      <c r="K73" s="1105"/>
      <c r="L73" s="1105"/>
      <c r="M73" s="1105"/>
      <c r="N73" s="1105"/>
      <c r="O73" s="1105"/>
      <c r="P73" s="1105"/>
      <c r="Q73" s="1105"/>
    </row>
    <row r="74" spans="2:20" s="172" customFormat="1" ht="75" x14ac:dyDescent="0.25">
      <c r="B74" s="882" t="s">
        <v>186</v>
      </c>
      <c r="C74" s="883" t="s">
        <v>136</v>
      </c>
      <c r="D74" s="883" t="s">
        <v>137</v>
      </c>
      <c r="E74" s="709" t="s">
        <v>187</v>
      </c>
      <c r="F74" s="90" t="s">
        <v>139</v>
      </c>
      <c r="G74" s="33" t="s">
        <v>140</v>
      </c>
      <c r="H74" s="33" t="s">
        <v>141</v>
      </c>
      <c r="I74" s="33"/>
      <c r="J74" s="33"/>
      <c r="K74" s="33"/>
      <c r="L74" s="33"/>
      <c r="M74" s="33"/>
      <c r="N74" s="33"/>
      <c r="O74" s="33"/>
      <c r="P74" s="33"/>
      <c r="Q74" s="33"/>
      <c r="R74" s="33" t="s">
        <v>145</v>
      </c>
      <c r="S74" s="33" t="s">
        <v>146</v>
      </c>
      <c r="T74" s="92" t="s">
        <v>147</v>
      </c>
    </row>
    <row r="75" spans="2:20" s="173" customFormat="1" ht="14.25" customHeight="1" collapsed="1" x14ac:dyDescent="0.2">
      <c r="B75" s="1497" t="s">
        <v>223</v>
      </c>
      <c r="C75" s="1497"/>
      <c r="D75" s="1497"/>
      <c r="E75" s="1497"/>
      <c r="F75" s="1496" t="s">
        <v>154</v>
      </c>
      <c r="G75" s="1497"/>
      <c r="H75" s="1497"/>
      <c r="I75" s="1497"/>
      <c r="J75" s="1497"/>
      <c r="K75" s="1497"/>
      <c r="L75" s="1497"/>
      <c r="M75" s="1497"/>
      <c r="N75" s="1497"/>
      <c r="O75" s="1497"/>
      <c r="P75" s="1497"/>
      <c r="Q75" s="1497"/>
      <c r="R75" s="1498"/>
      <c r="S75" s="863">
        <f>SUMIF(F77:F87,"Mandatory",S77:S87)</f>
        <v>368607.28343718417</v>
      </c>
      <c r="T75" s="917"/>
    </row>
    <row r="76" spans="2:20" s="173" customFormat="1" ht="14.25" customHeight="1" x14ac:dyDescent="0.2">
      <c r="B76" s="1500"/>
      <c r="C76" s="1500"/>
      <c r="D76" s="1500"/>
      <c r="E76" s="1500"/>
      <c r="F76" s="1502" t="s">
        <v>156</v>
      </c>
      <c r="G76" s="1503"/>
      <c r="H76" s="1503"/>
      <c r="I76" s="1503"/>
      <c r="J76" s="1503"/>
      <c r="K76" s="1503"/>
      <c r="L76" s="1503"/>
      <c r="M76" s="1503"/>
      <c r="N76" s="1503"/>
      <c r="O76" s="1503"/>
      <c r="P76" s="1503"/>
      <c r="Q76" s="1503"/>
      <c r="R76" s="1504"/>
      <c r="S76" s="908">
        <f>SUMIF(F77:F87,"optional",S77:S87)</f>
        <v>4204.4326661951955</v>
      </c>
      <c r="T76" s="918"/>
    </row>
    <row r="77" spans="2:20" s="174" customFormat="1" ht="25.5" x14ac:dyDescent="0.25">
      <c r="B77" s="898"/>
      <c r="C77" s="899" t="s">
        <v>224</v>
      </c>
      <c r="D77" s="900"/>
      <c r="E77" s="901" t="s">
        <v>225</v>
      </c>
      <c r="F77" s="902" t="s">
        <v>160</v>
      </c>
      <c r="G77" s="900" t="s">
        <v>161</v>
      </c>
      <c r="H77" s="1106">
        <v>1</v>
      </c>
      <c r="I77" s="990"/>
      <c r="J77" s="990"/>
      <c r="K77" s="991">
        <f t="shared" ref="K77:K87" si="11">I77*J77</f>
        <v>0</v>
      </c>
      <c r="L77" s="990"/>
      <c r="M77" s="990"/>
      <c r="N77" s="991">
        <f t="shared" ref="N77:N87" si="12">L77*M77</f>
        <v>0</v>
      </c>
      <c r="O77" s="992"/>
      <c r="P77" s="990">
        <v>7848.2743102310314</v>
      </c>
      <c r="Q77" s="992"/>
      <c r="R77" s="994">
        <f>P77+N77+K77</f>
        <v>7848.2743102310314</v>
      </c>
      <c r="S77" s="845">
        <f>IF(F77="NA","",R77*H77)</f>
        <v>7848.2743102310314</v>
      </c>
      <c r="T77" s="906"/>
    </row>
    <row r="78" spans="2:20" s="178" customFormat="1" ht="25.5" x14ac:dyDescent="0.2">
      <c r="B78" s="97"/>
      <c r="C78" s="854" t="s">
        <v>226</v>
      </c>
      <c r="D78" s="100"/>
      <c r="E78" s="98" t="s">
        <v>227</v>
      </c>
      <c r="F78" s="855" t="s">
        <v>160</v>
      </c>
      <c r="G78" s="100" t="s">
        <v>161</v>
      </c>
      <c r="H78" s="1112">
        <v>1</v>
      </c>
      <c r="I78" s="990"/>
      <c r="J78" s="990"/>
      <c r="K78" s="991">
        <f t="shared" si="11"/>
        <v>0</v>
      </c>
      <c r="L78" s="990"/>
      <c r="M78" s="990"/>
      <c r="N78" s="991">
        <f t="shared" si="12"/>
        <v>0</v>
      </c>
      <c r="O78" s="992"/>
      <c r="P78" s="990">
        <v>114846.41407304743</v>
      </c>
      <c r="Q78" s="992"/>
      <c r="R78" s="994">
        <f t="shared" ref="R78:R87" si="13">P78+N78+K78</f>
        <v>114846.41407304743</v>
      </c>
      <c r="S78" s="845">
        <f t="shared" ref="S78:S87" si="14">IF(F78="NA","",R78*H78)</f>
        <v>114846.41407304743</v>
      </c>
      <c r="T78" s="884"/>
    </row>
    <row r="79" spans="2:20" s="178" customFormat="1" ht="25.5" x14ac:dyDescent="0.2">
      <c r="B79" s="97"/>
      <c r="C79" s="854" t="s">
        <v>228</v>
      </c>
      <c r="D79" s="100"/>
      <c r="E79" s="98" t="s">
        <v>229</v>
      </c>
      <c r="F79" s="1426" t="s">
        <v>191</v>
      </c>
      <c r="G79" s="100" t="s">
        <v>161</v>
      </c>
      <c r="H79" s="1112"/>
      <c r="I79" s="990"/>
      <c r="J79" s="990"/>
      <c r="K79" s="991">
        <f t="shared" si="11"/>
        <v>0</v>
      </c>
      <c r="L79" s="990"/>
      <c r="M79" s="990"/>
      <c r="N79" s="991">
        <f t="shared" si="12"/>
        <v>0</v>
      </c>
      <c r="O79" s="992"/>
      <c r="P79" s="990"/>
      <c r="Q79" s="992"/>
      <c r="R79" s="994">
        <f>P79+N79+K79</f>
        <v>0</v>
      </c>
      <c r="S79" s="845" t="str">
        <f t="shared" si="14"/>
        <v/>
      </c>
      <c r="T79" s="884"/>
    </row>
    <row r="80" spans="2:20" s="178" customFormat="1" ht="25.5" x14ac:dyDescent="0.2">
      <c r="B80" s="97"/>
      <c r="C80" s="854" t="s">
        <v>228</v>
      </c>
      <c r="D80" s="100"/>
      <c r="E80" s="98" t="s">
        <v>230</v>
      </c>
      <c r="F80" s="1426" t="s">
        <v>191</v>
      </c>
      <c r="G80" s="100" t="s">
        <v>161</v>
      </c>
      <c r="H80" s="1112"/>
      <c r="I80" s="990"/>
      <c r="J80" s="990"/>
      <c r="K80" s="991">
        <f t="shared" si="11"/>
        <v>0</v>
      </c>
      <c r="L80" s="990"/>
      <c r="M80" s="990"/>
      <c r="N80" s="991">
        <f t="shared" si="12"/>
        <v>0</v>
      </c>
      <c r="O80" s="992"/>
      <c r="P80" s="990"/>
      <c r="Q80" s="992"/>
      <c r="R80" s="994">
        <f t="shared" si="13"/>
        <v>0</v>
      </c>
      <c r="S80" s="845" t="str">
        <f t="shared" si="14"/>
        <v/>
      </c>
      <c r="T80" s="884"/>
    </row>
    <row r="81" spans="2:20" s="178" customFormat="1" ht="38.25" x14ac:dyDescent="0.2">
      <c r="B81" s="97"/>
      <c r="C81" s="854" t="s">
        <v>231</v>
      </c>
      <c r="D81" s="100"/>
      <c r="E81" s="98" t="s">
        <v>232</v>
      </c>
      <c r="F81" s="855" t="s">
        <v>160</v>
      </c>
      <c r="G81" s="100" t="s">
        <v>161</v>
      </c>
      <c r="H81" s="1112">
        <v>1</v>
      </c>
      <c r="I81" s="990"/>
      <c r="J81" s="990"/>
      <c r="K81" s="991">
        <f t="shared" si="11"/>
        <v>0</v>
      </c>
      <c r="L81" s="990"/>
      <c r="M81" s="990"/>
      <c r="N81" s="991">
        <f t="shared" si="12"/>
        <v>0</v>
      </c>
      <c r="O81" s="992"/>
      <c r="P81" s="990"/>
      <c r="Q81" s="992"/>
      <c r="R81" s="994">
        <f t="shared" si="13"/>
        <v>0</v>
      </c>
      <c r="S81" s="845">
        <f t="shared" si="14"/>
        <v>0</v>
      </c>
      <c r="T81" s="884"/>
    </row>
    <row r="82" spans="2:20" s="178" customFormat="1" ht="25.5" x14ac:dyDescent="0.2">
      <c r="B82" s="97"/>
      <c r="C82" s="854" t="s">
        <v>233</v>
      </c>
      <c r="D82" s="100"/>
      <c r="E82" s="98" t="s">
        <v>234</v>
      </c>
      <c r="F82" s="855" t="s">
        <v>160</v>
      </c>
      <c r="G82" s="100" t="s">
        <v>161</v>
      </c>
      <c r="H82" s="1112">
        <v>1</v>
      </c>
      <c r="I82" s="990"/>
      <c r="J82" s="990"/>
      <c r="K82" s="991">
        <f t="shared" si="11"/>
        <v>0</v>
      </c>
      <c r="L82" s="990"/>
      <c r="M82" s="990"/>
      <c r="N82" s="991">
        <f t="shared" si="12"/>
        <v>0</v>
      </c>
      <c r="O82" s="992"/>
      <c r="P82" s="990"/>
      <c r="Q82" s="992"/>
      <c r="R82" s="994">
        <f t="shared" si="13"/>
        <v>0</v>
      </c>
      <c r="S82" s="845">
        <f t="shared" si="14"/>
        <v>0</v>
      </c>
      <c r="T82" s="884"/>
    </row>
    <row r="83" spans="2:20" s="178" customFormat="1" ht="25.5" x14ac:dyDescent="0.2">
      <c r="B83" s="97"/>
      <c r="C83" s="854" t="s">
        <v>235</v>
      </c>
      <c r="D83" s="100"/>
      <c r="E83" s="98" t="s">
        <v>236</v>
      </c>
      <c r="F83" s="855" t="s">
        <v>160</v>
      </c>
      <c r="G83" s="100" t="s">
        <v>237</v>
      </c>
      <c r="H83" s="1112">
        <v>10</v>
      </c>
      <c r="I83" s="990"/>
      <c r="J83" s="990"/>
      <c r="K83" s="991">
        <f t="shared" si="11"/>
        <v>0</v>
      </c>
      <c r="L83" s="990"/>
      <c r="M83" s="990"/>
      <c r="N83" s="991">
        <f t="shared" si="12"/>
        <v>0</v>
      </c>
      <c r="O83" s="992"/>
      <c r="P83" s="990">
        <v>23544.822930693095</v>
      </c>
      <c r="Q83" s="992"/>
      <c r="R83" s="994">
        <f t="shared" si="13"/>
        <v>23544.822930693095</v>
      </c>
      <c r="S83" s="845">
        <f t="shared" si="14"/>
        <v>235448.22930693097</v>
      </c>
      <c r="T83" s="884"/>
    </row>
    <row r="84" spans="2:20" s="178" customFormat="1" ht="25.5" x14ac:dyDescent="0.2">
      <c r="B84" s="97"/>
      <c r="C84" s="854" t="s">
        <v>238</v>
      </c>
      <c r="D84" s="100"/>
      <c r="E84" s="98" t="s">
        <v>239</v>
      </c>
      <c r="F84" s="855" t="s">
        <v>167</v>
      </c>
      <c r="G84" s="100" t="s">
        <v>240</v>
      </c>
      <c r="H84" s="1112">
        <v>1</v>
      </c>
      <c r="I84" s="990"/>
      <c r="J84" s="990"/>
      <c r="K84" s="991">
        <f t="shared" si="11"/>
        <v>0</v>
      </c>
      <c r="L84" s="990"/>
      <c r="M84" s="990"/>
      <c r="N84" s="991">
        <f t="shared" si="12"/>
        <v>0</v>
      </c>
      <c r="O84" s="992"/>
      <c r="P84" s="990">
        <v>4204.4326661951955</v>
      </c>
      <c r="Q84" s="992"/>
      <c r="R84" s="994">
        <f t="shared" si="13"/>
        <v>4204.4326661951955</v>
      </c>
      <c r="S84" s="845">
        <f t="shared" si="14"/>
        <v>4204.4326661951955</v>
      </c>
      <c r="T84" s="884"/>
    </row>
    <row r="85" spans="2:20" s="178" customFormat="1" ht="25.5" x14ac:dyDescent="0.2">
      <c r="B85" s="97"/>
      <c r="C85" s="854" t="s">
        <v>241</v>
      </c>
      <c r="D85" s="100"/>
      <c r="E85" s="98" t="s">
        <v>242</v>
      </c>
      <c r="F85" s="1426" t="s">
        <v>191</v>
      </c>
      <c r="G85" s="100" t="s">
        <v>237</v>
      </c>
      <c r="H85" s="1112"/>
      <c r="I85" s="990"/>
      <c r="J85" s="990"/>
      <c r="K85" s="991">
        <f t="shared" si="11"/>
        <v>0</v>
      </c>
      <c r="L85" s="990"/>
      <c r="M85" s="990"/>
      <c r="N85" s="991">
        <f t="shared" si="12"/>
        <v>0</v>
      </c>
      <c r="O85" s="992"/>
      <c r="P85" s="990"/>
      <c r="Q85" s="992"/>
      <c r="R85" s="994">
        <f t="shared" si="13"/>
        <v>0</v>
      </c>
      <c r="S85" s="845" t="str">
        <f t="shared" si="14"/>
        <v/>
      </c>
      <c r="T85" s="884"/>
    </row>
    <row r="86" spans="2:20" s="178" customFormat="1" ht="25.5" x14ac:dyDescent="0.2">
      <c r="B86" s="97"/>
      <c r="C86" s="854" t="s">
        <v>243</v>
      </c>
      <c r="D86" s="100"/>
      <c r="E86" s="98" t="s">
        <v>244</v>
      </c>
      <c r="F86" s="855" t="s">
        <v>160</v>
      </c>
      <c r="G86" s="100" t="s">
        <v>161</v>
      </c>
      <c r="H86" s="1112">
        <v>1</v>
      </c>
      <c r="I86" s="990"/>
      <c r="J86" s="990"/>
      <c r="K86" s="991">
        <f t="shared" si="11"/>
        <v>0</v>
      </c>
      <c r="L86" s="990"/>
      <c r="M86" s="990"/>
      <c r="N86" s="991">
        <f t="shared" si="12"/>
        <v>0</v>
      </c>
      <c r="O86" s="992"/>
      <c r="P86" s="990">
        <v>10464.365746974709</v>
      </c>
      <c r="Q86" s="992"/>
      <c r="R86" s="994">
        <f t="shared" si="13"/>
        <v>10464.365746974709</v>
      </c>
      <c r="S86" s="845">
        <f t="shared" si="14"/>
        <v>10464.365746974709</v>
      </c>
      <c r="T86" s="884"/>
    </row>
    <row r="87" spans="2:20" s="171" customFormat="1" ht="35.1" customHeight="1" x14ac:dyDescent="0.2">
      <c r="B87" s="921"/>
      <c r="C87" s="907" t="s">
        <v>245</v>
      </c>
      <c r="D87" s="885"/>
      <c r="E87" s="888" t="s">
        <v>246</v>
      </c>
      <c r="F87" s="1426" t="s">
        <v>191</v>
      </c>
      <c r="G87" s="885" t="s">
        <v>161</v>
      </c>
      <c r="H87" s="1113"/>
      <c r="I87" s="990"/>
      <c r="J87" s="990"/>
      <c r="K87" s="991">
        <f t="shared" si="11"/>
        <v>0</v>
      </c>
      <c r="L87" s="990"/>
      <c r="M87" s="990"/>
      <c r="N87" s="991">
        <f t="shared" si="12"/>
        <v>0</v>
      </c>
      <c r="O87" s="992"/>
      <c r="P87" s="990"/>
      <c r="Q87" s="992"/>
      <c r="R87" s="994">
        <f t="shared" si="13"/>
        <v>0</v>
      </c>
      <c r="S87" s="891" t="str">
        <f t="shared" si="14"/>
        <v/>
      </c>
      <c r="T87" s="892"/>
    </row>
    <row r="88" spans="2:20" s="1093" customFormat="1" ht="22.15" customHeight="1" collapsed="1" x14ac:dyDescent="0.25">
      <c r="B88" s="1509" t="s">
        <v>96</v>
      </c>
      <c r="C88" s="1509"/>
      <c r="D88" s="1509"/>
      <c r="E88" s="1509"/>
      <c r="F88" s="1505" t="s">
        <v>154</v>
      </c>
      <c r="G88" s="1505"/>
      <c r="H88" s="1505"/>
      <c r="I88" s="1505"/>
      <c r="J88" s="1505"/>
      <c r="K88" s="1505"/>
      <c r="L88" s="1505"/>
      <c r="M88" s="1505"/>
      <c r="N88" s="1505"/>
      <c r="O88" s="1505"/>
      <c r="P88" s="1505"/>
      <c r="Q88" s="1505"/>
      <c r="R88" s="1505"/>
      <c r="S88" s="908">
        <f>SUMIF(F91:F104,"Mandatory",S91:S104)</f>
        <v>95044.532923807797</v>
      </c>
      <c r="T88" s="1179" t="s">
        <v>155</v>
      </c>
    </row>
    <row r="89" spans="2:20" s="1093" customFormat="1" ht="22.15" customHeight="1" x14ac:dyDescent="0.25">
      <c r="B89" s="1510"/>
      <c r="C89" s="1510"/>
      <c r="D89" s="1510"/>
      <c r="E89" s="1510"/>
      <c r="F89" s="1506" t="s">
        <v>156</v>
      </c>
      <c r="G89" s="1507"/>
      <c r="H89" s="1507"/>
      <c r="I89" s="1507"/>
      <c r="J89" s="1507"/>
      <c r="K89" s="1507"/>
      <c r="L89" s="1507"/>
      <c r="M89" s="1507"/>
      <c r="N89" s="1507"/>
      <c r="O89" s="1507"/>
      <c r="P89" s="1507"/>
      <c r="Q89" s="1507"/>
      <c r="R89" s="1508"/>
      <c r="S89" s="863">
        <f>SUMIF(F91:F104,"optional",S91:S104)</f>
        <v>60643.161955245247</v>
      </c>
      <c r="T89" s="1180" t="s">
        <v>155</v>
      </c>
    </row>
    <row r="90" spans="2:20" s="1060" customFormat="1" ht="21.95" customHeight="1" x14ac:dyDescent="0.25">
      <c r="B90" s="1494" t="s">
        <v>247</v>
      </c>
      <c r="C90" s="1495"/>
      <c r="D90" s="1495"/>
      <c r="E90" s="1495"/>
      <c r="F90" s="928"/>
      <c r="G90" s="928"/>
      <c r="H90" s="928"/>
      <c r="I90" s="928"/>
      <c r="J90" s="928"/>
      <c r="K90" s="928"/>
      <c r="L90" s="928"/>
      <c r="M90" s="928"/>
      <c r="N90" s="928"/>
      <c r="O90" s="928"/>
      <c r="P90" s="928"/>
      <c r="Q90" s="928"/>
      <c r="R90" s="928"/>
      <c r="S90" s="928"/>
      <c r="T90" s="1181"/>
    </row>
    <row r="91" spans="2:20" s="970" customFormat="1" ht="39.75" customHeight="1" x14ac:dyDescent="0.25">
      <c r="B91" s="984"/>
      <c r="C91" s="985" t="s">
        <v>248</v>
      </c>
      <c r="D91" s="986"/>
      <c r="E91" s="1080" t="s">
        <v>249</v>
      </c>
      <c r="F91" s="987" t="s">
        <v>160</v>
      </c>
      <c r="G91" s="885" t="s">
        <v>161</v>
      </c>
      <c r="H91" s="1113">
        <v>1</v>
      </c>
      <c r="I91" s="990">
        <v>78.94710884928503</v>
      </c>
      <c r="J91" s="990">
        <v>50</v>
      </c>
      <c r="K91" s="991">
        <f>I91*J91</f>
        <v>3947.3554424642516</v>
      </c>
      <c r="L91" s="990"/>
      <c r="M91" s="990"/>
      <c r="N91" s="991">
        <f>L91*M91</f>
        <v>0</v>
      </c>
      <c r="O91" s="992"/>
      <c r="P91" s="990">
        <v>500</v>
      </c>
      <c r="Q91" s="992"/>
      <c r="R91" s="994">
        <f>P91+N91+K91</f>
        <v>4447.3554424642516</v>
      </c>
      <c r="S91" s="1034">
        <f>H91*R91</f>
        <v>4447.3554424642516</v>
      </c>
      <c r="T91" s="993"/>
    </row>
    <row r="92" spans="2:20" s="1060" customFormat="1" ht="21.95" customHeight="1" x14ac:dyDescent="0.25">
      <c r="B92" s="1494" t="s">
        <v>250</v>
      </c>
      <c r="C92" s="1495"/>
      <c r="D92" s="1495"/>
      <c r="E92" s="1495"/>
      <c r="F92" s="928"/>
      <c r="G92" s="928"/>
      <c r="H92" s="928"/>
      <c r="I92" s="928"/>
      <c r="J92" s="928"/>
      <c r="K92" s="928"/>
      <c r="L92" s="928"/>
      <c r="M92" s="928"/>
      <c r="N92" s="928"/>
      <c r="O92" s="928"/>
      <c r="P92" s="928"/>
      <c r="Q92" s="928"/>
      <c r="R92" s="928"/>
      <c r="S92" s="928"/>
      <c r="T92" s="1181"/>
    </row>
    <row r="93" spans="2:20" s="970" customFormat="1" ht="39.75" customHeight="1" x14ac:dyDescent="0.25">
      <c r="B93" s="984"/>
      <c r="C93" s="985" t="s">
        <v>248</v>
      </c>
      <c r="D93" s="986"/>
      <c r="E93" s="1080" t="s">
        <v>251</v>
      </c>
      <c r="F93" s="987" t="s">
        <v>160</v>
      </c>
      <c r="G93" s="885" t="s">
        <v>161</v>
      </c>
      <c r="H93" s="1113">
        <v>1</v>
      </c>
      <c r="I93" s="990">
        <v>516.53092740594116</v>
      </c>
      <c r="J93" s="990">
        <v>50</v>
      </c>
      <c r="K93" s="991">
        <f>I93*J93</f>
        <v>25826.546370297059</v>
      </c>
      <c r="L93" s="990"/>
      <c r="M93" s="990"/>
      <c r="N93" s="991">
        <f>L93*M93</f>
        <v>0</v>
      </c>
      <c r="O93" s="992"/>
      <c r="P93" s="990">
        <v>1250</v>
      </c>
      <c r="Q93" s="992"/>
      <c r="R93" s="994">
        <f>P93+N93+K93</f>
        <v>27076.546370297059</v>
      </c>
      <c r="S93" s="1034">
        <f>H93*R93</f>
        <v>27076.546370297059</v>
      </c>
      <c r="T93" s="993"/>
    </row>
    <row r="94" spans="2:20" s="1060" customFormat="1" ht="21.95" customHeight="1" x14ac:dyDescent="0.25">
      <c r="B94" s="1494" t="s">
        <v>252</v>
      </c>
      <c r="C94" s="1495"/>
      <c r="D94" s="1495"/>
      <c r="E94" s="1495"/>
      <c r="F94" s="928"/>
      <c r="G94" s="928"/>
      <c r="H94" s="928"/>
      <c r="I94" s="928"/>
      <c r="J94" s="928"/>
      <c r="K94" s="928"/>
      <c r="L94" s="928"/>
      <c r="M94" s="928"/>
      <c r="N94" s="928"/>
      <c r="O94" s="928"/>
      <c r="P94" s="928"/>
      <c r="Q94" s="928"/>
      <c r="R94" s="928"/>
      <c r="S94" s="928"/>
      <c r="T94" s="1181"/>
    </row>
    <row r="95" spans="2:20" s="970" customFormat="1" ht="39.75" customHeight="1" x14ac:dyDescent="0.25">
      <c r="B95" s="984"/>
      <c r="C95" s="985" t="s">
        <v>248</v>
      </c>
      <c r="D95" s="986"/>
      <c r="E95" s="1080" t="s">
        <v>252</v>
      </c>
      <c r="F95" s="987" t="s">
        <v>160</v>
      </c>
      <c r="G95" s="885" t="s">
        <v>161</v>
      </c>
      <c r="H95" s="1113">
        <v>1</v>
      </c>
      <c r="I95" s="990">
        <v>311.94934976457682</v>
      </c>
      <c r="J95" s="990">
        <v>50</v>
      </c>
      <c r="K95" s="991">
        <f>I95*J95</f>
        <v>15597.467488228842</v>
      </c>
      <c r="L95" s="990"/>
      <c r="M95" s="990"/>
      <c r="N95" s="991">
        <f>L95*M95</f>
        <v>0</v>
      </c>
      <c r="O95" s="992"/>
      <c r="P95" s="990">
        <v>3500</v>
      </c>
      <c r="Q95" s="992"/>
      <c r="R95" s="994">
        <f>P95+N95+K95</f>
        <v>19097.467488228842</v>
      </c>
      <c r="S95" s="1034">
        <f>H95*R95</f>
        <v>19097.467488228842</v>
      </c>
      <c r="T95" s="993"/>
    </row>
    <row r="96" spans="2:20" s="1060" customFormat="1" ht="21.95" customHeight="1" x14ac:dyDescent="0.25">
      <c r="B96" s="1494" t="s">
        <v>253</v>
      </c>
      <c r="C96" s="1495"/>
      <c r="D96" s="1495"/>
      <c r="E96" s="1495"/>
      <c r="F96" s="928"/>
      <c r="G96" s="928"/>
      <c r="H96" s="928"/>
      <c r="I96" s="928"/>
      <c r="J96" s="928"/>
      <c r="K96" s="928"/>
      <c r="L96" s="928"/>
      <c r="M96" s="928"/>
      <c r="N96" s="928"/>
      <c r="O96" s="928"/>
      <c r="P96" s="928"/>
      <c r="Q96" s="928"/>
      <c r="R96" s="928"/>
      <c r="S96" s="928"/>
      <c r="T96" s="1181"/>
    </row>
    <row r="97" spans="2:20" s="970" customFormat="1" ht="39.75" customHeight="1" x14ac:dyDescent="0.25">
      <c r="B97" s="984"/>
      <c r="C97" s="985" t="s">
        <v>254</v>
      </c>
      <c r="D97" s="986"/>
      <c r="E97" s="1422" t="s">
        <v>255</v>
      </c>
      <c r="F97" s="987" t="s">
        <v>160</v>
      </c>
      <c r="G97" s="885" t="s">
        <v>161</v>
      </c>
      <c r="H97" s="1113">
        <v>1</v>
      </c>
      <c r="I97" s="990">
        <v>560.47340250343768</v>
      </c>
      <c r="J97" s="990">
        <v>50</v>
      </c>
      <c r="K97" s="991">
        <f>I97*J97</f>
        <v>28023.670125171884</v>
      </c>
      <c r="L97" s="990"/>
      <c r="M97" s="990"/>
      <c r="N97" s="991">
        <f>L97*M97</f>
        <v>0</v>
      </c>
      <c r="O97" s="992"/>
      <c r="P97" s="990">
        <v>12580</v>
      </c>
      <c r="Q97" s="992"/>
      <c r="R97" s="994">
        <f>P97+N97+K97</f>
        <v>40603.670125171884</v>
      </c>
      <c r="S97" s="1034">
        <f>H97*R97</f>
        <v>40603.670125171884</v>
      </c>
      <c r="T97" s="993"/>
    </row>
    <row r="98" spans="2:20" s="970" customFormat="1" ht="39.75" customHeight="1" x14ac:dyDescent="0.25">
      <c r="B98" s="984"/>
      <c r="C98" s="985" t="s">
        <v>254</v>
      </c>
      <c r="D98" s="986"/>
      <c r="E98" s="1422" t="s">
        <v>256</v>
      </c>
      <c r="F98" s="987" t="s">
        <v>167</v>
      </c>
      <c r="G98" s="885" t="s">
        <v>237</v>
      </c>
      <c r="H98" s="1113">
        <v>1</v>
      </c>
      <c r="I98" s="990">
        <v>809.39663244263841</v>
      </c>
      <c r="J98" s="990">
        <v>50</v>
      </c>
      <c r="K98" s="991">
        <f>I98*J98</f>
        <v>40469.831622131918</v>
      </c>
      <c r="L98" s="990"/>
      <c r="M98" s="990"/>
      <c r="N98" s="991">
        <f>L98*M98</f>
        <v>0</v>
      </c>
      <c r="O98" s="992"/>
      <c r="P98" s="990">
        <v>5000</v>
      </c>
      <c r="Q98" s="992"/>
      <c r="R98" s="994">
        <f>P98+N98+K98</f>
        <v>45469.831622131918</v>
      </c>
      <c r="S98" s="1034">
        <f>H98*R98</f>
        <v>45469.831622131918</v>
      </c>
      <c r="T98" s="993"/>
    </row>
    <row r="99" spans="2:20" s="1060" customFormat="1" ht="21.95" customHeight="1" x14ac:dyDescent="0.25">
      <c r="B99" s="1494" t="s">
        <v>257</v>
      </c>
      <c r="C99" s="1495"/>
      <c r="D99" s="1495"/>
      <c r="E99" s="1495"/>
      <c r="F99" s="928"/>
      <c r="G99" s="928"/>
      <c r="H99" s="928"/>
      <c r="I99" s="928"/>
      <c r="J99" s="928"/>
      <c r="K99" s="928"/>
      <c r="L99" s="928"/>
      <c r="M99" s="928"/>
      <c r="N99" s="928"/>
      <c r="O99" s="928"/>
      <c r="P99" s="928"/>
      <c r="Q99" s="928"/>
      <c r="R99" s="928"/>
      <c r="S99" s="928"/>
      <c r="T99" s="1181"/>
    </row>
    <row r="100" spans="2:20" s="1063" customFormat="1" ht="25.5" x14ac:dyDescent="0.25">
      <c r="B100" s="696"/>
      <c r="C100" s="937" t="s">
        <v>248</v>
      </c>
      <c r="D100" s="1182"/>
      <c r="E100" s="1120" t="s">
        <v>258</v>
      </c>
      <c r="F100" s="145" t="s">
        <v>160</v>
      </c>
      <c r="G100" s="885" t="s">
        <v>161</v>
      </c>
      <c r="H100" s="1113">
        <v>1</v>
      </c>
      <c r="I100" s="990">
        <v>71.389869952915376</v>
      </c>
      <c r="J100" s="990">
        <v>50</v>
      </c>
      <c r="K100" s="991">
        <f>I100*J100</f>
        <v>3569.4934976457689</v>
      </c>
      <c r="L100" s="990"/>
      <c r="M100" s="990"/>
      <c r="N100" s="991">
        <f>L100*M100</f>
        <v>0</v>
      </c>
      <c r="O100" s="992"/>
      <c r="P100" s="990">
        <v>250</v>
      </c>
      <c r="Q100" s="992"/>
      <c r="R100" s="994">
        <f>P100+N100+K100</f>
        <v>3819.4934976457689</v>
      </c>
      <c r="S100" s="1034">
        <f>H100*R100</f>
        <v>3819.4934976457689</v>
      </c>
      <c r="T100" s="993"/>
    </row>
    <row r="101" spans="2:20" s="1060" customFormat="1" ht="21.95" customHeight="1" x14ac:dyDescent="0.25">
      <c r="B101" s="1494" t="s">
        <v>259</v>
      </c>
      <c r="C101" s="1495"/>
      <c r="D101" s="1495"/>
      <c r="E101" s="1495"/>
      <c r="F101" s="928"/>
      <c r="G101" s="928"/>
      <c r="H101" s="928"/>
      <c r="I101" s="928"/>
      <c r="J101" s="928"/>
      <c r="K101" s="928"/>
      <c r="L101" s="928"/>
      <c r="M101" s="928"/>
      <c r="N101" s="928"/>
      <c r="O101" s="928"/>
      <c r="P101" s="928"/>
      <c r="Q101" s="928"/>
      <c r="R101" s="928"/>
      <c r="S101" s="928"/>
      <c r="T101" s="1181"/>
    </row>
    <row r="102" spans="2:20" s="1085" customFormat="1" ht="28.9" customHeight="1" x14ac:dyDescent="0.25">
      <c r="B102" s="696"/>
      <c r="C102" s="937" t="s">
        <v>248</v>
      </c>
      <c r="D102" s="1182"/>
      <c r="E102" s="1120" t="s">
        <v>260</v>
      </c>
      <c r="F102" s="145" t="s">
        <v>191</v>
      </c>
      <c r="G102" s="1183"/>
      <c r="H102" s="989"/>
      <c r="I102" s="990"/>
      <c r="J102" s="990"/>
      <c r="K102" s="991">
        <f>I102*J102</f>
        <v>0</v>
      </c>
      <c r="L102" s="990"/>
      <c r="M102" s="990"/>
      <c r="N102" s="991">
        <f>L102*M102</f>
        <v>0</v>
      </c>
      <c r="O102" s="992"/>
      <c r="P102" s="990"/>
      <c r="Q102" s="992"/>
      <c r="R102" s="994">
        <f>P102+N102+K102</f>
        <v>0</v>
      </c>
      <c r="S102" s="1034">
        <f>H102*R102</f>
        <v>0</v>
      </c>
      <c r="T102" s="993"/>
    </row>
    <row r="103" spans="2:20" ht="21.95" customHeight="1" x14ac:dyDescent="0.25">
      <c r="B103" s="1494" t="s">
        <v>261</v>
      </c>
      <c r="C103" s="1495"/>
      <c r="D103" s="1495"/>
      <c r="E103" s="1495"/>
      <c r="F103" s="947"/>
      <c r="G103" s="947"/>
      <c r="H103" s="1100"/>
      <c r="I103" s="947"/>
      <c r="J103" s="947"/>
      <c r="K103" s="947"/>
      <c r="L103" s="947"/>
      <c r="M103" s="947"/>
      <c r="N103" s="947"/>
      <c r="O103" s="947"/>
      <c r="P103" s="947"/>
      <c r="Q103" s="947"/>
      <c r="R103" s="947"/>
      <c r="S103" s="947"/>
      <c r="T103" s="947"/>
    </row>
    <row r="104" spans="2:20" s="970" customFormat="1" ht="46.5" customHeight="1" x14ac:dyDescent="0.25">
      <c r="B104" s="1121"/>
      <c r="C104" s="971" t="s">
        <v>262</v>
      </c>
      <c r="D104" s="881"/>
      <c r="E104" s="1270" t="s">
        <v>263</v>
      </c>
      <c r="F104" s="495" t="s">
        <v>167</v>
      </c>
      <c r="G104" s="885" t="s">
        <v>161</v>
      </c>
      <c r="H104" s="1113">
        <v>1</v>
      </c>
      <c r="I104" s="966">
        <v>261.46660666226654</v>
      </c>
      <c r="J104" s="966">
        <v>50</v>
      </c>
      <c r="K104" s="991">
        <f>I104*J104</f>
        <v>13073.330333113327</v>
      </c>
      <c r="L104" s="990"/>
      <c r="M104" s="990"/>
      <c r="N104" s="991">
        <f>L104*M104</f>
        <v>0</v>
      </c>
      <c r="O104" s="968"/>
      <c r="P104" s="966">
        <v>2100</v>
      </c>
      <c r="Q104" s="968"/>
      <c r="R104" s="994">
        <f>P104+N104+K104</f>
        <v>15173.330333113327</v>
      </c>
      <c r="S104" s="1034">
        <f>H104*R104</f>
        <v>15173.330333113327</v>
      </c>
      <c r="T104" s="975"/>
    </row>
    <row r="106" spans="2:20" s="135" customFormat="1" ht="14.25" x14ac:dyDescent="0.2">
      <c r="B106" s="121"/>
      <c r="C106" s="26"/>
      <c r="D106" s="26"/>
      <c r="E106" s="122"/>
      <c r="F106" s="30"/>
      <c r="G106" s="29"/>
      <c r="H106" s="1118"/>
      <c r="I106" s="1118"/>
      <c r="J106" s="1118"/>
      <c r="K106" s="1118"/>
      <c r="L106" s="1118"/>
      <c r="M106" s="1118"/>
      <c r="N106" s="1118"/>
      <c r="O106" s="1118"/>
      <c r="P106" s="1118"/>
      <c r="Q106" s="1118"/>
      <c r="R106" s="1380" t="s">
        <v>154</v>
      </c>
      <c r="S106" s="1437">
        <f>S6+S12+S17+S36+S44+S58+S75+S88</f>
        <v>1273888.2084761234</v>
      </c>
    </row>
    <row r="107" spans="2:20" x14ac:dyDescent="0.2">
      <c r="R107" s="1380" t="s">
        <v>156</v>
      </c>
      <c r="S107" s="1437">
        <f>S7+S13+S18+S37+S45+S59+S76+S89</f>
        <v>275471.23697414948</v>
      </c>
    </row>
  </sheetData>
  <autoFilter ref="B4:T104" xr:uid="{29675250-BB08-416D-8CFE-CDAEE291A683}">
    <filterColumn colId="7" showButton="0"/>
    <filterColumn colId="8" showButton="0"/>
    <filterColumn colId="10" showButton="0"/>
    <filterColumn colId="11" showButton="0"/>
    <filterColumn colId="12" showButton="0"/>
    <filterColumn colId="14" showButton="0"/>
  </autoFilter>
  <sortState xmlns:xlrd2="http://schemas.microsoft.com/office/spreadsheetml/2017/richdata2" ref="C24">
    <sortCondition ref="C24"/>
  </sortState>
  <mergeCells count="50">
    <mergeCell ref="T19:T31"/>
    <mergeCell ref="B55:T55"/>
    <mergeCell ref="F75:R75"/>
    <mergeCell ref="F76:R76"/>
    <mergeCell ref="B72:T72"/>
    <mergeCell ref="F36:R36"/>
    <mergeCell ref="F37:R37"/>
    <mergeCell ref="B36:E37"/>
    <mergeCell ref="F44:R44"/>
    <mergeCell ref="F45:R45"/>
    <mergeCell ref="B44:E45"/>
    <mergeCell ref="B75:E76"/>
    <mergeCell ref="T4:T5"/>
    <mergeCell ref="I4:K4"/>
    <mergeCell ref="L4:O4"/>
    <mergeCell ref="P4:Q4"/>
    <mergeCell ref="B10:E10"/>
    <mergeCell ref="B6:E7"/>
    <mergeCell ref="F6:R6"/>
    <mergeCell ref="F7:R7"/>
    <mergeCell ref="B8:E8"/>
    <mergeCell ref="B2:T2"/>
    <mergeCell ref="B12:E13"/>
    <mergeCell ref="F12:R12"/>
    <mergeCell ref="F13:R13"/>
    <mergeCell ref="B17:E18"/>
    <mergeCell ref="F17:R17"/>
    <mergeCell ref="F18:R18"/>
    <mergeCell ref="B4:B5"/>
    <mergeCell ref="C4:C5"/>
    <mergeCell ref="D4:D5"/>
    <mergeCell ref="E4:E5"/>
    <mergeCell ref="F4:F5"/>
    <mergeCell ref="G4:G5"/>
    <mergeCell ref="H4:H5"/>
    <mergeCell ref="R4:R5"/>
    <mergeCell ref="S4:S5"/>
    <mergeCell ref="B101:E101"/>
    <mergeCell ref="B103:E103"/>
    <mergeCell ref="B58:E59"/>
    <mergeCell ref="F58:R58"/>
    <mergeCell ref="F59:R59"/>
    <mergeCell ref="B99:E99"/>
    <mergeCell ref="F88:R88"/>
    <mergeCell ref="F89:R89"/>
    <mergeCell ref="B88:E89"/>
    <mergeCell ref="B90:E90"/>
    <mergeCell ref="B92:E92"/>
    <mergeCell ref="B94:E94"/>
    <mergeCell ref="B96:E96"/>
  </mergeCells>
  <dataValidations count="3">
    <dataValidation type="list" allowBlank="1" showInputMessage="1" showErrorMessage="1" sqref="H56:Q57 F71 F54 H60:Q60 H62:Q62 H67:Q67" xr:uid="{7AEA333A-0386-46B4-968F-86796E80FB88}">
      <formula1>"Mandatory, Option, Not Applicable, Applicable for LS"</formula1>
    </dataValidation>
    <dataValidation type="list" allowBlank="1" showInputMessage="1" showErrorMessage="1" sqref="F39 F41 F43 F47 F49 F51 F53 F102:F104 F61 F14:F16 F11 F68:F70 F93 F95 F91 F19:F31 F97:F98 F100 F63:F66 F77:F87" xr:uid="{FDF2024E-1E06-4CFC-88D3-C3048487CF0B}">
      <formula1>"Mandatory,Optional,NA"</formula1>
    </dataValidation>
    <dataValidation type="decimal" operator="greaterThanOrEqual" allowBlank="1" showInputMessage="1" showErrorMessage="1" sqref="P11 I11:J11 L11:M11 L93:M93 P91 I91:J91 L91:M91 P95 I95:J95 L95:M95 P93 I93:J93 I102:J104 P102 K103:S103 P104 L102:M102 L97:M98 P97:P98 P68:P70 P100 I100:J100 L100:M100 L104:M104 P14:P16 I14:J16 L14:M16 P19:P31 I19:J31 L19:M31 P39 I39:J39 L39:M39 P41 I41:J41 L41:M41 P43 I43:J43 L43:M43 P47 I47:J47 L47:M47 P49 I49:J49 L49:M49 P51 I51:J51 L51:M51 P53 I53:J53 L53:M53 P61 H61:J61 L61:M61 I68:J70 I97:J98 P77:P87 I77:J87 L77:M87 H63:J66 L63:M66 P63:P66 L68:M70" xr:uid="{C67B9A2D-E937-446C-BBF4-0777F1C8C79B}">
      <formula1>0</formula1>
    </dataValidation>
  </dataValidations>
  <pageMargins left="0.7" right="0.7" top="0.75" bottom="0.75" header="0.3" footer="0.3"/>
  <pageSetup paperSize="9" orientation="portrait" r:id="rId1"/>
  <headerFooter>
    <oddHeader>&amp;C&amp;"Arial"&amp;8&amp;K000000 INTERNAL&amp;1#_x000D_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91DEE-4346-478B-8FCF-641FDBC8D131}">
  <sheetPr>
    <tabColor rgb="FF00B050"/>
  </sheetPr>
  <dimension ref="B2:T24"/>
  <sheetViews>
    <sheetView showGridLines="0" zoomScale="90" zoomScaleNormal="90" zoomScaleSheetLayoutView="90" workbookViewId="0">
      <selection activeCell="E38" sqref="E38"/>
    </sheetView>
  </sheetViews>
  <sheetFormatPr defaultColWidth="11.5703125" defaultRowHeight="12.75" x14ac:dyDescent="0.2"/>
  <cols>
    <col min="1" max="1" width="6.42578125" style="171" customWidth="1"/>
    <col min="2" max="2" width="23.42578125" style="171" customWidth="1"/>
    <col min="3" max="3" width="35.7109375" style="180" customWidth="1"/>
    <col min="4" max="4" width="16.7109375" style="180" bestFit="1" customWidth="1"/>
    <col min="5" max="5" width="94" style="171" customWidth="1"/>
    <col min="6" max="6" width="15.7109375" style="180" bestFit="1" customWidth="1"/>
    <col min="7" max="7" width="16.28515625" style="180" customWidth="1"/>
    <col min="8" max="8" width="15.7109375" style="1105" bestFit="1" customWidth="1"/>
    <col min="9" max="17" width="15.7109375" style="1105" customWidth="1"/>
    <col min="18" max="16384" width="11.5703125" style="171"/>
  </cols>
  <sheetData>
    <row r="2" spans="2:20" ht="15.75" x14ac:dyDescent="0.2">
      <c r="B2" s="1511" t="s">
        <v>264</v>
      </c>
      <c r="C2" s="1511"/>
      <c r="D2" s="1511"/>
      <c r="E2" s="1511"/>
      <c r="F2" s="1511"/>
      <c r="G2" s="1511"/>
      <c r="H2" s="1511"/>
      <c r="I2" s="1511"/>
      <c r="J2" s="1511"/>
      <c r="K2" s="1511"/>
      <c r="L2" s="1511"/>
      <c r="M2" s="1511"/>
      <c r="N2" s="1511"/>
      <c r="O2" s="1511"/>
      <c r="P2" s="1511"/>
      <c r="Q2" s="1511"/>
      <c r="R2" s="1511"/>
      <c r="S2" s="1511"/>
      <c r="T2" s="1511"/>
    </row>
    <row r="3" spans="2:20" ht="15.75" thickBot="1" x14ac:dyDescent="0.25">
      <c r="B3" s="121"/>
      <c r="C3" s="26"/>
      <c r="D3" s="26"/>
      <c r="E3" s="28"/>
      <c r="F3" s="30"/>
      <c r="G3" s="29"/>
      <c r="H3" s="1111"/>
      <c r="I3" s="1111"/>
      <c r="J3" s="1111"/>
      <c r="K3" s="1111"/>
      <c r="L3" s="1111"/>
      <c r="M3" s="1111"/>
      <c r="N3" s="1111"/>
      <c r="O3" s="1111"/>
      <c r="P3" s="1111"/>
      <c r="Q3" s="1111"/>
    </row>
    <row r="4" spans="2:20" x14ac:dyDescent="0.2">
      <c r="B4" s="1540" t="s">
        <v>186</v>
      </c>
      <c r="C4" s="1540" t="s">
        <v>136</v>
      </c>
      <c r="D4" s="1540" t="s">
        <v>137</v>
      </c>
      <c r="E4" s="1540" t="s">
        <v>187</v>
      </c>
      <c r="F4" s="1546" t="s">
        <v>139</v>
      </c>
      <c r="G4" s="1524" t="s">
        <v>140</v>
      </c>
      <c r="H4" s="1524" t="s">
        <v>141</v>
      </c>
      <c r="I4" s="1528" t="s">
        <v>142</v>
      </c>
      <c r="J4" s="1528"/>
      <c r="K4" s="1528"/>
      <c r="L4" s="1528" t="s">
        <v>143</v>
      </c>
      <c r="M4" s="1528"/>
      <c r="N4" s="1528"/>
      <c r="O4" s="1528"/>
      <c r="P4" s="1528" t="s">
        <v>144</v>
      </c>
      <c r="Q4" s="1528"/>
      <c r="R4" s="1524" t="s">
        <v>145</v>
      </c>
      <c r="S4" s="1524" t="s">
        <v>146</v>
      </c>
      <c r="T4" s="1540" t="s">
        <v>147</v>
      </c>
    </row>
    <row r="5" spans="2:20" s="172" customFormat="1" ht="51" x14ac:dyDescent="0.25">
      <c r="B5" s="1541"/>
      <c r="C5" s="1541"/>
      <c r="D5" s="1541"/>
      <c r="E5" s="1541"/>
      <c r="F5" s="1547"/>
      <c r="G5" s="1525"/>
      <c r="H5" s="1525"/>
      <c r="I5" s="983" t="s">
        <v>148</v>
      </c>
      <c r="J5" s="983" t="s">
        <v>149</v>
      </c>
      <c r="K5" s="983" t="s">
        <v>150</v>
      </c>
      <c r="L5" s="983" t="s">
        <v>148</v>
      </c>
      <c r="M5" s="983" t="s">
        <v>149</v>
      </c>
      <c r="N5" s="983" t="s">
        <v>150</v>
      </c>
      <c r="O5" s="983" t="s">
        <v>151</v>
      </c>
      <c r="P5" s="983" t="s">
        <v>150</v>
      </c>
      <c r="Q5" s="983" t="s">
        <v>152</v>
      </c>
      <c r="R5" s="1525"/>
      <c r="S5" s="1525"/>
      <c r="T5" s="1541"/>
    </row>
    <row r="6" spans="2:20" s="172" customFormat="1" ht="24.75" customHeight="1" x14ac:dyDescent="0.25">
      <c r="B6" s="1542" t="s">
        <v>265</v>
      </c>
      <c r="C6" s="1543"/>
      <c r="D6" s="1543"/>
      <c r="E6" s="1543"/>
      <c r="F6" s="1502" t="s">
        <v>154</v>
      </c>
      <c r="G6" s="1503"/>
      <c r="H6" s="1503"/>
      <c r="I6" s="1503"/>
      <c r="J6" s="1503"/>
      <c r="K6" s="1503"/>
      <c r="L6" s="1503"/>
      <c r="M6" s="1503"/>
      <c r="N6" s="1503"/>
      <c r="O6" s="1503"/>
      <c r="P6" s="1503"/>
      <c r="Q6" s="1503"/>
      <c r="R6" s="1504"/>
      <c r="S6" s="917">
        <f>SUMIF(F8:F13,"mandatory",S8:S13)</f>
        <v>0</v>
      </c>
      <c r="T6" s="895"/>
    </row>
    <row r="7" spans="2:20" s="172" customFormat="1" ht="24.75" customHeight="1" x14ac:dyDescent="0.25">
      <c r="B7" s="1544"/>
      <c r="C7" s="1545"/>
      <c r="D7" s="1545"/>
      <c r="E7" s="1545"/>
      <c r="F7" s="1502" t="s">
        <v>156</v>
      </c>
      <c r="G7" s="1503"/>
      <c r="H7" s="1503"/>
      <c r="I7" s="1503"/>
      <c r="J7" s="1503"/>
      <c r="K7" s="1503"/>
      <c r="L7" s="1503"/>
      <c r="M7" s="1503"/>
      <c r="N7" s="1503"/>
      <c r="O7" s="1503"/>
      <c r="P7" s="1503"/>
      <c r="Q7" s="1503"/>
      <c r="R7" s="1504"/>
      <c r="S7" s="863">
        <f>SUMIF(F8:F13,"optional",S8:S13)</f>
        <v>0</v>
      </c>
      <c r="T7" s="931"/>
    </row>
    <row r="8" spans="2:20" s="431" customFormat="1" ht="18.75" customHeight="1" x14ac:dyDescent="0.25">
      <c r="B8" s="919"/>
      <c r="C8" s="899"/>
      <c r="D8" s="900"/>
      <c r="E8" s="901" t="s">
        <v>266</v>
      </c>
      <c r="F8" s="902" t="s">
        <v>167</v>
      </c>
      <c r="G8" s="900" t="s">
        <v>161</v>
      </c>
      <c r="H8" s="1106"/>
      <c r="I8" s="1290"/>
      <c r="J8" s="1290"/>
      <c r="K8" s="1297">
        <f>I8*J8</f>
        <v>0</v>
      </c>
      <c r="L8" s="1290"/>
      <c r="M8" s="1290"/>
      <c r="N8" s="1297">
        <f>L8*M8</f>
        <v>0</v>
      </c>
      <c r="O8" s="1298"/>
      <c r="P8" s="1290"/>
      <c r="Q8" s="1298"/>
      <c r="R8" s="1291">
        <f>P8+N8+K8</f>
        <v>0</v>
      </c>
      <c r="S8" s="1292">
        <f>IF(F8="na","",H8*R8)</f>
        <v>0</v>
      </c>
      <c r="T8" s="906"/>
    </row>
    <row r="9" spans="2:20" s="431" customFormat="1" ht="18.75" customHeight="1" x14ac:dyDescent="0.25">
      <c r="B9" s="97"/>
      <c r="C9" s="854"/>
      <c r="D9" s="100"/>
      <c r="E9" s="98" t="s">
        <v>267</v>
      </c>
      <c r="F9" s="855" t="s">
        <v>160</v>
      </c>
      <c r="G9" s="100" t="s">
        <v>161</v>
      </c>
      <c r="H9" s="1112"/>
      <c r="I9" s="1293"/>
      <c r="J9" s="1293"/>
      <c r="K9" s="1295">
        <f>I9*J9</f>
        <v>0</v>
      </c>
      <c r="L9" s="1293"/>
      <c r="M9" s="1293"/>
      <c r="N9" s="1295">
        <f>L9*M9</f>
        <v>0</v>
      </c>
      <c r="O9" s="1296"/>
      <c r="P9" s="1293"/>
      <c r="Q9" s="1296"/>
      <c r="R9" s="1294">
        <f>P9+N9+K9</f>
        <v>0</v>
      </c>
      <c r="S9" s="1124">
        <f>IF(F9="na","",H9*R9)</f>
        <v>0</v>
      </c>
      <c r="T9" s="884"/>
    </row>
    <row r="10" spans="2:20" s="431" customFormat="1" ht="18.75" customHeight="1" x14ac:dyDescent="0.25">
      <c r="B10" s="921"/>
      <c r="C10" s="907"/>
      <c r="D10" s="885"/>
      <c r="E10" s="888" t="s">
        <v>268</v>
      </c>
      <c r="F10" s="886" t="s">
        <v>167</v>
      </c>
      <c r="G10" s="885" t="s">
        <v>161</v>
      </c>
      <c r="H10" s="1113"/>
      <c r="I10" s="1300"/>
      <c r="J10" s="1300"/>
      <c r="K10" s="1301">
        <f>I10*J10</f>
        <v>0</v>
      </c>
      <c r="L10" s="1300"/>
      <c r="M10" s="1300"/>
      <c r="N10" s="1301">
        <f>L10*M10</f>
        <v>0</v>
      </c>
      <c r="O10" s="1302"/>
      <c r="P10" s="1300"/>
      <c r="Q10" s="1302"/>
      <c r="R10" s="1303">
        <f>P10+N10+K10</f>
        <v>0</v>
      </c>
      <c r="S10" s="1205">
        <f>IF(F10="na","",H10*R10)</f>
        <v>0</v>
      </c>
      <c r="T10" s="892"/>
    </row>
    <row r="11" spans="2:20" s="431" customFormat="1" ht="18.75" customHeight="1" x14ac:dyDescent="0.25">
      <c r="B11" s="97"/>
      <c r="C11" s="854"/>
      <c r="D11" s="100"/>
      <c r="E11" s="98" t="s">
        <v>269</v>
      </c>
      <c r="F11" s="855" t="s">
        <v>167</v>
      </c>
      <c r="G11" s="100" t="s">
        <v>161</v>
      </c>
      <c r="H11" s="1112"/>
      <c r="I11" s="1293"/>
      <c r="J11" s="1293"/>
      <c r="K11" s="1295">
        <f t="shared" ref="K11:K13" si="0">I11*J11</f>
        <v>0</v>
      </c>
      <c r="L11" s="1293"/>
      <c r="M11" s="1293"/>
      <c r="N11" s="1295">
        <f t="shared" ref="N11:N13" si="1">L11*M11</f>
        <v>0</v>
      </c>
      <c r="O11" s="1296"/>
      <c r="P11" s="1293"/>
      <c r="Q11" s="1296"/>
      <c r="R11" s="1294">
        <f t="shared" ref="R11:R13" si="2">P11+N11+K11</f>
        <v>0</v>
      </c>
      <c r="S11" s="1124">
        <f t="shared" ref="S11:S13" si="3">IF(F11="na","",H11*R11)</f>
        <v>0</v>
      </c>
      <c r="T11" s="884"/>
    </row>
    <row r="12" spans="2:20" s="431" customFormat="1" ht="18.75" customHeight="1" x14ac:dyDescent="0.25">
      <c r="B12" s="97"/>
      <c r="C12" s="854"/>
      <c r="D12" s="100"/>
      <c r="E12" s="98" t="s">
        <v>270</v>
      </c>
      <c r="F12" s="855" t="s">
        <v>160</v>
      </c>
      <c r="G12" s="100" t="s">
        <v>161</v>
      </c>
      <c r="H12" s="1112"/>
      <c r="I12" s="1293"/>
      <c r="J12" s="1293"/>
      <c r="K12" s="1295">
        <f t="shared" si="0"/>
        <v>0</v>
      </c>
      <c r="L12" s="1293"/>
      <c r="M12" s="1293"/>
      <c r="N12" s="1295">
        <f t="shared" si="1"/>
        <v>0</v>
      </c>
      <c r="O12" s="1296"/>
      <c r="P12" s="1293"/>
      <c r="Q12" s="1296"/>
      <c r="R12" s="1294">
        <f t="shared" si="2"/>
        <v>0</v>
      </c>
      <c r="S12" s="1124">
        <f t="shared" si="3"/>
        <v>0</v>
      </c>
      <c r="T12" s="884"/>
    </row>
    <row r="13" spans="2:20" s="431" customFormat="1" ht="18.75" customHeight="1" x14ac:dyDescent="0.25">
      <c r="B13" s="97"/>
      <c r="C13" s="854"/>
      <c r="D13" s="100"/>
      <c r="E13" s="98" t="s">
        <v>271</v>
      </c>
      <c r="F13" s="855" t="s">
        <v>167</v>
      </c>
      <c r="G13" s="100" t="s">
        <v>161</v>
      </c>
      <c r="H13" s="1112"/>
      <c r="I13" s="1293"/>
      <c r="J13" s="1293"/>
      <c r="K13" s="1295">
        <f t="shared" si="0"/>
        <v>0</v>
      </c>
      <c r="L13" s="1293"/>
      <c r="M13" s="1293"/>
      <c r="N13" s="1295">
        <f t="shared" si="1"/>
        <v>0</v>
      </c>
      <c r="O13" s="1296"/>
      <c r="P13" s="1293"/>
      <c r="Q13" s="1296"/>
      <c r="R13" s="1294">
        <f t="shared" si="2"/>
        <v>0</v>
      </c>
      <c r="S13" s="1124">
        <f t="shared" si="3"/>
        <v>0</v>
      </c>
      <c r="T13" s="884"/>
    </row>
    <row r="14" spans="2:20" s="173" customFormat="1" ht="22.5" customHeight="1" collapsed="1" x14ac:dyDescent="0.2">
      <c r="B14" s="1542" t="s">
        <v>56</v>
      </c>
      <c r="C14" s="1543"/>
      <c r="D14" s="1543"/>
      <c r="E14" s="1543"/>
      <c r="F14" s="1496" t="s">
        <v>154</v>
      </c>
      <c r="G14" s="1497"/>
      <c r="H14" s="1497"/>
      <c r="I14" s="1533"/>
      <c r="J14" s="1533"/>
      <c r="K14" s="1533"/>
      <c r="L14" s="1533"/>
      <c r="M14" s="1533"/>
      <c r="N14" s="1533"/>
      <c r="O14" s="1533"/>
      <c r="P14" s="1533"/>
      <c r="Q14" s="1533"/>
      <c r="R14" s="1550"/>
      <c r="S14" s="908">
        <f>SUMIF(F16:F18,"Mandatory",S16:S18)</f>
        <v>0</v>
      </c>
      <c r="T14" s="895"/>
    </row>
    <row r="15" spans="2:20" s="173" customFormat="1" ht="22.5" customHeight="1" x14ac:dyDescent="0.2">
      <c r="B15" s="1544"/>
      <c r="C15" s="1545"/>
      <c r="D15" s="1545"/>
      <c r="E15" s="1545"/>
      <c r="F15" s="1502" t="s">
        <v>156</v>
      </c>
      <c r="G15" s="1503"/>
      <c r="H15" s="1503"/>
      <c r="I15" s="1503"/>
      <c r="J15" s="1503"/>
      <c r="K15" s="1503"/>
      <c r="L15" s="1503"/>
      <c r="M15" s="1503"/>
      <c r="N15" s="1503"/>
      <c r="O15" s="1503"/>
      <c r="P15" s="1503"/>
      <c r="Q15" s="1503"/>
      <c r="R15" s="1504"/>
      <c r="S15" s="863">
        <f>SUMIF(F16:F18,"optional",S16:S18)</f>
        <v>0</v>
      </c>
      <c r="T15" s="896"/>
    </row>
    <row r="16" spans="2:20" s="431" customFormat="1" ht="25.5" x14ac:dyDescent="0.25">
      <c r="B16" s="97"/>
      <c r="C16" s="854" t="s">
        <v>272</v>
      </c>
      <c r="D16" s="100"/>
      <c r="E16" s="98" t="s">
        <v>273</v>
      </c>
      <c r="F16" s="855" t="s">
        <v>160</v>
      </c>
      <c r="G16" s="100" t="s">
        <v>274</v>
      </c>
      <c r="H16" s="1112"/>
      <c r="I16" s="1293"/>
      <c r="J16" s="1293"/>
      <c r="K16" s="1295">
        <f t="shared" ref="K16:K18" si="4">I16*J16</f>
        <v>0</v>
      </c>
      <c r="L16" s="1293"/>
      <c r="M16" s="1293"/>
      <c r="N16" s="1295">
        <f t="shared" ref="N16:N18" si="5">L16*M16</f>
        <v>0</v>
      </c>
      <c r="O16" s="1296"/>
      <c r="P16" s="1293"/>
      <c r="Q16" s="1296"/>
      <c r="R16" s="1294">
        <f t="shared" ref="R16:R18" si="6">P16+N16+K16</f>
        <v>0</v>
      </c>
      <c r="S16" s="1124">
        <f t="shared" ref="S16:S18" si="7">IF(F16="na","",H16*R16)</f>
        <v>0</v>
      </c>
      <c r="T16" s="884"/>
    </row>
    <row r="17" spans="2:20" s="431" customFormat="1" ht="25.5" x14ac:dyDescent="0.25">
      <c r="B17" s="97"/>
      <c r="C17" s="854" t="s">
        <v>272</v>
      </c>
      <c r="D17" s="100"/>
      <c r="E17" s="98" t="s">
        <v>275</v>
      </c>
      <c r="F17" s="855" t="s">
        <v>160</v>
      </c>
      <c r="G17" s="100" t="s">
        <v>274</v>
      </c>
      <c r="H17" s="1112"/>
      <c r="I17" s="1293"/>
      <c r="J17" s="1293"/>
      <c r="K17" s="1295">
        <f t="shared" si="4"/>
        <v>0</v>
      </c>
      <c r="L17" s="1293"/>
      <c r="M17" s="1293"/>
      <c r="N17" s="1295">
        <f t="shared" si="5"/>
        <v>0</v>
      </c>
      <c r="O17" s="1296"/>
      <c r="P17" s="1293"/>
      <c r="Q17" s="1296"/>
      <c r="R17" s="1294">
        <f t="shared" si="6"/>
        <v>0</v>
      </c>
      <c r="S17" s="1124">
        <f t="shared" si="7"/>
        <v>0</v>
      </c>
      <c r="T17" s="884"/>
    </row>
    <row r="18" spans="2:20" s="431" customFormat="1" ht="25.5" x14ac:dyDescent="0.25">
      <c r="B18" s="97"/>
      <c r="C18" s="854" t="s">
        <v>272</v>
      </c>
      <c r="D18" s="100"/>
      <c r="E18" s="98" t="s">
        <v>276</v>
      </c>
      <c r="F18" s="855" t="s">
        <v>167</v>
      </c>
      <c r="G18" s="100" t="s">
        <v>274</v>
      </c>
      <c r="H18" s="1112"/>
      <c r="I18" s="1293"/>
      <c r="J18" s="1293"/>
      <c r="K18" s="1295">
        <f t="shared" si="4"/>
        <v>0</v>
      </c>
      <c r="L18" s="1293"/>
      <c r="M18" s="1293"/>
      <c r="N18" s="1295">
        <f t="shared" si="5"/>
        <v>0</v>
      </c>
      <c r="O18" s="1296"/>
      <c r="P18" s="1293"/>
      <c r="Q18" s="1296"/>
      <c r="R18" s="1294">
        <f t="shared" si="6"/>
        <v>0</v>
      </c>
      <c r="S18" s="1124">
        <f t="shared" si="7"/>
        <v>0</v>
      </c>
      <c r="T18" s="884"/>
    </row>
    <row r="19" spans="2:20" s="173" customFormat="1" ht="22.5" customHeight="1" collapsed="1" x14ac:dyDescent="0.2">
      <c r="B19" s="1542" t="s">
        <v>277</v>
      </c>
      <c r="C19" s="1543"/>
      <c r="D19" s="1543"/>
      <c r="E19" s="1548"/>
      <c r="F19" s="1502" t="s">
        <v>154</v>
      </c>
      <c r="G19" s="1503"/>
      <c r="H19" s="1503"/>
      <c r="I19" s="1503"/>
      <c r="J19" s="1503"/>
      <c r="K19" s="1503"/>
      <c r="L19" s="1503"/>
      <c r="M19" s="1503"/>
      <c r="N19" s="1503"/>
      <c r="O19" s="1503"/>
      <c r="P19" s="1503"/>
      <c r="Q19" s="1503"/>
      <c r="R19" s="1504"/>
      <c r="S19" s="863">
        <f>SUMIF(F21:F24,"mandatory",S21:S24)</f>
        <v>0</v>
      </c>
      <c r="T19" s="895"/>
    </row>
    <row r="20" spans="2:20" s="173" customFormat="1" ht="22.5" customHeight="1" x14ac:dyDescent="0.2">
      <c r="B20" s="1544"/>
      <c r="C20" s="1545"/>
      <c r="D20" s="1545"/>
      <c r="E20" s="1549"/>
      <c r="F20" s="1502" t="s">
        <v>156</v>
      </c>
      <c r="G20" s="1503"/>
      <c r="H20" s="1503"/>
      <c r="I20" s="1503"/>
      <c r="J20" s="1503"/>
      <c r="K20" s="1503"/>
      <c r="L20" s="1503"/>
      <c r="M20" s="1503"/>
      <c r="N20" s="1503"/>
      <c r="O20" s="1503"/>
      <c r="P20" s="1503"/>
      <c r="Q20" s="1503"/>
      <c r="R20" s="1504"/>
      <c r="S20" s="863">
        <f>SUMIF(F21:F24,"optional",S21:S24)</f>
        <v>0</v>
      </c>
      <c r="T20" s="909"/>
    </row>
    <row r="21" spans="2:20" s="431" customFormat="1" ht="25.5" x14ac:dyDescent="0.25">
      <c r="B21" s="97"/>
      <c r="C21" s="854" t="s">
        <v>272</v>
      </c>
      <c r="D21" s="100" t="s">
        <v>278</v>
      </c>
      <c r="E21" s="98" t="s">
        <v>279</v>
      </c>
      <c r="F21" s="855" t="s">
        <v>160</v>
      </c>
      <c r="G21" s="100" t="s">
        <v>274</v>
      </c>
      <c r="H21" s="1112"/>
      <c r="I21" s="1293"/>
      <c r="J21" s="1293"/>
      <c r="K21" s="1295">
        <f t="shared" ref="K21:K24" si="8">I21*J21</f>
        <v>0</v>
      </c>
      <c r="L21" s="1293"/>
      <c r="M21" s="1293"/>
      <c r="N21" s="1295">
        <f t="shared" ref="N21:N24" si="9">L21*M21</f>
        <v>0</v>
      </c>
      <c r="O21" s="1296"/>
      <c r="P21" s="1293"/>
      <c r="Q21" s="1296"/>
      <c r="R21" s="1294">
        <f t="shared" ref="R21:R24" si="10">P21+N21+K21</f>
        <v>0</v>
      </c>
      <c r="S21" s="1124">
        <f t="shared" ref="S21:S24" si="11">IF(F21="na","",H21*R21)</f>
        <v>0</v>
      </c>
      <c r="T21" s="884"/>
    </row>
    <row r="22" spans="2:20" s="431" customFormat="1" ht="25.5" x14ac:dyDescent="0.25">
      <c r="B22" s="97"/>
      <c r="C22" s="854" t="s">
        <v>272</v>
      </c>
      <c r="D22" s="100" t="s">
        <v>280</v>
      </c>
      <c r="E22" s="98" t="s">
        <v>281</v>
      </c>
      <c r="F22" s="855" t="s">
        <v>167</v>
      </c>
      <c r="G22" s="100" t="s">
        <v>274</v>
      </c>
      <c r="H22" s="1112"/>
      <c r="I22" s="1293"/>
      <c r="J22" s="1293"/>
      <c r="K22" s="1295">
        <f t="shared" si="8"/>
        <v>0</v>
      </c>
      <c r="L22" s="1293"/>
      <c r="M22" s="1293"/>
      <c r="N22" s="1295">
        <f t="shared" si="9"/>
        <v>0</v>
      </c>
      <c r="O22" s="1296"/>
      <c r="P22" s="1293"/>
      <c r="Q22" s="1296"/>
      <c r="R22" s="1294">
        <f t="shared" si="10"/>
        <v>0</v>
      </c>
      <c r="S22" s="1124">
        <f t="shared" si="11"/>
        <v>0</v>
      </c>
      <c r="T22" s="884"/>
    </row>
    <row r="23" spans="2:20" s="431" customFormat="1" ht="25.5" x14ac:dyDescent="0.25">
      <c r="B23" s="97"/>
      <c r="C23" s="854" t="s">
        <v>272</v>
      </c>
      <c r="D23" s="100" t="s">
        <v>282</v>
      </c>
      <c r="E23" s="98" t="s">
        <v>283</v>
      </c>
      <c r="F23" s="855" t="s">
        <v>167</v>
      </c>
      <c r="G23" s="100" t="s">
        <v>274</v>
      </c>
      <c r="H23" s="1112"/>
      <c r="I23" s="1293"/>
      <c r="J23" s="1293"/>
      <c r="K23" s="1295">
        <f t="shared" si="8"/>
        <v>0</v>
      </c>
      <c r="L23" s="1293"/>
      <c r="M23" s="1293"/>
      <c r="N23" s="1295">
        <f t="shared" si="9"/>
        <v>0</v>
      </c>
      <c r="O23" s="1296"/>
      <c r="P23" s="1293"/>
      <c r="Q23" s="1296"/>
      <c r="R23" s="1294">
        <f t="shared" si="10"/>
        <v>0</v>
      </c>
      <c r="S23" s="1124">
        <f t="shared" si="11"/>
        <v>0</v>
      </c>
      <c r="T23" s="884" t="s">
        <v>207</v>
      </c>
    </row>
    <row r="24" spans="2:20" s="431" customFormat="1" ht="18.75" customHeight="1" x14ac:dyDescent="0.25">
      <c r="B24" s="921"/>
      <c r="C24" s="907" t="s">
        <v>272</v>
      </c>
      <c r="D24" s="885" t="s">
        <v>284</v>
      </c>
      <c r="E24" s="888" t="s">
        <v>285</v>
      </c>
      <c r="F24" s="886" t="s">
        <v>167</v>
      </c>
      <c r="G24" s="885" t="s">
        <v>274</v>
      </c>
      <c r="H24" s="1113"/>
      <c r="I24" s="1300"/>
      <c r="J24" s="1300"/>
      <c r="K24" s="1301">
        <f t="shared" si="8"/>
        <v>0</v>
      </c>
      <c r="L24" s="1300"/>
      <c r="M24" s="1300"/>
      <c r="N24" s="1301">
        <f t="shared" si="9"/>
        <v>0</v>
      </c>
      <c r="O24" s="1302"/>
      <c r="P24" s="1300"/>
      <c r="Q24" s="1302"/>
      <c r="R24" s="1303">
        <f t="shared" si="10"/>
        <v>0</v>
      </c>
      <c r="S24" s="1205">
        <f t="shared" si="11"/>
        <v>0</v>
      </c>
      <c r="T24" s="892"/>
    </row>
  </sheetData>
  <mergeCells count="23">
    <mergeCell ref="S4:S5"/>
    <mergeCell ref="B19:E20"/>
    <mergeCell ref="F14:R14"/>
    <mergeCell ref="F15:R15"/>
    <mergeCell ref="F19:R19"/>
    <mergeCell ref="F20:R20"/>
    <mergeCell ref="B14:E15"/>
    <mergeCell ref="T4:T5"/>
    <mergeCell ref="B2:T2"/>
    <mergeCell ref="B6:E7"/>
    <mergeCell ref="F6:R6"/>
    <mergeCell ref="F7:R7"/>
    <mergeCell ref="F4:F5"/>
    <mergeCell ref="G4:G5"/>
    <mergeCell ref="H4:H5"/>
    <mergeCell ref="I4:K4"/>
    <mergeCell ref="L4:O4"/>
    <mergeCell ref="P4:Q4"/>
    <mergeCell ref="R4:R5"/>
    <mergeCell ref="B4:B5"/>
    <mergeCell ref="C4:C5"/>
    <mergeCell ref="D4:D5"/>
    <mergeCell ref="E4:E5"/>
  </mergeCells>
  <dataValidations count="2">
    <dataValidation type="list" allowBlank="1" showInputMessage="1" showErrorMessage="1" sqref="F16:F18 F8:F13 F21:F24" xr:uid="{6C40149A-0190-4B5D-BCFB-2E06011F2A39}">
      <formula1>"Mandatory,Optional,NA"</formula1>
    </dataValidation>
    <dataValidation type="decimal" operator="greaterThanOrEqual" allowBlank="1" showInputMessage="1" showErrorMessage="1" sqref="P8:P13 L8:M13 I8:J13 P16:P18 L16:M18 I16:J18 P21:P24 L21:M24 I21:J24" xr:uid="{29B1E51C-A71B-4BB9-964A-DF24B552CB1A}">
      <formula1>0</formula1>
    </dataValidation>
  </dataValidations>
  <pageMargins left="0.75" right="0.75" top="1" bottom="1" header="0" footer="0"/>
  <pageSetup paperSize="9" orientation="portrait" r:id="rId1"/>
  <headerFooter alignWithMargins="0">
    <oddHeader>&amp;C&amp;"Arial"&amp;8&amp;K000000INTERNAL&amp;1#</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68ACB-9240-44E9-8A7F-A9242E3398F3}">
  <dimension ref="A2:D16"/>
  <sheetViews>
    <sheetView workbookViewId="0">
      <selection activeCell="D21" sqref="D21"/>
    </sheetView>
  </sheetViews>
  <sheetFormatPr defaultColWidth="9.140625" defaultRowHeight="15" x14ac:dyDescent="0.25"/>
  <cols>
    <col min="2" max="2" width="17" customWidth="1"/>
    <col min="3" max="3" width="48.42578125" bestFit="1" customWidth="1"/>
    <col min="4" max="4" width="111.5703125" bestFit="1" customWidth="1"/>
  </cols>
  <sheetData>
    <row r="2" spans="1:4" x14ac:dyDescent="0.25">
      <c r="A2" s="1553" t="s">
        <v>286</v>
      </c>
      <c r="B2" s="1553"/>
      <c r="C2" s="1553"/>
      <c r="D2" s="1553"/>
    </row>
    <row r="3" spans="1:4" x14ac:dyDescent="0.25">
      <c r="A3" s="494" t="s">
        <v>287</v>
      </c>
      <c r="B3" s="797" t="s">
        <v>288</v>
      </c>
      <c r="C3" s="797" t="s">
        <v>289</v>
      </c>
      <c r="D3" s="797" t="s">
        <v>290</v>
      </c>
    </row>
    <row r="4" spans="1:4" s="795" customFormat="1" ht="45" x14ac:dyDescent="0.25">
      <c r="A4" s="795" t="s">
        <v>291</v>
      </c>
      <c r="B4" s="795" t="s">
        <v>292</v>
      </c>
      <c r="C4" s="795" t="s">
        <v>293</v>
      </c>
      <c r="D4" s="792" t="s">
        <v>294</v>
      </c>
    </row>
    <row r="5" spans="1:4" s="795" customFormat="1" x14ac:dyDescent="0.25">
      <c r="A5" s="795" t="s">
        <v>291</v>
      </c>
      <c r="B5" s="795" t="s">
        <v>292</v>
      </c>
      <c r="C5" s="795" t="s">
        <v>293</v>
      </c>
      <c r="D5" s="795" t="s">
        <v>295</v>
      </c>
    </row>
    <row r="6" spans="1:4" s="795" customFormat="1" x14ac:dyDescent="0.25">
      <c r="A6" s="795" t="s">
        <v>296</v>
      </c>
      <c r="B6" s="795" t="s">
        <v>297</v>
      </c>
      <c r="C6" s="795" t="s">
        <v>293</v>
      </c>
      <c r="D6" s="795" t="s">
        <v>298</v>
      </c>
    </row>
    <row r="7" spans="1:4" s="795" customFormat="1" ht="30" x14ac:dyDescent="0.25">
      <c r="A7" s="795" t="s">
        <v>296</v>
      </c>
      <c r="B7" s="795" t="s">
        <v>299</v>
      </c>
      <c r="C7" s="792" t="s">
        <v>300</v>
      </c>
      <c r="D7" s="792" t="s">
        <v>301</v>
      </c>
    </row>
    <row r="8" spans="1:4" s="795" customFormat="1" x14ac:dyDescent="0.25">
      <c r="A8" s="795" t="s">
        <v>296</v>
      </c>
      <c r="B8" s="795" t="s">
        <v>299</v>
      </c>
      <c r="C8" s="792" t="s">
        <v>302</v>
      </c>
      <c r="D8" s="792" t="s">
        <v>303</v>
      </c>
    </row>
    <row r="9" spans="1:4" s="795" customFormat="1" x14ac:dyDescent="0.25">
      <c r="A9" s="795" t="s">
        <v>304</v>
      </c>
      <c r="B9" s="795" t="s">
        <v>305</v>
      </c>
      <c r="C9" s="795" t="s">
        <v>306</v>
      </c>
      <c r="D9" s="795" t="s">
        <v>307</v>
      </c>
    </row>
    <row r="10" spans="1:4" s="795" customFormat="1" x14ac:dyDescent="0.25">
      <c r="A10" s="795" t="s">
        <v>304</v>
      </c>
      <c r="B10" s="1552" t="s">
        <v>308</v>
      </c>
      <c r="C10" s="795" t="s">
        <v>309</v>
      </c>
      <c r="D10" s="1551" t="s">
        <v>310</v>
      </c>
    </row>
    <row r="11" spans="1:4" s="795" customFormat="1" x14ac:dyDescent="0.25">
      <c r="A11" s="795" t="s">
        <v>304</v>
      </c>
      <c r="B11" s="1552"/>
      <c r="C11" s="795" t="s">
        <v>306</v>
      </c>
      <c r="D11" s="1551"/>
    </row>
    <row r="12" spans="1:4" s="795" customFormat="1" x14ac:dyDescent="0.25">
      <c r="A12" s="795" t="s">
        <v>304</v>
      </c>
      <c r="B12" s="795" t="s">
        <v>311</v>
      </c>
      <c r="C12" s="795" t="s">
        <v>306</v>
      </c>
      <c r="D12" s="795" t="s">
        <v>312</v>
      </c>
    </row>
    <row r="13" spans="1:4" s="795" customFormat="1" x14ac:dyDescent="0.25">
      <c r="A13" s="795" t="s">
        <v>304</v>
      </c>
      <c r="B13" s="795" t="s">
        <v>313</v>
      </c>
      <c r="C13" s="795" t="s">
        <v>306</v>
      </c>
      <c r="D13" s="795" t="s">
        <v>314</v>
      </c>
    </row>
    <row r="14" spans="1:4" s="795" customFormat="1" x14ac:dyDescent="0.25">
      <c r="B14" s="792" t="s">
        <v>315</v>
      </c>
      <c r="C14" s="795" t="s">
        <v>265</v>
      </c>
      <c r="D14" s="795" t="s">
        <v>316</v>
      </c>
    </row>
    <row r="15" spans="1:4" s="795" customFormat="1" x14ac:dyDescent="0.25">
      <c r="B15" s="795" t="s">
        <v>317</v>
      </c>
      <c r="C15" s="795" t="s">
        <v>318</v>
      </c>
      <c r="D15" s="795" t="s">
        <v>319</v>
      </c>
    </row>
    <row r="16" spans="1:4" x14ac:dyDescent="0.25">
      <c r="B16" s="795"/>
      <c r="C16" s="795" t="s">
        <v>320</v>
      </c>
      <c r="D16" s="795" t="s">
        <v>321</v>
      </c>
    </row>
  </sheetData>
  <mergeCells count="3">
    <mergeCell ref="D10:D11"/>
    <mergeCell ref="B10:B11"/>
    <mergeCell ref="A2:D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6E50B-808D-4DE7-AF21-952A0BF61664}">
  <sheetPr>
    <tabColor rgb="FFFFC000"/>
  </sheetPr>
  <dimension ref="A1:P23"/>
  <sheetViews>
    <sheetView showGridLines="0" zoomScaleNormal="100" workbookViewId="0">
      <pane xSplit="1" ySplit="3" topLeftCell="B4" activePane="bottomRight" state="frozen"/>
      <selection pane="topRight" activeCell="E18" sqref="E18"/>
      <selection pane="bottomLeft" activeCell="E18" sqref="E18"/>
      <selection pane="bottomRight" activeCell="D9" sqref="B7:D9"/>
    </sheetView>
  </sheetViews>
  <sheetFormatPr defaultColWidth="12" defaultRowHeight="12.75" x14ac:dyDescent="0.25"/>
  <cols>
    <col min="1" max="1" width="1.28515625" style="81" customWidth="1"/>
    <col min="2" max="2" width="12" style="81"/>
    <col min="3" max="3" width="47.42578125" style="81" customWidth="1"/>
    <col min="4" max="4" width="12" style="81"/>
    <col min="5" max="5" width="12" style="81" customWidth="1"/>
    <col min="6" max="6" width="38.7109375" style="81" customWidth="1"/>
    <col min="7" max="7" width="12" style="81"/>
    <col min="8" max="8" width="9" style="81" customWidth="1"/>
    <col min="9" max="9" width="9.42578125" style="81" customWidth="1"/>
    <col min="10" max="10" width="12.5703125" style="81" bestFit="1" customWidth="1"/>
    <col min="11" max="11" width="15.42578125" style="81" customWidth="1"/>
    <col min="12" max="12" width="32.42578125" style="81" customWidth="1"/>
    <col min="13" max="16384" width="12" style="81"/>
  </cols>
  <sheetData>
    <row r="1" spans="1:13" ht="15.75" x14ac:dyDescent="0.25">
      <c r="A1" s="1511" t="s">
        <v>134</v>
      </c>
      <c r="B1" s="1511"/>
      <c r="C1" s="1511"/>
      <c r="D1" s="1511"/>
      <c r="E1" s="1511"/>
      <c r="F1" s="1511"/>
      <c r="G1" s="1511"/>
      <c r="H1" s="1511"/>
      <c r="I1" s="1511"/>
      <c r="J1" s="1511"/>
      <c r="K1" s="1511"/>
      <c r="L1" s="1511"/>
    </row>
    <row r="2" spans="1:13" ht="15.75" thickBot="1" x14ac:dyDescent="0.3">
      <c r="A2" s="27"/>
      <c r="B2" s="26"/>
      <c r="C2" s="320" t="s">
        <v>322</v>
      </c>
      <c r="D2" s="82"/>
      <c r="E2" s="26"/>
      <c r="F2" s="28"/>
      <c r="H2" s="83"/>
      <c r="I2" s="84"/>
      <c r="J2" s="84"/>
      <c r="K2" s="84"/>
      <c r="L2" s="31"/>
    </row>
    <row r="3" spans="1:13" s="93" customFormat="1" ht="25.5" x14ac:dyDescent="0.25">
      <c r="A3" s="85"/>
      <c r="B3" s="88" t="s">
        <v>135</v>
      </c>
      <c r="C3" s="86" t="s">
        <v>136</v>
      </c>
      <c r="D3" s="87" t="s">
        <v>137</v>
      </c>
      <c r="E3" s="88" t="s">
        <v>323</v>
      </c>
      <c r="F3" s="89" t="s">
        <v>138</v>
      </c>
      <c r="G3" s="90" t="s">
        <v>139</v>
      </c>
      <c r="H3" s="91" t="s">
        <v>140</v>
      </c>
      <c r="I3" s="91" t="s">
        <v>141</v>
      </c>
      <c r="J3" s="91" t="s">
        <v>145</v>
      </c>
      <c r="K3" s="91" t="s">
        <v>146</v>
      </c>
      <c r="L3" s="92" t="s">
        <v>147</v>
      </c>
    </row>
    <row r="4" spans="1:13" s="93" customFormat="1" ht="15" x14ac:dyDescent="0.25">
      <c r="A4" s="85"/>
      <c r="B4" s="108"/>
      <c r="C4" s="106"/>
      <c r="D4" s="107"/>
      <c r="E4" s="108"/>
      <c r="F4" s="109"/>
      <c r="G4" s="110"/>
      <c r="H4" s="111"/>
      <c r="I4" s="111"/>
      <c r="J4" s="112"/>
      <c r="K4" s="113"/>
      <c r="L4" s="114"/>
    </row>
    <row r="5" spans="1:13" s="93" customFormat="1" x14ac:dyDescent="0.25">
      <c r="A5" s="85"/>
      <c r="B5" s="1533" t="s">
        <v>165</v>
      </c>
      <c r="C5" s="1533"/>
      <c r="D5" s="1533"/>
      <c r="E5" s="1533"/>
      <c r="F5" s="1533"/>
      <c r="G5" s="1561"/>
      <c r="H5" s="1555" t="s">
        <v>154</v>
      </c>
      <c r="I5" s="1556"/>
      <c r="J5" s="1557"/>
      <c r="K5" s="94">
        <f>SUMIF(G7:G9,"Mandatory",J7:J9)</f>
        <v>0</v>
      </c>
      <c r="L5" s="94"/>
    </row>
    <row r="6" spans="1:13" x14ac:dyDescent="0.25">
      <c r="A6" s="15"/>
      <c r="B6" s="1533"/>
      <c r="C6" s="1533"/>
      <c r="D6" s="1533"/>
      <c r="E6" s="1533"/>
      <c r="F6" s="1533"/>
      <c r="G6" s="1561"/>
      <c r="H6" s="1558" t="s">
        <v>156</v>
      </c>
      <c r="I6" s="1559"/>
      <c r="J6" s="1560"/>
      <c r="K6" s="94">
        <f>SUMIF(G7:G9,"Option",J7:J9)</f>
        <v>0</v>
      </c>
      <c r="L6" s="95"/>
    </row>
    <row r="7" spans="1:13" ht="27" x14ac:dyDescent="0.25">
      <c r="A7" s="96"/>
      <c r="B7" s="97"/>
      <c r="C7" s="854" t="s">
        <v>324</v>
      </c>
      <c r="D7" s="100"/>
      <c r="E7" s="97" t="s">
        <v>325</v>
      </c>
      <c r="F7" s="98" t="s">
        <v>166</v>
      </c>
      <c r="G7" s="99" t="s">
        <v>326</v>
      </c>
      <c r="H7" s="100"/>
      <c r="I7" s="101"/>
      <c r="J7" s="102"/>
      <c r="K7" s="103">
        <f t="shared" ref="K7:K9" si="0">J7*I7</f>
        <v>0</v>
      </c>
      <c r="L7" s="104" t="s">
        <v>168</v>
      </c>
      <c r="M7" s="105"/>
    </row>
    <row r="8" spans="1:13" ht="38.25" x14ac:dyDescent="0.25">
      <c r="A8" s="96"/>
      <c r="B8" s="97"/>
      <c r="C8" s="854" t="s">
        <v>327</v>
      </c>
      <c r="D8" s="100"/>
      <c r="E8" s="97" t="s">
        <v>325</v>
      </c>
      <c r="F8" s="98" t="s">
        <v>169</v>
      </c>
      <c r="G8" s="99" t="s">
        <v>326</v>
      </c>
      <c r="H8" s="100"/>
      <c r="I8" s="101"/>
      <c r="J8" s="102"/>
      <c r="K8" s="103">
        <f t="shared" si="0"/>
        <v>0</v>
      </c>
      <c r="L8" s="104" t="s">
        <v>168</v>
      </c>
      <c r="M8" s="105"/>
    </row>
    <row r="9" spans="1:13" ht="27" x14ac:dyDescent="0.25">
      <c r="A9" s="96"/>
      <c r="B9" s="97"/>
      <c r="C9" s="97"/>
      <c r="D9" s="100"/>
      <c r="E9" s="97" t="s">
        <v>325</v>
      </c>
      <c r="F9" s="98" t="s">
        <v>170</v>
      </c>
      <c r="G9" s="99" t="s">
        <v>326</v>
      </c>
      <c r="H9" s="100"/>
      <c r="I9" s="101"/>
      <c r="J9" s="102"/>
      <c r="K9" s="103">
        <f t="shared" si="0"/>
        <v>0</v>
      </c>
      <c r="L9" s="104" t="s">
        <v>168</v>
      </c>
      <c r="M9" s="105" t="s">
        <v>328</v>
      </c>
    </row>
    <row r="10" spans="1:13" x14ac:dyDescent="0.25">
      <c r="A10" s="96"/>
      <c r="B10" s="1533" t="s">
        <v>329</v>
      </c>
      <c r="C10" s="1533"/>
      <c r="D10" s="1533"/>
      <c r="E10" s="1533"/>
      <c r="F10" s="1533"/>
      <c r="G10" s="1561"/>
      <c r="H10" s="1555" t="s">
        <v>154</v>
      </c>
      <c r="I10" s="1556"/>
      <c r="J10" s="1557"/>
      <c r="K10" s="94">
        <f>SUMIF(G12:G23,"Mandatory",J12:J23)</f>
        <v>0</v>
      </c>
      <c r="L10" s="94"/>
    </row>
    <row r="11" spans="1:13" x14ac:dyDescent="0.25">
      <c r="A11" s="96"/>
      <c r="B11" s="1533"/>
      <c r="C11" s="1533"/>
      <c r="D11" s="1533"/>
      <c r="E11" s="1533"/>
      <c r="F11" s="1533"/>
      <c r="G11" s="1561"/>
      <c r="H11" s="1558" t="s">
        <v>156</v>
      </c>
      <c r="I11" s="1559"/>
      <c r="J11" s="1560"/>
      <c r="K11" s="94">
        <f>SUMIF(G12:G23,"Option",J12:J23)</f>
        <v>0</v>
      </c>
      <c r="L11" s="95"/>
    </row>
    <row r="12" spans="1:13" ht="27" x14ac:dyDescent="0.25">
      <c r="A12" s="96"/>
      <c r="B12" s="100"/>
      <c r="C12" s="856" t="s">
        <v>330</v>
      </c>
      <c r="D12" s="100"/>
      <c r="E12" s="97" t="s">
        <v>325</v>
      </c>
      <c r="F12" s="98" t="s">
        <v>172</v>
      </c>
      <c r="G12" s="852" t="s">
        <v>326</v>
      </c>
      <c r="H12" s="100"/>
      <c r="I12" s="101"/>
      <c r="J12" s="102"/>
      <c r="K12" s="845">
        <f t="shared" ref="K12:K23" si="1">IF(G12="NA","",J12*I12)</f>
        <v>0</v>
      </c>
      <c r="L12" s="104" t="s">
        <v>168</v>
      </c>
      <c r="M12" s="105"/>
    </row>
    <row r="13" spans="1:13" ht="27" x14ac:dyDescent="0.25">
      <c r="A13" s="96"/>
      <c r="B13" s="100"/>
      <c r="C13" s="856" t="s">
        <v>330</v>
      </c>
      <c r="D13" s="100"/>
      <c r="E13" s="97" t="s">
        <v>325</v>
      </c>
      <c r="F13" s="98" t="s">
        <v>179</v>
      </c>
      <c r="G13" s="852" t="s">
        <v>326</v>
      </c>
      <c r="H13" s="100"/>
      <c r="I13" s="101"/>
      <c r="J13" s="102"/>
      <c r="K13" s="845">
        <f t="shared" si="1"/>
        <v>0</v>
      </c>
      <c r="L13" s="104" t="s">
        <v>168</v>
      </c>
      <c r="M13" s="105"/>
    </row>
    <row r="14" spans="1:13" ht="63.75" x14ac:dyDescent="0.25">
      <c r="A14" s="96"/>
      <c r="B14" s="100"/>
      <c r="C14" s="100"/>
      <c r="D14" s="100"/>
      <c r="E14" s="97"/>
      <c r="F14" s="98" t="s">
        <v>180</v>
      </c>
      <c r="G14" s="852" t="s">
        <v>160</v>
      </c>
      <c r="H14" s="100"/>
      <c r="I14" s="101"/>
      <c r="J14" s="102"/>
      <c r="K14" s="845">
        <f t="shared" si="1"/>
        <v>0</v>
      </c>
      <c r="L14" s="104"/>
      <c r="M14" s="105" t="s">
        <v>331</v>
      </c>
    </row>
    <row r="15" spans="1:13" ht="76.5" x14ac:dyDescent="0.25">
      <c r="A15" s="96"/>
      <c r="B15" s="100"/>
      <c r="C15" s="100"/>
      <c r="D15" s="100"/>
      <c r="E15" s="97"/>
      <c r="F15" s="98" t="s">
        <v>181</v>
      </c>
      <c r="G15" s="852" t="s">
        <v>160</v>
      </c>
      <c r="H15" s="100"/>
      <c r="I15" s="101"/>
      <c r="J15" s="102"/>
      <c r="K15" s="845">
        <f t="shared" si="1"/>
        <v>0</v>
      </c>
      <c r="L15" s="104"/>
      <c r="M15" s="105"/>
    </row>
    <row r="16" spans="1:13" ht="13.5" x14ac:dyDescent="0.25">
      <c r="A16" s="96"/>
      <c r="B16" s="100"/>
      <c r="C16" s="100"/>
      <c r="D16" s="100"/>
      <c r="E16" s="97" t="s">
        <v>325</v>
      </c>
      <c r="F16" s="98" t="s">
        <v>174</v>
      </c>
      <c r="G16" s="852" t="s">
        <v>332</v>
      </c>
      <c r="H16" s="100"/>
      <c r="I16" s="101"/>
      <c r="J16" s="102"/>
      <c r="K16" s="845">
        <f t="shared" si="1"/>
        <v>0</v>
      </c>
      <c r="L16" s="104"/>
      <c r="M16" s="105" t="s">
        <v>333</v>
      </c>
    </row>
    <row r="17" spans="2:16" ht="25.5" x14ac:dyDescent="0.25">
      <c r="B17" s="100"/>
      <c r="C17" s="856" t="s">
        <v>330</v>
      </c>
      <c r="D17" s="100"/>
      <c r="E17" s="97" t="s">
        <v>325</v>
      </c>
      <c r="F17" s="98" t="s">
        <v>173</v>
      </c>
      <c r="G17" s="852" t="s">
        <v>160</v>
      </c>
      <c r="H17" s="100"/>
      <c r="I17" s="101"/>
      <c r="J17" s="102"/>
      <c r="K17" s="845">
        <f t="shared" si="1"/>
        <v>0</v>
      </c>
      <c r="L17" s="104"/>
      <c r="M17" s="105"/>
      <c r="N17" s="1554"/>
      <c r="O17" s="1554"/>
      <c r="P17" s="1554"/>
    </row>
    <row r="18" spans="2:16" ht="25.5" x14ac:dyDescent="0.25">
      <c r="B18" s="100"/>
      <c r="C18" s="856" t="s">
        <v>330</v>
      </c>
      <c r="D18" s="100"/>
      <c r="E18" s="97" t="s">
        <v>325</v>
      </c>
      <c r="F18" s="98" t="s">
        <v>182</v>
      </c>
      <c r="G18" s="852" t="s">
        <v>160</v>
      </c>
      <c r="H18" s="100"/>
      <c r="I18" s="101"/>
      <c r="J18" s="102"/>
      <c r="K18" s="845">
        <f t="shared" si="1"/>
        <v>0</v>
      </c>
      <c r="L18" s="104"/>
      <c r="M18" s="105"/>
      <c r="N18" s="1554"/>
      <c r="O18" s="1554"/>
      <c r="P18" s="1554"/>
    </row>
    <row r="19" spans="2:16" ht="13.5" x14ac:dyDescent="0.25">
      <c r="B19" s="100"/>
      <c r="C19" s="100"/>
      <c r="D19" s="100"/>
      <c r="E19" s="97" t="s">
        <v>325</v>
      </c>
      <c r="F19" s="98" t="s">
        <v>175</v>
      </c>
      <c r="G19" s="852" t="s">
        <v>332</v>
      </c>
      <c r="H19" s="100"/>
      <c r="I19" s="101"/>
      <c r="J19" s="102"/>
      <c r="K19" s="845">
        <f t="shared" si="1"/>
        <v>0</v>
      </c>
      <c r="L19" s="104"/>
      <c r="M19" s="105" t="s">
        <v>333</v>
      </c>
      <c r="N19" s="1554"/>
      <c r="O19" s="1554"/>
      <c r="P19" s="1554"/>
    </row>
    <row r="20" spans="2:16" ht="25.5" x14ac:dyDescent="0.25">
      <c r="B20" s="100"/>
      <c r="C20" s="856" t="s">
        <v>330</v>
      </c>
      <c r="D20" s="100"/>
      <c r="E20" s="97" t="s">
        <v>325</v>
      </c>
      <c r="F20" s="98" t="s">
        <v>176</v>
      </c>
      <c r="G20" s="852" t="s">
        <v>332</v>
      </c>
      <c r="H20" s="100"/>
      <c r="I20" s="101"/>
      <c r="J20" s="102"/>
      <c r="K20" s="845">
        <f t="shared" si="1"/>
        <v>0</v>
      </c>
      <c r="L20" s="104"/>
      <c r="M20" s="105"/>
    </row>
    <row r="21" spans="2:16" ht="25.5" x14ac:dyDescent="0.25">
      <c r="B21" s="100"/>
      <c r="C21" s="856" t="s">
        <v>330</v>
      </c>
      <c r="D21" s="100"/>
      <c r="E21" s="97" t="s">
        <v>325</v>
      </c>
      <c r="F21" s="98" t="s">
        <v>184</v>
      </c>
      <c r="G21" s="852" t="s">
        <v>332</v>
      </c>
      <c r="H21" s="100"/>
      <c r="I21" s="101"/>
      <c r="J21" s="102"/>
      <c r="K21" s="845">
        <f t="shared" si="1"/>
        <v>0</v>
      </c>
      <c r="L21" s="104"/>
      <c r="M21" s="105"/>
    </row>
    <row r="22" spans="2:16" ht="13.5" x14ac:dyDescent="0.25">
      <c r="B22" s="100"/>
      <c r="C22" s="856"/>
      <c r="D22" s="100"/>
      <c r="E22" s="97"/>
      <c r="F22" s="853" t="s">
        <v>177</v>
      </c>
      <c r="G22" s="844" t="s">
        <v>332</v>
      </c>
      <c r="H22" s="100"/>
      <c r="I22" s="101"/>
      <c r="J22" s="102"/>
      <c r="K22" s="845">
        <f t="shared" si="1"/>
        <v>0</v>
      </c>
      <c r="L22" s="104"/>
      <c r="M22" s="105"/>
    </row>
    <row r="23" spans="2:16" ht="13.5" x14ac:dyDescent="0.25">
      <c r="B23" s="100"/>
      <c r="C23" s="100"/>
      <c r="D23" s="100"/>
      <c r="E23" s="97" t="s">
        <v>325</v>
      </c>
      <c r="F23" s="98" t="s">
        <v>178</v>
      </c>
      <c r="G23" s="852" t="s">
        <v>332</v>
      </c>
      <c r="H23" s="100"/>
      <c r="I23" s="101"/>
      <c r="J23" s="102"/>
      <c r="K23" s="845">
        <f t="shared" si="1"/>
        <v>0</v>
      </c>
      <c r="L23" s="104"/>
      <c r="M23" s="105" t="s">
        <v>334</v>
      </c>
    </row>
  </sheetData>
  <mergeCells count="8">
    <mergeCell ref="N17:P19"/>
    <mergeCell ref="A1:L1"/>
    <mergeCell ref="H5:J5"/>
    <mergeCell ref="H6:J6"/>
    <mergeCell ref="H10:J10"/>
    <mergeCell ref="H11:J11"/>
    <mergeCell ref="B5:G6"/>
    <mergeCell ref="B10:G11"/>
  </mergeCells>
  <dataValidations count="4">
    <dataValidation type="list" allowBlank="1" showInputMessage="1" showErrorMessage="1" sqref="E12:E15 E17:E18 E7:E9 E20:E23" xr:uid="{42367F37-6B33-4DF9-99D3-B682E82A79A2}">
      <formula1>"All,Bess,Hydro,PV,Wind"</formula1>
    </dataValidation>
    <dataValidation type="list" allowBlank="1" showInputMessage="1" showErrorMessage="1" sqref="E16 E19" xr:uid="{A0080767-9990-46A1-B5FB-405CCBF23693}">
      <formula1>"All,Bess,Hydro,PV,Wind,SS"</formula1>
    </dataValidation>
    <dataValidation type="list" allowBlank="1" showInputMessage="1" showErrorMessage="1" sqref="G7:G9 G12:G13" xr:uid="{D58A3935-37AD-4322-996E-6AE88E587666}">
      <formula1>"Mandatory, Option, Not Applicable"</formula1>
    </dataValidation>
    <dataValidation type="list" allowBlank="1" showInputMessage="1" showErrorMessage="1" sqref="G14:G23" xr:uid="{6CCD5AA9-8C75-42DE-8C1E-3EB3A12B879E}">
      <formula1>"Mandatory, Option, Not Applicable, Applicable for LS"</formula1>
    </dataValidation>
  </dataValidations>
  <pageMargins left="0.7" right="0.7" top="0.75" bottom="0.75" header="0.3" footer="0.3"/>
  <pageSetup paperSize="9" orientation="portrait" r:id="rId1"/>
  <headerFooter>
    <oddHeader>&amp;C&amp;"Arial"&amp;8&amp;K000000 INTERNAL&amp;1#_x000D_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38F4C-AB8C-4B77-A580-6F9651CFF1BD}">
  <sheetPr>
    <tabColor rgb="FFFFFF00"/>
  </sheetPr>
  <dimension ref="A2:J193"/>
  <sheetViews>
    <sheetView topLeftCell="B171" zoomScale="110" zoomScaleNormal="110" workbookViewId="0">
      <selection activeCell="D169" sqref="D169"/>
    </sheetView>
  </sheetViews>
  <sheetFormatPr defaultColWidth="9.28515625" defaultRowHeight="15" customHeight="1" x14ac:dyDescent="0.25"/>
  <cols>
    <col min="1" max="1" width="10.42578125" style="259" customWidth="1"/>
    <col min="2" max="2" width="37.5703125" style="541" customWidth="1"/>
    <col min="3" max="3" width="35.28515625" style="542" customWidth="1"/>
    <col min="4" max="4" width="64.7109375" style="541" customWidth="1"/>
    <col min="5" max="5" width="9.42578125" style="541" customWidth="1"/>
    <col min="6" max="6" width="8" style="259" customWidth="1"/>
    <col min="7" max="7" width="9.28515625" style="264" customWidth="1"/>
    <col min="8" max="8" width="12.5703125" style="264" customWidth="1"/>
    <col min="9" max="9" width="14" style="264" customWidth="1"/>
    <col min="10" max="10" width="39.7109375" style="284" customWidth="1"/>
    <col min="11" max="16384" width="9.28515625" style="264"/>
  </cols>
  <sheetData>
    <row r="2" spans="1:10" s="171" customFormat="1" ht="15" customHeight="1" x14ac:dyDescent="0.25">
      <c r="A2" s="124"/>
      <c r="B2" s="124"/>
      <c r="C2" s="702"/>
      <c r="D2" s="703" t="s">
        <v>335</v>
      </c>
      <c r="E2" s="703"/>
      <c r="F2" s="21"/>
      <c r="G2" s="21"/>
      <c r="H2" s="704"/>
      <c r="I2" s="704"/>
      <c r="J2" s="704"/>
    </row>
    <row r="3" spans="1:10" s="259" customFormat="1" ht="15" customHeight="1" thickBot="1" x14ac:dyDescent="0.25">
      <c r="A3" s="705"/>
      <c r="B3" s="699"/>
      <c r="C3" s="700"/>
      <c r="D3" s="122"/>
      <c r="E3" s="122"/>
      <c r="F3" s="706"/>
      <c r="G3" s="707"/>
      <c r="H3" s="30"/>
      <c r="I3" s="30"/>
      <c r="J3" s="260"/>
    </row>
    <row r="4" spans="1:10" ht="23.25" customHeight="1" x14ac:dyDescent="0.25">
      <c r="A4" s="708" t="s">
        <v>186</v>
      </c>
      <c r="B4" s="709" t="s">
        <v>336</v>
      </c>
      <c r="C4" s="709" t="s">
        <v>137</v>
      </c>
      <c r="D4" s="709" t="s">
        <v>138</v>
      </c>
      <c r="E4" s="709" t="s">
        <v>337</v>
      </c>
      <c r="F4" s="709" t="s">
        <v>338</v>
      </c>
      <c r="G4" s="710" t="s">
        <v>339</v>
      </c>
      <c r="H4" s="709" t="s">
        <v>145</v>
      </c>
      <c r="I4" s="709" t="s">
        <v>146</v>
      </c>
      <c r="J4" s="709" t="s">
        <v>147</v>
      </c>
    </row>
    <row r="5" spans="1:10" ht="15" customHeight="1" x14ac:dyDescent="0.25">
      <c r="A5" s="1562" t="s">
        <v>340</v>
      </c>
      <c r="B5" s="1562"/>
      <c r="C5" s="1562"/>
      <c r="D5" s="1563"/>
      <c r="E5" s="1566" t="s">
        <v>154</v>
      </c>
      <c r="F5" s="1567"/>
      <c r="G5" s="1567"/>
      <c r="H5" s="1568"/>
      <c r="I5" s="254">
        <f>SUMIF(E7:E25,"Mandatory",I7:I25)</f>
        <v>0</v>
      </c>
      <c r="J5" s="711"/>
    </row>
    <row r="6" spans="1:10" s="275" customFormat="1" ht="15" customHeight="1" x14ac:dyDescent="0.25">
      <c r="A6" s="1564"/>
      <c r="B6" s="1564"/>
      <c r="C6" s="1564"/>
      <c r="D6" s="1565"/>
      <c r="E6" s="1569" t="s">
        <v>156</v>
      </c>
      <c r="F6" s="1570"/>
      <c r="G6" s="1570"/>
      <c r="H6" s="1571"/>
      <c r="I6" s="254">
        <f>SUMIF(E7:E25,"Optional",I7:I25)</f>
        <v>0</v>
      </c>
      <c r="J6" s="711"/>
    </row>
    <row r="7" spans="1:10" s="275" customFormat="1" ht="15" customHeight="1" x14ac:dyDescent="0.25">
      <c r="A7" s="712"/>
      <c r="B7" s="713"/>
      <c r="C7" s="714" t="s">
        <v>341</v>
      </c>
      <c r="D7" s="715" t="s">
        <v>342</v>
      </c>
      <c r="E7" s="716"/>
      <c r="F7" s="717"/>
      <c r="G7" s="718"/>
      <c r="H7" s="719"/>
      <c r="I7" s="719"/>
      <c r="J7" s="720"/>
    </row>
    <row r="8" spans="1:10" ht="15" customHeight="1" x14ac:dyDescent="0.25">
      <c r="A8" s="721"/>
      <c r="B8" s="721"/>
      <c r="C8" s="721" t="s">
        <v>343</v>
      </c>
      <c r="D8" s="722" t="s">
        <v>344</v>
      </c>
      <c r="E8" s="277" t="s">
        <v>160</v>
      </c>
      <c r="F8" s="278" t="s">
        <v>345</v>
      </c>
      <c r="G8" s="723">
        <v>0</v>
      </c>
      <c r="H8" s="724">
        <v>0</v>
      </c>
      <c r="I8" s="725">
        <f>IF(E8="NA","",H8*G8)</f>
        <v>0</v>
      </c>
      <c r="J8" s="283"/>
    </row>
    <row r="9" spans="1:10" ht="15" customHeight="1" x14ac:dyDescent="0.25">
      <c r="A9" s="721"/>
      <c r="B9" s="721"/>
      <c r="C9" s="721" t="s">
        <v>346</v>
      </c>
      <c r="D9" s="722" t="s">
        <v>347</v>
      </c>
      <c r="E9" s="277" t="s">
        <v>160</v>
      </c>
      <c r="F9" s="278" t="s">
        <v>345</v>
      </c>
      <c r="G9" s="723">
        <v>0</v>
      </c>
      <c r="H9" s="724">
        <v>0</v>
      </c>
      <c r="I9" s="725">
        <f t="shared" ref="I9:I25" si="0">IF(E9="NA","",H9*G9)</f>
        <v>0</v>
      </c>
      <c r="J9" s="283"/>
    </row>
    <row r="10" spans="1:10" ht="15" customHeight="1" x14ac:dyDescent="0.25">
      <c r="A10" s="721"/>
      <c r="B10" s="721"/>
      <c r="C10" s="721" t="s">
        <v>348</v>
      </c>
      <c r="D10" s="722" t="s">
        <v>349</v>
      </c>
      <c r="E10" s="277" t="s">
        <v>160</v>
      </c>
      <c r="F10" s="278" t="s">
        <v>345</v>
      </c>
      <c r="G10" s="723">
        <v>0</v>
      </c>
      <c r="H10" s="724"/>
      <c r="I10" s="725">
        <f t="shared" si="0"/>
        <v>0</v>
      </c>
      <c r="J10" s="283"/>
    </row>
    <row r="11" spans="1:10" ht="15" customHeight="1" x14ac:dyDescent="0.25">
      <c r="A11" s="721"/>
      <c r="B11" s="721"/>
      <c r="C11" s="721" t="s">
        <v>350</v>
      </c>
      <c r="D11" s="722" t="s">
        <v>351</v>
      </c>
      <c r="E11" s="277" t="s">
        <v>160</v>
      </c>
      <c r="F11" s="278" t="s">
        <v>345</v>
      </c>
      <c r="G11" s="723">
        <v>0</v>
      </c>
      <c r="H11" s="724"/>
      <c r="I11" s="725">
        <f t="shared" si="0"/>
        <v>0</v>
      </c>
      <c r="J11" s="283"/>
    </row>
    <row r="12" spans="1:10" ht="15" customHeight="1" x14ac:dyDescent="0.25">
      <c r="A12" s="721"/>
      <c r="B12" s="721"/>
      <c r="C12" s="721" t="s">
        <v>352</v>
      </c>
      <c r="D12" s="722" t="s">
        <v>353</v>
      </c>
      <c r="E12" s="277" t="s">
        <v>160</v>
      </c>
      <c r="F12" s="278" t="s">
        <v>345</v>
      </c>
      <c r="G12" s="723">
        <v>0</v>
      </c>
      <c r="H12" s="724"/>
      <c r="I12" s="725">
        <f t="shared" si="0"/>
        <v>0</v>
      </c>
      <c r="J12" s="283"/>
    </row>
    <row r="13" spans="1:10" ht="15" customHeight="1" x14ac:dyDescent="0.25">
      <c r="A13" s="721"/>
      <c r="B13" s="721"/>
      <c r="C13" s="721" t="s">
        <v>354</v>
      </c>
      <c r="D13" s="722" t="s">
        <v>355</v>
      </c>
      <c r="E13" s="277" t="s">
        <v>160</v>
      </c>
      <c r="F13" s="278" t="s">
        <v>345</v>
      </c>
      <c r="G13" s="723">
        <v>0</v>
      </c>
      <c r="H13" s="724"/>
      <c r="I13" s="725">
        <f t="shared" si="0"/>
        <v>0</v>
      </c>
      <c r="J13" s="283"/>
    </row>
    <row r="14" spans="1:10" ht="15" customHeight="1" x14ac:dyDescent="0.25">
      <c r="A14" s="721"/>
      <c r="B14" s="721"/>
      <c r="C14" s="721" t="s">
        <v>356</v>
      </c>
      <c r="D14" s="722" t="s">
        <v>357</v>
      </c>
      <c r="E14" s="277" t="s">
        <v>160</v>
      </c>
      <c r="F14" s="278" t="s">
        <v>345</v>
      </c>
      <c r="G14" s="723">
        <v>0</v>
      </c>
      <c r="H14" s="724"/>
      <c r="I14" s="725">
        <f t="shared" si="0"/>
        <v>0</v>
      </c>
      <c r="J14" s="283"/>
    </row>
    <row r="15" spans="1:10" ht="15" customHeight="1" x14ac:dyDescent="0.25">
      <c r="A15" s="721"/>
      <c r="B15" s="721"/>
      <c r="C15" s="721" t="s">
        <v>358</v>
      </c>
      <c r="D15" s="722" t="s">
        <v>359</v>
      </c>
      <c r="E15" s="277" t="s">
        <v>160</v>
      </c>
      <c r="F15" s="278" t="s">
        <v>345</v>
      </c>
      <c r="G15" s="723">
        <v>0</v>
      </c>
      <c r="H15" s="724"/>
      <c r="I15" s="725">
        <f t="shared" si="0"/>
        <v>0</v>
      </c>
      <c r="J15" s="283"/>
    </row>
    <row r="16" spans="1:10" ht="15" customHeight="1" x14ac:dyDescent="0.25">
      <c r="A16" s="721"/>
      <c r="B16" s="721"/>
      <c r="C16" s="721" t="s">
        <v>360</v>
      </c>
      <c r="D16" s="722" t="s">
        <v>361</v>
      </c>
      <c r="E16" s="277" t="s">
        <v>160</v>
      </c>
      <c r="F16" s="278" t="s">
        <v>345</v>
      </c>
      <c r="G16" s="723">
        <v>0</v>
      </c>
      <c r="H16" s="724"/>
      <c r="I16" s="725">
        <f t="shared" si="0"/>
        <v>0</v>
      </c>
      <c r="J16" s="283"/>
    </row>
    <row r="17" spans="1:10" ht="15" customHeight="1" x14ac:dyDescent="0.25">
      <c r="A17" s="721"/>
      <c r="B17" s="721"/>
      <c r="C17" s="721" t="s">
        <v>362</v>
      </c>
      <c r="D17" s="722" t="s">
        <v>363</v>
      </c>
      <c r="E17" s="277" t="s">
        <v>160</v>
      </c>
      <c r="F17" s="278" t="s">
        <v>345</v>
      </c>
      <c r="G17" s="723">
        <v>0</v>
      </c>
      <c r="H17" s="724"/>
      <c r="I17" s="725">
        <f t="shared" si="0"/>
        <v>0</v>
      </c>
      <c r="J17" s="283"/>
    </row>
    <row r="18" spans="1:10" ht="15" customHeight="1" x14ac:dyDescent="0.25">
      <c r="A18" s="721"/>
      <c r="B18" s="721"/>
      <c r="C18" s="721" t="s">
        <v>364</v>
      </c>
      <c r="D18" s="722" t="s">
        <v>365</v>
      </c>
      <c r="E18" s="277" t="s">
        <v>160</v>
      </c>
      <c r="F18" s="278" t="s">
        <v>345</v>
      </c>
      <c r="G18" s="723">
        <v>0</v>
      </c>
      <c r="H18" s="724"/>
      <c r="I18" s="725">
        <f t="shared" si="0"/>
        <v>0</v>
      </c>
      <c r="J18" s="283"/>
    </row>
    <row r="19" spans="1:10" ht="15" customHeight="1" x14ac:dyDescent="0.25">
      <c r="A19" s="721"/>
      <c r="B19" s="721"/>
      <c r="C19" s="721" t="s">
        <v>366</v>
      </c>
      <c r="D19" s="722" t="s">
        <v>367</v>
      </c>
      <c r="E19" s="277" t="s">
        <v>160</v>
      </c>
      <c r="F19" s="278" t="s">
        <v>345</v>
      </c>
      <c r="G19" s="723">
        <v>0</v>
      </c>
      <c r="H19" s="724"/>
      <c r="I19" s="725">
        <f t="shared" si="0"/>
        <v>0</v>
      </c>
      <c r="J19" s="283"/>
    </row>
    <row r="20" spans="1:10" ht="15" customHeight="1" x14ac:dyDescent="0.25">
      <c r="A20" s="721"/>
      <c r="B20" s="721"/>
      <c r="C20" s="721" t="s">
        <v>368</v>
      </c>
      <c r="D20" s="722" t="s">
        <v>369</v>
      </c>
      <c r="E20" s="277" t="s">
        <v>160</v>
      </c>
      <c r="F20" s="278" t="s">
        <v>345</v>
      </c>
      <c r="G20" s="723">
        <v>0</v>
      </c>
      <c r="H20" s="724"/>
      <c r="I20" s="725">
        <f t="shared" si="0"/>
        <v>0</v>
      </c>
      <c r="J20" s="283"/>
    </row>
    <row r="21" spans="1:10" ht="15" customHeight="1" x14ac:dyDescent="0.25">
      <c r="A21" s="721"/>
      <c r="B21" s="721"/>
      <c r="C21" s="721" t="s">
        <v>370</v>
      </c>
      <c r="D21" s="722" t="s">
        <v>371</v>
      </c>
      <c r="E21" s="277" t="s">
        <v>160</v>
      </c>
      <c r="F21" s="278" t="s">
        <v>345</v>
      </c>
      <c r="G21" s="723">
        <v>0</v>
      </c>
      <c r="H21" s="724"/>
      <c r="I21" s="725">
        <f t="shared" si="0"/>
        <v>0</v>
      </c>
      <c r="J21" s="283"/>
    </row>
    <row r="22" spans="1:10" ht="15" customHeight="1" x14ac:dyDescent="0.25">
      <c r="A22" s="721"/>
      <c r="B22" s="721"/>
      <c r="C22" s="721" t="s">
        <v>372</v>
      </c>
      <c r="D22" s="722" t="s">
        <v>373</v>
      </c>
      <c r="E22" s="277" t="s">
        <v>160</v>
      </c>
      <c r="F22" s="278" t="s">
        <v>345</v>
      </c>
      <c r="G22" s="723">
        <v>0</v>
      </c>
      <c r="H22" s="724"/>
      <c r="I22" s="725">
        <f t="shared" si="0"/>
        <v>0</v>
      </c>
      <c r="J22" s="283"/>
    </row>
    <row r="23" spans="1:10" ht="15" customHeight="1" x14ac:dyDescent="0.25">
      <c r="A23" s="721"/>
      <c r="B23" s="721"/>
      <c r="C23" s="721" t="s">
        <v>374</v>
      </c>
      <c r="D23" s="722" t="s">
        <v>375</v>
      </c>
      <c r="E23" s="277" t="s">
        <v>160</v>
      </c>
      <c r="F23" s="278" t="s">
        <v>345</v>
      </c>
      <c r="G23" s="723">
        <v>0</v>
      </c>
      <c r="H23" s="724"/>
      <c r="I23" s="725">
        <f t="shared" si="0"/>
        <v>0</v>
      </c>
      <c r="J23" s="283"/>
    </row>
    <row r="24" spans="1:10" ht="15" customHeight="1" x14ac:dyDescent="0.25">
      <c r="A24" s="721"/>
      <c r="B24" s="721"/>
      <c r="C24" s="721" t="s">
        <v>376</v>
      </c>
      <c r="D24" s="722" t="s">
        <v>377</v>
      </c>
      <c r="E24" s="277" t="s">
        <v>160</v>
      </c>
      <c r="F24" s="278" t="s">
        <v>345</v>
      </c>
      <c r="G24" s="723">
        <v>0</v>
      </c>
      <c r="H24" s="724"/>
      <c r="I24" s="725">
        <f t="shared" si="0"/>
        <v>0</v>
      </c>
      <c r="J24" s="283"/>
    </row>
    <row r="25" spans="1:10" ht="15" customHeight="1" x14ac:dyDescent="0.25">
      <c r="A25" s="721"/>
      <c r="B25" s="721"/>
      <c r="C25" s="721" t="s">
        <v>378</v>
      </c>
      <c r="D25" s="722" t="s">
        <v>379</v>
      </c>
      <c r="E25" s="277" t="s">
        <v>160</v>
      </c>
      <c r="F25" s="278" t="s">
        <v>345</v>
      </c>
      <c r="G25" s="723">
        <v>0</v>
      </c>
      <c r="H25" s="724"/>
      <c r="I25" s="725">
        <f t="shared" si="0"/>
        <v>0</v>
      </c>
      <c r="J25" s="283"/>
    </row>
    <row r="26" spans="1:10" ht="15" customHeight="1" x14ac:dyDescent="0.25">
      <c r="A26" s="726"/>
      <c r="B26" s="727"/>
      <c r="C26" s="728" t="s">
        <v>380</v>
      </c>
      <c r="D26" s="729" t="s">
        <v>381</v>
      </c>
      <c r="E26" s="730"/>
      <c r="F26" s="731"/>
      <c r="G26" s="732"/>
      <c r="H26" s="733"/>
      <c r="I26" s="734"/>
      <c r="J26" s="735"/>
    </row>
    <row r="27" spans="1:10" ht="15" customHeight="1" x14ac:dyDescent="0.25">
      <c r="A27" s="278"/>
      <c r="B27" s="564"/>
      <c r="C27" s="721" t="s">
        <v>382</v>
      </c>
      <c r="D27" s="736" t="s">
        <v>383</v>
      </c>
      <c r="E27" s="277" t="s">
        <v>160</v>
      </c>
      <c r="F27" s="278" t="s">
        <v>141</v>
      </c>
      <c r="G27" s="723">
        <v>0</v>
      </c>
      <c r="H27" s="724"/>
      <c r="I27" s="725">
        <f t="shared" ref="I27:I29" si="1">IF(E27="NA","",H27*G27)</f>
        <v>0</v>
      </c>
      <c r="J27" s="283"/>
    </row>
    <row r="28" spans="1:10" ht="15" customHeight="1" x14ac:dyDescent="0.25">
      <c r="A28" s="278"/>
      <c r="B28" s="564"/>
      <c r="C28" s="721" t="s">
        <v>384</v>
      </c>
      <c r="D28" s="736" t="s">
        <v>385</v>
      </c>
      <c r="E28" s="277" t="s">
        <v>160</v>
      </c>
      <c r="F28" s="278" t="s">
        <v>141</v>
      </c>
      <c r="G28" s="723">
        <v>0</v>
      </c>
      <c r="H28" s="724"/>
      <c r="I28" s="725">
        <f t="shared" si="1"/>
        <v>0</v>
      </c>
      <c r="J28" s="283"/>
    </row>
    <row r="29" spans="1:10" ht="15" customHeight="1" x14ac:dyDescent="0.25">
      <c r="A29" s="737"/>
      <c r="B29" s="697"/>
      <c r="C29" s="721" t="s">
        <v>386</v>
      </c>
      <c r="D29" s="736" t="s">
        <v>387</v>
      </c>
      <c r="E29" s="277" t="s">
        <v>160</v>
      </c>
      <c r="F29" s="278" t="s">
        <v>141</v>
      </c>
      <c r="G29" s="723">
        <v>0</v>
      </c>
      <c r="H29" s="724"/>
      <c r="I29" s="725">
        <f t="shared" si="1"/>
        <v>0</v>
      </c>
      <c r="J29" s="283"/>
    </row>
    <row r="30" spans="1:10" ht="15" customHeight="1" x14ac:dyDescent="0.25">
      <c r="A30" s="738"/>
      <c r="B30" s="739"/>
      <c r="C30" s="728" t="s">
        <v>388</v>
      </c>
      <c r="D30" s="729" t="s">
        <v>389</v>
      </c>
      <c r="E30" s="730"/>
      <c r="F30" s="731"/>
      <c r="G30" s="732"/>
      <c r="H30" s="733"/>
      <c r="I30" s="734"/>
      <c r="J30" s="735"/>
    </row>
    <row r="31" spans="1:10" ht="15" customHeight="1" x14ac:dyDescent="0.25">
      <c r="A31" s="276"/>
      <c r="B31" s="564"/>
      <c r="C31" s="721" t="s">
        <v>390</v>
      </c>
      <c r="D31" s="722" t="s">
        <v>391</v>
      </c>
      <c r="E31" s="277" t="s">
        <v>160</v>
      </c>
      <c r="F31" s="278" t="s">
        <v>141</v>
      </c>
      <c r="G31" s="723">
        <v>0</v>
      </c>
      <c r="H31" s="724"/>
      <c r="I31" s="725">
        <f t="shared" ref="I31:I40" si="2">IF(E31="NA","",H31*G31)</f>
        <v>0</v>
      </c>
      <c r="J31" s="283"/>
    </row>
    <row r="32" spans="1:10" ht="15" customHeight="1" x14ac:dyDescent="0.25">
      <c r="A32" s="276"/>
      <c r="B32" s="564"/>
      <c r="C32" s="721" t="s">
        <v>392</v>
      </c>
      <c r="D32" s="722" t="s">
        <v>393</v>
      </c>
      <c r="E32" s="277" t="s">
        <v>160</v>
      </c>
      <c r="F32" s="278" t="s">
        <v>141</v>
      </c>
      <c r="G32" s="723">
        <v>0</v>
      </c>
      <c r="H32" s="724"/>
      <c r="I32" s="725">
        <f t="shared" si="2"/>
        <v>0</v>
      </c>
      <c r="J32" s="283"/>
    </row>
    <row r="33" spans="1:10" ht="15" customHeight="1" x14ac:dyDescent="0.25">
      <c r="A33" s="276"/>
      <c r="B33" s="564"/>
      <c r="C33" s="721" t="s">
        <v>394</v>
      </c>
      <c r="D33" s="722" t="s">
        <v>395</v>
      </c>
      <c r="E33" s="277" t="s">
        <v>160</v>
      </c>
      <c r="F33" s="278" t="s">
        <v>141</v>
      </c>
      <c r="G33" s="723">
        <v>0</v>
      </c>
      <c r="H33" s="724"/>
      <c r="I33" s="725">
        <f t="shared" si="2"/>
        <v>0</v>
      </c>
      <c r="J33" s="283"/>
    </row>
    <row r="34" spans="1:10" ht="15" customHeight="1" x14ac:dyDescent="0.25">
      <c r="A34" s="276"/>
      <c r="B34" s="564"/>
      <c r="C34" s="721" t="s">
        <v>396</v>
      </c>
      <c r="D34" s="722" t="s">
        <v>397</v>
      </c>
      <c r="E34" s="277" t="s">
        <v>160</v>
      </c>
      <c r="F34" s="278" t="s">
        <v>141</v>
      </c>
      <c r="G34" s="723">
        <v>0</v>
      </c>
      <c r="H34" s="724"/>
      <c r="I34" s="725">
        <f t="shared" si="2"/>
        <v>0</v>
      </c>
      <c r="J34" s="283"/>
    </row>
    <row r="35" spans="1:10" ht="15" customHeight="1" x14ac:dyDescent="0.25">
      <c r="A35" s="276"/>
      <c r="B35" s="564"/>
      <c r="C35" s="721" t="s">
        <v>398</v>
      </c>
      <c r="D35" s="722" t="s">
        <v>399</v>
      </c>
      <c r="E35" s="277" t="s">
        <v>160</v>
      </c>
      <c r="F35" s="278" t="s">
        <v>141</v>
      </c>
      <c r="G35" s="723">
        <v>0</v>
      </c>
      <c r="H35" s="724"/>
      <c r="I35" s="725">
        <f t="shared" si="2"/>
        <v>0</v>
      </c>
      <c r="J35" s="283"/>
    </row>
    <row r="36" spans="1:10" ht="15" customHeight="1" x14ac:dyDescent="0.25">
      <c r="A36" s="276"/>
      <c r="B36" s="564"/>
      <c r="C36" s="721" t="s">
        <v>400</v>
      </c>
      <c r="D36" s="722" t="s">
        <v>401</v>
      </c>
      <c r="E36" s="277" t="s">
        <v>160</v>
      </c>
      <c r="F36" s="278" t="s">
        <v>141</v>
      </c>
      <c r="G36" s="723">
        <v>0</v>
      </c>
      <c r="H36" s="724"/>
      <c r="I36" s="725">
        <f t="shared" si="2"/>
        <v>0</v>
      </c>
      <c r="J36" s="283"/>
    </row>
    <row r="37" spans="1:10" ht="15" customHeight="1" x14ac:dyDescent="0.25">
      <c r="A37" s="276"/>
      <c r="B37" s="564"/>
      <c r="C37" s="721" t="s">
        <v>402</v>
      </c>
      <c r="D37" s="722" t="s">
        <v>403</v>
      </c>
      <c r="E37" s="277" t="s">
        <v>160</v>
      </c>
      <c r="F37" s="278" t="s">
        <v>141</v>
      </c>
      <c r="G37" s="723">
        <v>0</v>
      </c>
      <c r="H37" s="724"/>
      <c r="I37" s="725">
        <f t="shared" si="2"/>
        <v>0</v>
      </c>
      <c r="J37" s="283"/>
    </row>
    <row r="38" spans="1:10" ht="15" customHeight="1" x14ac:dyDescent="0.25">
      <c r="A38" s="276"/>
      <c r="B38" s="564"/>
      <c r="C38" s="721" t="s">
        <v>404</v>
      </c>
      <c r="D38" s="722" t="s">
        <v>405</v>
      </c>
      <c r="E38" s="277" t="s">
        <v>160</v>
      </c>
      <c r="F38" s="278" t="s">
        <v>141</v>
      </c>
      <c r="G38" s="723">
        <v>0</v>
      </c>
      <c r="H38" s="724"/>
      <c r="I38" s="725">
        <f t="shared" si="2"/>
        <v>0</v>
      </c>
      <c r="J38" s="283"/>
    </row>
    <row r="39" spans="1:10" ht="15" customHeight="1" x14ac:dyDescent="0.25">
      <c r="A39" s="276"/>
      <c r="B39" s="564"/>
      <c r="C39" s="721" t="s">
        <v>406</v>
      </c>
      <c r="D39" s="722" t="s">
        <v>407</v>
      </c>
      <c r="E39" s="277" t="s">
        <v>160</v>
      </c>
      <c r="F39" s="278" t="s">
        <v>141</v>
      </c>
      <c r="G39" s="723">
        <v>0</v>
      </c>
      <c r="H39" s="724"/>
      <c r="I39" s="725">
        <f t="shared" si="2"/>
        <v>0</v>
      </c>
      <c r="J39" s="283"/>
    </row>
    <row r="40" spans="1:10" ht="15" customHeight="1" x14ac:dyDescent="0.25">
      <c r="A40" s="740"/>
      <c r="B40" s="564"/>
      <c r="C40" s="741" t="s">
        <v>408</v>
      </c>
      <c r="D40" s="736" t="s">
        <v>409</v>
      </c>
      <c r="E40" s="277" t="s">
        <v>160</v>
      </c>
      <c r="F40" s="278" t="s">
        <v>141</v>
      </c>
      <c r="G40" s="723">
        <v>0</v>
      </c>
      <c r="H40" s="724"/>
      <c r="I40" s="725">
        <f t="shared" si="2"/>
        <v>0</v>
      </c>
      <c r="J40" s="283"/>
    </row>
    <row r="41" spans="1:10" ht="15" customHeight="1" x14ac:dyDescent="0.25">
      <c r="A41" s="1562" t="s">
        <v>410</v>
      </c>
      <c r="B41" s="1562"/>
      <c r="C41" s="1562"/>
      <c r="D41" s="1563"/>
      <c r="E41" s="1566" t="s">
        <v>154</v>
      </c>
      <c r="F41" s="1567"/>
      <c r="G41" s="1567"/>
      <c r="H41" s="1568"/>
      <c r="I41" s="254">
        <f>SUMIF(E55:E70,"Mandatory",I55:I70)</f>
        <v>0</v>
      </c>
      <c r="J41" s="711"/>
    </row>
    <row r="42" spans="1:10" ht="15" customHeight="1" x14ac:dyDescent="0.25">
      <c r="A42" s="1564"/>
      <c r="B42" s="1564"/>
      <c r="C42" s="1564"/>
      <c r="D42" s="1565"/>
      <c r="E42" s="1569" t="s">
        <v>156</v>
      </c>
      <c r="F42" s="1570"/>
      <c r="G42" s="1570"/>
      <c r="H42" s="1571"/>
      <c r="I42" s="254">
        <f>SUMIF(E55:E70,"Optional",I55:I70)</f>
        <v>0</v>
      </c>
      <c r="J42" s="711"/>
    </row>
    <row r="43" spans="1:10" ht="15" customHeight="1" x14ac:dyDescent="0.25">
      <c r="A43" s="742"/>
      <c r="B43" s="743"/>
      <c r="C43" s="744" t="s">
        <v>411</v>
      </c>
      <c r="D43" s="745" t="s">
        <v>412</v>
      </c>
      <c r="E43" s="730"/>
      <c r="F43" s="731"/>
      <c r="G43" s="732"/>
      <c r="H43" s="733"/>
      <c r="I43" s="734"/>
      <c r="J43" s="735"/>
    </row>
    <row r="44" spans="1:10" ht="15" customHeight="1" x14ac:dyDescent="0.25">
      <c r="A44" s="276"/>
      <c r="B44" s="564"/>
      <c r="C44" s="721" t="s">
        <v>413</v>
      </c>
      <c r="D44" s="722" t="s">
        <v>414</v>
      </c>
      <c r="E44" s="277" t="s">
        <v>160</v>
      </c>
      <c r="F44" s="278" t="s">
        <v>345</v>
      </c>
      <c r="G44" s="723">
        <v>0</v>
      </c>
      <c r="H44" s="724"/>
      <c r="I44" s="725">
        <f t="shared" ref="I44:I51" si="3">IF(E44="NA","",H44*G44)</f>
        <v>0</v>
      </c>
      <c r="J44" s="283"/>
    </row>
    <row r="45" spans="1:10" ht="15" customHeight="1" x14ac:dyDescent="0.25">
      <c r="A45" s="276"/>
      <c r="B45" s="564"/>
      <c r="C45" s="721" t="s">
        <v>415</v>
      </c>
      <c r="D45" s="722" t="s">
        <v>416</v>
      </c>
      <c r="E45" s="277" t="s">
        <v>160</v>
      </c>
      <c r="F45" s="278" t="s">
        <v>345</v>
      </c>
      <c r="G45" s="723">
        <v>0</v>
      </c>
      <c r="H45" s="724"/>
      <c r="I45" s="725">
        <f t="shared" si="3"/>
        <v>0</v>
      </c>
      <c r="J45" s="283"/>
    </row>
    <row r="46" spans="1:10" ht="15" customHeight="1" x14ac:dyDescent="0.25">
      <c r="A46" s="276"/>
      <c r="B46" s="564"/>
      <c r="C46" s="721" t="s">
        <v>417</v>
      </c>
      <c r="D46" s="722" t="s">
        <v>418</v>
      </c>
      <c r="E46" s="277" t="s">
        <v>160</v>
      </c>
      <c r="F46" s="278" t="s">
        <v>345</v>
      </c>
      <c r="G46" s="723">
        <v>0</v>
      </c>
      <c r="H46" s="724"/>
      <c r="I46" s="725">
        <f t="shared" si="3"/>
        <v>0</v>
      </c>
      <c r="J46" s="283"/>
    </row>
    <row r="47" spans="1:10" ht="15" customHeight="1" x14ac:dyDescent="0.25">
      <c r="A47" s="276"/>
      <c r="B47" s="577"/>
      <c r="C47" s="741" t="s">
        <v>419</v>
      </c>
      <c r="D47" s="736" t="s">
        <v>420</v>
      </c>
      <c r="E47" s="277" t="s">
        <v>160</v>
      </c>
      <c r="F47" s="278" t="s">
        <v>345</v>
      </c>
      <c r="G47" s="723">
        <v>0</v>
      </c>
      <c r="H47" s="724"/>
      <c r="I47" s="725">
        <f t="shared" si="3"/>
        <v>0</v>
      </c>
      <c r="J47" s="283"/>
    </row>
    <row r="48" spans="1:10" ht="15" customHeight="1" x14ac:dyDescent="0.25">
      <c r="A48" s="276"/>
      <c r="B48" s="564"/>
      <c r="C48" s="721" t="s">
        <v>421</v>
      </c>
      <c r="D48" s="722" t="s">
        <v>422</v>
      </c>
      <c r="E48" s="277" t="s">
        <v>160</v>
      </c>
      <c r="F48" s="278" t="s">
        <v>345</v>
      </c>
      <c r="G48" s="723">
        <v>0</v>
      </c>
      <c r="H48" s="724"/>
      <c r="I48" s="725">
        <f t="shared" si="3"/>
        <v>0</v>
      </c>
      <c r="J48" s="1584" t="s">
        <v>423</v>
      </c>
    </row>
    <row r="49" spans="1:10" ht="15" customHeight="1" x14ac:dyDescent="0.25">
      <c r="A49" s="276"/>
      <c r="B49" s="564"/>
      <c r="C49" s="721" t="s">
        <v>424</v>
      </c>
      <c r="D49" s="722" t="s">
        <v>425</v>
      </c>
      <c r="E49" s="277" t="s">
        <v>160</v>
      </c>
      <c r="F49" s="278" t="s">
        <v>345</v>
      </c>
      <c r="G49" s="723">
        <v>0</v>
      </c>
      <c r="H49" s="724"/>
      <c r="I49" s="725">
        <f t="shared" si="3"/>
        <v>0</v>
      </c>
      <c r="J49" s="1585"/>
    </row>
    <row r="50" spans="1:10" ht="15" customHeight="1" x14ac:dyDescent="0.25">
      <c r="B50" s="746"/>
      <c r="C50" s="721" t="s">
        <v>426</v>
      </c>
      <c r="D50" s="722" t="s">
        <v>427</v>
      </c>
      <c r="E50" s="277" t="s">
        <v>160</v>
      </c>
      <c r="F50" s="278" t="s">
        <v>345</v>
      </c>
      <c r="G50" s="723">
        <v>0</v>
      </c>
      <c r="H50" s="724"/>
      <c r="I50" s="725">
        <f t="shared" si="3"/>
        <v>0</v>
      </c>
      <c r="J50" s="1586"/>
    </row>
    <row r="51" spans="1:10" ht="15" customHeight="1" x14ac:dyDescent="0.25">
      <c r="A51" s="276"/>
      <c r="B51" s="564"/>
      <c r="C51" s="741" t="s">
        <v>428</v>
      </c>
      <c r="D51" s="736" t="s">
        <v>429</v>
      </c>
      <c r="E51" s="277" t="s">
        <v>160</v>
      </c>
      <c r="F51" s="278" t="s">
        <v>345</v>
      </c>
      <c r="G51" s="723">
        <v>0</v>
      </c>
      <c r="H51" s="724"/>
      <c r="I51" s="725">
        <f t="shared" si="3"/>
        <v>0</v>
      </c>
      <c r="J51" s="283" t="s">
        <v>430</v>
      </c>
    </row>
    <row r="52" spans="1:10" ht="15" customHeight="1" x14ac:dyDescent="0.25">
      <c r="A52" s="742"/>
      <c r="B52" s="743"/>
      <c r="C52" s="744" t="s">
        <v>431</v>
      </c>
      <c r="D52" s="745" t="s">
        <v>432</v>
      </c>
      <c r="E52" s="730"/>
      <c r="F52" s="731"/>
      <c r="G52" s="732"/>
      <c r="H52" s="733"/>
      <c r="I52" s="734"/>
      <c r="J52" s="735"/>
    </row>
    <row r="53" spans="1:10" ht="15" customHeight="1" x14ac:dyDescent="0.25">
      <c r="A53" s="276"/>
      <c r="B53" s="564"/>
      <c r="C53" s="721" t="s">
        <v>433</v>
      </c>
      <c r="D53" s="722" t="s">
        <v>434</v>
      </c>
      <c r="E53" s="277" t="s">
        <v>160</v>
      </c>
      <c r="F53" s="278" t="s">
        <v>141</v>
      </c>
      <c r="G53" s="723">
        <v>0</v>
      </c>
      <c r="H53" s="724"/>
      <c r="I53" s="725">
        <f t="shared" ref="I53:I54" si="4">IF(E53="NA","",H53*G53)</f>
        <v>0</v>
      </c>
      <c r="J53" s="283"/>
    </row>
    <row r="54" spans="1:10" ht="15" customHeight="1" x14ac:dyDescent="0.25">
      <c r="A54" s="276"/>
      <c r="B54" s="564"/>
      <c r="C54" s="721" t="s">
        <v>435</v>
      </c>
      <c r="D54" s="722" t="s">
        <v>436</v>
      </c>
      <c r="E54" s="277" t="s">
        <v>160</v>
      </c>
      <c r="F54" s="278" t="s">
        <v>141</v>
      </c>
      <c r="G54" s="723">
        <v>0</v>
      </c>
      <c r="H54" s="724"/>
      <c r="I54" s="725">
        <f t="shared" si="4"/>
        <v>0</v>
      </c>
      <c r="J54" s="283"/>
    </row>
    <row r="55" spans="1:10" ht="15" customHeight="1" x14ac:dyDescent="0.25">
      <c r="A55" s="742"/>
      <c r="B55" s="743"/>
      <c r="C55" s="728" t="s">
        <v>437</v>
      </c>
      <c r="D55" s="729" t="s">
        <v>438</v>
      </c>
      <c r="E55" s="730"/>
      <c r="F55" s="731"/>
      <c r="G55" s="732"/>
      <c r="H55" s="733"/>
      <c r="I55" s="733"/>
      <c r="J55" s="733"/>
    </row>
    <row r="56" spans="1:10" ht="15" customHeight="1" x14ac:dyDescent="0.25">
      <c r="A56" s="276"/>
      <c r="B56" s="564"/>
      <c r="C56" s="721" t="s">
        <v>439</v>
      </c>
      <c r="D56" s="722" t="s">
        <v>440</v>
      </c>
      <c r="E56" s="277" t="s">
        <v>160</v>
      </c>
      <c r="F56" s="278" t="s">
        <v>345</v>
      </c>
      <c r="G56" s="723">
        <v>0</v>
      </c>
      <c r="H56" s="724"/>
      <c r="I56" s="725">
        <f t="shared" ref="I56:I61" si="5">IF(E56="NA","",H56*G56)</f>
        <v>0</v>
      </c>
      <c r="J56" s="283"/>
    </row>
    <row r="57" spans="1:10" ht="15" customHeight="1" x14ac:dyDescent="0.25">
      <c r="A57" s="276"/>
      <c r="B57" s="564"/>
      <c r="C57" s="721" t="s">
        <v>441</v>
      </c>
      <c r="D57" s="722" t="s">
        <v>442</v>
      </c>
      <c r="E57" s="277" t="s">
        <v>160</v>
      </c>
      <c r="F57" s="278" t="s">
        <v>345</v>
      </c>
      <c r="G57" s="723">
        <v>0</v>
      </c>
      <c r="H57" s="724"/>
      <c r="I57" s="725">
        <f t="shared" si="5"/>
        <v>0</v>
      </c>
      <c r="J57" s="283"/>
    </row>
    <row r="58" spans="1:10" ht="15" customHeight="1" x14ac:dyDescent="0.25">
      <c r="A58" s="276"/>
      <c r="B58" s="564"/>
      <c r="C58" s="721" t="s">
        <v>443</v>
      </c>
      <c r="D58" s="722" t="s">
        <v>444</v>
      </c>
      <c r="E58" s="277" t="s">
        <v>160</v>
      </c>
      <c r="F58" s="278" t="s">
        <v>345</v>
      </c>
      <c r="G58" s="723">
        <v>0</v>
      </c>
      <c r="H58" s="724"/>
      <c r="I58" s="725">
        <f t="shared" si="5"/>
        <v>0</v>
      </c>
      <c r="J58" s="283"/>
    </row>
    <row r="59" spans="1:10" ht="15" customHeight="1" x14ac:dyDescent="0.25">
      <c r="A59" s="276"/>
      <c r="B59" s="564"/>
      <c r="C59" s="721" t="s">
        <v>445</v>
      </c>
      <c r="D59" s="722" t="s">
        <v>446</v>
      </c>
      <c r="E59" s="277" t="s">
        <v>160</v>
      </c>
      <c r="F59" s="278" t="s">
        <v>345</v>
      </c>
      <c r="G59" s="723">
        <v>0</v>
      </c>
      <c r="H59" s="724"/>
      <c r="I59" s="725"/>
      <c r="J59" s="283" t="s">
        <v>447</v>
      </c>
    </row>
    <row r="60" spans="1:10" ht="15" customHeight="1" x14ac:dyDescent="0.25">
      <c r="A60" s="276"/>
      <c r="B60" s="564"/>
      <c r="C60" s="721" t="s">
        <v>448</v>
      </c>
      <c r="D60" s="722" t="s">
        <v>449</v>
      </c>
      <c r="E60" s="277" t="s">
        <v>160</v>
      </c>
      <c r="F60" s="278" t="s">
        <v>345</v>
      </c>
      <c r="G60" s="723">
        <v>0</v>
      </c>
      <c r="H60" s="724"/>
      <c r="I60" s="725">
        <f t="shared" si="5"/>
        <v>0</v>
      </c>
      <c r="J60" s="283" t="s">
        <v>450</v>
      </c>
    </row>
    <row r="61" spans="1:10" ht="15" customHeight="1" x14ac:dyDescent="0.25">
      <c r="A61" s="276"/>
      <c r="B61" s="564"/>
      <c r="C61" s="721" t="s">
        <v>451</v>
      </c>
      <c r="D61" s="722" t="s">
        <v>452</v>
      </c>
      <c r="E61" s="277" t="s">
        <v>160</v>
      </c>
      <c r="F61" s="278" t="s">
        <v>345</v>
      </c>
      <c r="G61" s="723">
        <v>0</v>
      </c>
      <c r="H61" s="724"/>
      <c r="I61" s="725">
        <f t="shared" si="5"/>
        <v>0</v>
      </c>
      <c r="J61" s="283"/>
    </row>
    <row r="62" spans="1:10" ht="15" customHeight="1" x14ac:dyDescent="0.25">
      <c r="A62" s="742"/>
      <c r="B62" s="743"/>
      <c r="C62" s="747" t="s">
        <v>453</v>
      </c>
      <c r="D62" s="745" t="s">
        <v>454</v>
      </c>
      <c r="E62" s="730"/>
      <c r="F62" s="731"/>
      <c r="G62" s="732"/>
      <c r="H62" s="733"/>
      <c r="I62" s="734"/>
      <c r="J62" s="735"/>
    </row>
    <row r="63" spans="1:10" ht="15" customHeight="1" x14ac:dyDescent="0.25">
      <c r="A63" s="276"/>
      <c r="B63" s="564"/>
      <c r="C63" s="721" t="s">
        <v>455</v>
      </c>
      <c r="D63" s="722" t="s">
        <v>456</v>
      </c>
      <c r="E63" s="277" t="s">
        <v>160</v>
      </c>
      <c r="F63" s="278" t="s">
        <v>141</v>
      </c>
      <c r="G63" s="723">
        <v>0</v>
      </c>
      <c r="H63" s="724"/>
      <c r="I63" s="725">
        <f t="shared" ref="I63:I64" si="6">IF(E63="NA","",H63*G63)</f>
        <v>0</v>
      </c>
      <c r="J63" s="283" t="s">
        <v>457</v>
      </c>
    </row>
    <row r="64" spans="1:10" ht="15" customHeight="1" x14ac:dyDescent="0.25">
      <c r="A64" s="276"/>
      <c r="B64" s="564"/>
      <c r="C64" s="721" t="s">
        <v>458</v>
      </c>
      <c r="D64" s="722" t="s">
        <v>459</v>
      </c>
      <c r="E64" s="277" t="s">
        <v>160</v>
      </c>
      <c r="F64" s="278" t="s">
        <v>141</v>
      </c>
      <c r="G64" s="723">
        <v>0</v>
      </c>
      <c r="H64" s="724"/>
      <c r="I64" s="725">
        <f t="shared" si="6"/>
        <v>0</v>
      </c>
      <c r="J64" s="283"/>
    </row>
    <row r="65" spans="1:10" ht="15" customHeight="1" x14ac:dyDescent="0.25">
      <c r="A65" s="742"/>
      <c r="B65" s="743"/>
      <c r="C65" s="747" t="s">
        <v>460</v>
      </c>
      <c r="D65" s="745" t="s">
        <v>461</v>
      </c>
      <c r="E65" s="730"/>
      <c r="F65" s="731"/>
      <c r="G65" s="732"/>
      <c r="H65" s="733"/>
      <c r="I65" s="733"/>
      <c r="J65" s="733"/>
    </row>
    <row r="66" spans="1:10" ht="15" customHeight="1" x14ac:dyDescent="0.25">
      <c r="A66" s="276"/>
      <c r="B66" s="564"/>
      <c r="C66" s="721" t="s">
        <v>462</v>
      </c>
      <c r="D66" s="736" t="s">
        <v>463</v>
      </c>
      <c r="E66" s="277" t="s">
        <v>160</v>
      </c>
      <c r="F66" s="278" t="s">
        <v>464</v>
      </c>
      <c r="G66" s="723">
        <v>0</v>
      </c>
      <c r="H66" s="724"/>
      <c r="I66" s="725">
        <f t="shared" ref="I66:I67" si="7">IF(E66="NA","",H66*G66)</f>
        <v>0</v>
      </c>
      <c r="J66" s="564"/>
    </row>
    <row r="67" spans="1:10" ht="15" customHeight="1" x14ac:dyDescent="0.25">
      <c r="A67" s="276"/>
      <c r="B67" s="564"/>
      <c r="C67" s="721" t="s">
        <v>465</v>
      </c>
      <c r="D67" s="736" t="s">
        <v>466</v>
      </c>
      <c r="E67" s="277" t="s">
        <v>160</v>
      </c>
      <c r="F67" s="278" t="s">
        <v>464</v>
      </c>
      <c r="G67" s="723">
        <v>0</v>
      </c>
      <c r="H67" s="724"/>
      <c r="I67" s="725">
        <f t="shared" si="7"/>
        <v>0</v>
      </c>
      <c r="J67" s="564"/>
    </row>
    <row r="68" spans="1:10" ht="15" customHeight="1" x14ac:dyDescent="0.25">
      <c r="A68" s="742"/>
      <c r="B68" s="743"/>
      <c r="C68" s="747" t="s">
        <v>467</v>
      </c>
      <c r="D68" s="745" t="s">
        <v>468</v>
      </c>
      <c r="E68" s="730"/>
      <c r="F68" s="731"/>
      <c r="G68" s="732"/>
      <c r="H68" s="733"/>
      <c r="I68" s="734"/>
      <c r="J68" s="735"/>
    </row>
    <row r="69" spans="1:10" ht="15" customHeight="1" x14ac:dyDescent="0.25">
      <c r="A69" s="276"/>
      <c r="B69" s="564"/>
      <c r="C69" s="721" t="s">
        <v>469</v>
      </c>
      <c r="D69" s="736" t="s">
        <v>470</v>
      </c>
      <c r="E69" s="277" t="s">
        <v>160</v>
      </c>
      <c r="F69" s="278" t="s">
        <v>464</v>
      </c>
      <c r="G69" s="723">
        <v>0</v>
      </c>
      <c r="H69" s="724"/>
      <c r="I69" s="725">
        <f t="shared" ref="I69:I70" si="8">IF(E69="NA","",H69*G69)</f>
        <v>0</v>
      </c>
      <c r="J69" s="283"/>
    </row>
    <row r="70" spans="1:10" ht="15" customHeight="1" x14ac:dyDescent="0.25">
      <c r="A70" s="276"/>
      <c r="B70" s="564"/>
      <c r="C70" s="721" t="s">
        <v>471</v>
      </c>
      <c r="D70" s="736" t="s">
        <v>472</v>
      </c>
      <c r="E70" s="277" t="s">
        <v>160</v>
      </c>
      <c r="F70" s="278" t="s">
        <v>464</v>
      </c>
      <c r="G70" s="723">
        <v>0</v>
      </c>
      <c r="H70" s="724"/>
      <c r="I70" s="725">
        <f t="shared" si="8"/>
        <v>0</v>
      </c>
      <c r="J70" s="283"/>
    </row>
    <row r="71" spans="1:10" ht="15" customHeight="1" x14ac:dyDescent="0.25">
      <c r="A71" s="1562" t="s">
        <v>473</v>
      </c>
      <c r="B71" s="1562"/>
      <c r="C71" s="1562"/>
      <c r="D71" s="1563"/>
      <c r="E71" s="1566" t="s">
        <v>154</v>
      </c>
      <c r="F71" s="1567"/>
      <c r="G71" s="1567"/>
      <c r="H71" s="1568"/>
      <c r="I71" s="254">
        <f>SUMIF(E74:E85,"Mandatory",I74:I85)</f>
        <v>0</v>
      </c>
      <c r="J71" s="711"/>
    </row>
    <row r="72" spans="1:10" ht="15" customHeight="1" x14ac:dyDescent="0.25">
      <c r="A72" s="1564"/>
      <c r="B72" s="1564"/>
      <c r="C72" s="1564"/>
      <c r="D72" s="1565"/>
      <c r="E72" s="1569" t="s">
        <v>156</v>
      </c>
      <c r="F72" s="1570"/>
      <c r="G72" s="1570"/>
      <c r="H72" s="1571"/>
      <c r="I72" s="254">
        <f>SUMIF(E73:E726,"Optional",I73:I726)</f>
        <v>0</v>
      </c>
      <c r="J72" s="711"/>
    </row>
    <row r="73" spans="1:10" ht="15" customHeight="1" x14ac:dyDescent="0.25">
      <c r="A73" s="742"/>
      <c r="B73" s="743"/>
      <c r="C73" s="728" t="s">
        <v>474</v>
      </c>
      <c r="D73" s="729" t="s">
        <v>475</v>
      </c>
      <c r="E73" s="730"/>
      <c r="F73" s="731"/>
      <c r="G73" s="732"/>
      <c r="H73" s="733"/>
      <c r="I73" s="734"/>
      <c r="J73" s="735"/>
    </row>
    <row r="74" spans="1:10" ht="30" x14ac:dyDescent="0.25">
      <c r="A74" s="276"/>
      <c r="B74" s="564"/>
      <c r="C74" s="721" t="s">
        <v>476</v>
      </c>
      <c r="D74" s="722" t="s">
        <v>477</v>
      </c>
      <c r="E74" s="277" t="s">
        <v>160</v>
      </c>
      <c r="F74" s="278" t="s">
        <v>345</v>
      </c>
      <c r="G74" s="723">
        <v>0</v>
      </c>
      <c r="H74" s="724"/>
      <c r="I74" s="725">
        <f t="shared" ref="I74:I78" si="9">IF(E74="NA","",H74*G74)</f>
        <v>0</v>
      </c>
      <c r="J74" s="283"/>
    </row>
    <row r="75" spans="1:10" ht="30" x14ac:dyDescent="0.25">
      <c r="A75" s="276"/>
      <c r="B75" s="564"/>
      <c r="C75" s="721" t="s">
        <v>478</v>
      </c>
      <c r="D75" s="722" t="s">
        <v>479</v>
      </c>
      <c r="E75" s="277" t="s">
        <v>160</v>
      </c>
      <c r="F75" s="278" t="s">
        <v>345</v>
      </c>
      <c r="G75" s="723">
        <v>0</v>
      </c>
      <c r="H75" s="724"/>
      <c r="I75" s="725">
        <f t="shared" si="9"/>
        <v>0</v>
      </c>
      <c r="J75" s="283"/>
    </row>
    <row r="76" spans="1:10" ht="25.5" customHeight="1" x14ac:dyDescent="0.25">
      <c r="A76" s="276"/>
      <c r="B76" s="564"/>
      <c r="C76" s="721" t="s">
        <v>480</v>
      </c>
      <c r="D76" s="736" t="s">
        <v>481</v>
      </c>
      <c r="E76" s="277" t="s">
        <v>160</v>
      </c>
      <c r="F76" s="278" t="s">
        <v>345</v>
      </c>
      <c r="G76" s="723">
        <v>0</v>
      </c>
      <c r="H76" s="724"/>
      <c r="I76" s="725">
        <f t="shared" si="9"/>
        <v>0</v>
      </c>
      <c r="J76" s="283"/>
    </row>
    <row r="77" spans="1:10" ht="25.5" customHeight="1" x14ac:dyDescent="0.25">
      <c r="A77" s="276"/>
      <c r="B77" s="564"/>
      <c r="C77" s="721" t="s">
        <v>482</v>
      </c>
      <c r="D77" s="736" t="s">
        <v>483</v>
      </c>
      <c r="E77" s="277" t="s">
        <v>160</v>
      </c>
      <c r="F77" s="278" t="s">
        <v>345</v>
      </c>
      <c r="G77" s="723">
        <v>0</v>
      </c>
      <c r="H77" s="724"/>
      <c r="I77" s="725">
        <f t="shared" si="9"/>
        <v>0</v>
      </c>
      <c r="J77" s="283"/>
    </row>
    <row r="78" spans="1:10" ht="25.5" customHeight="1" x14ac:dyDescent="0.25">
      <c r="A78" s="276"/>
      <c r="B78" s="564"/>
      <c r="C78" s="741" t="s">
        <v>484</v>
      </c>
      <c r="D78" s="736" t="s">
        <v>485</v>
      </c>
      <c r="E78" s="277" t="s">
        <v>160</v>
      </c>
      <c r="F78" s="278" t="s">
        <v>345</v>
      </c>
      <c r="G78" s="723">
        <v>0</v>
      </c>
      <c r="H78" s="724"/>
      <c r="I78" s="725">
        <f t="shared" si="9"/>
        <v>0</v>
      </c>
      <c r="J78" s="283"/>
    </row>
    <row r="79" spans="1:10" ht="15" customHeight="1" x14ac:dyDescent="0.25">
      <c r="A79" s="742"/>
      <c r="B79" s="743"/>
      <c r="C79" s="728" t="s">
        <v>486</v>
      </c>
      <c r="D79" s="729" t="s">
        <v>487</v>
      </c>
      <c r="E79" s="730"/>
      <c r="F79" s="731"/>
      <c r="G79" s="732"/>
      <c r="H79" s="733"/>
      <c r="I79" s="734"/>
      <c r="J79" s="735"/>
    </row>
    <row r="80" spans="1:10" ht="30" x14ac:dyDescent="0.25">
      <c r="A80" s="276"/>
      <c r="B80" s="564"/>
      <c r="C80" s="721" t="s">
        <v>488</v>
      </c>
      <c r="D80" s="736" t="s">
        <v>489</v>
      </c>
      <c r="E80" s="277" t="s">
        <v>160</v>
      </c>
      <c r="F80" s="278" t="s">
        <v>141</v>
      </c>
      <c r="G80" s="723">
        <v>0</v>
      </c>
      <c r="H80" s="724"/>
      <c r="I80" s="725">
        <f t="shared" ref="I80:I85" si="10">IF(E80="NA","",H80*G80)</f>
        <v>0</v>
      </c>
      <c r="J80" s="283"/>
    </row>
    <row r="81" spans="1:10" ht="45" x14ac:dyDescent="0.25">
      <c r="A81" s="276"/>
      <c r="B81" s="564"/>
      <c r="C81" s="721" t="s">
        <v>490</v>
      </c>
      <c r="D81" s="736" t="s">
        <v>491</v>
      </c>
      <c r="E81" s="277" t="s">
        <v>160</v>
      </c>
      <c r="F81" s="278" t="s">
        <v>141</v>
      </c>
      <c r="G81" s="723">
        <v>0</v>
      </c>
      <c r="H81" s="724"/>
      <c r="I81" s="725">
        <f t="shared" si="10"/>
        <v>0</v>
      </c>
      <c r="J81" s="283"/>
    </row>
    <row r="82" spans="1:10" ht="15" customHeight="1" x14ac:dyDescent="0.25">
      <c r="A82" s="276"/>
      <c r="B82" s="564"/>
      <c r="C82" s="721" t="s">
        <v>492</v>
      </c>
      <c r="D82" s="736" t="s">
        <v>493</v>
      </c>
      <c r="E82" s="277" t="s">
        <v>160</v>
      </c>
      <c r="F82" s="278" t="s">
        <v>141</v>
      </c>
      <c r="G82" s="723">
        <v>0</v>
      </c>
      <c r="H82" s="724"/>
      <c r="I82" s="725">
        <f t="shared" si="10"/>
        <v>0</v>
      </c>
      <c r="J82" s="283"/>
    </row>
    <row r="83" spans="1:10" x14ac:dyDescent="0.25">
      <c r="A83" s="276"/>
      <c r="B83" s="564"/>
      <c r="C83" s="721" t="s">
        <v>494</v>
      </c>
      <c r="D83" s="736" t="s">
        <v>495</v>
      </c>
      <c r="E83" s="277" t="s">
        <v>160</v>
      </c>
      <c r="F83" s="278" t="s">
        <v>141</v>
      </c>
      <c r="G83" s="723">
        <v>0</v>
      </c>
      <c r="H83" s="724"/>
      <c r="I83" s="725">
        <f t="shared" si="10"/>
        <v>0</v>
      </c>
      <c r="J83" s="283"/>
    </row>
    <row r="84" spans="1:10" x14ac:dyDescent="0.25">
      <c r="A84" s="276"/>
      <c r="B84" s="564"/>
      <c r="C84" s="721" t="s">
        <v>496</v>
      </c>
      <c r="D84" s="736" t="s">
        <v>497</v>
      </c>
      <c r="E84" s="277" t="s">
        <v>160</v>
      </c>
      <c r="F84" s="278" t="s">
        <v>141</v>
      </c>
      <c r="G84" s="723">
        <v>0</v>
      </c>
      <c r="H84" s="724"/>
      <c r="I84" s="725">
        <f t="shared" si="10"/>
        <v>0</v>
      </c>
      <c r="J84" s="283"/>
    </row>
    <row r="85" spans="1:10" x14ac:dyDescent="0.25">
      <c r="A85" s="276"/>
      <c r="B85" s="564"/>
      <c r="C85" s="721" t="s">
        <v>498</v>
      </c>
      <c r="D85" s="736" t="s">
        <v>499</v>
      </c>
      <c r="E85" s="277" t="s">
        <v>160</v>
      </c>
      <c r="F85" s="278" t="s">
        <v>141</v>
      </c>
      <c r="G85" s="723">
        <v>0</v>
      </c>
      <c r="H85" s="724"/>
      <c r="I85" s="725">
        <f t="shared" si="10"/>
        <v>0</v>
      </c>
      <c r="J85" s="283"/>
    </row>
    <row r="86" spans="1:10" ht="15" customHeight="1" x14ac:dyDescent="0.25">
      <c r="A86" s="748"/>
      <c r="B86" s="749"/>
      <c r="C86" s="728" t="s">
        <v>500</v>
      </c>
      <c r="D86" s="729" t="s">
        <v>501</v>
      </c>
      <c r="E86" s="750"/>
      <c r="F86" s="748"/>
      <c r="G86" s="751"/>
      <c r="H86" s="751"/>
      <c r="I86" s="751"/>
      <c r="J86" s="752"/>
    </row>
    <row r="87" spans="1:10" ht="30" x14ac:dyDescent="0.25">
      <c r="A87" s="278"/>
      <c r="B87" s="564"/>
      <c r="C87" s="721" t="s">
        <v>502</v>
      </c>
      <c r="D87" s="722" t="s">
        <v>503</v>
      </c>
      <c r="E87" s="277" t="s">
        <v>167</v>
      </c>
      <c r="F87" s="278" t="s">
        <v>345</v>
      </c>
      <c r="G87" s="723">
        <v>0</v>
      </c>
      <c r="H87" s="724"/>
      <c r="I87" s="725">
        <f t="shared" ref="I87" si="11">IF(E87="NA","",H87*G87)</f>
        <v>0</v>
      </c>
      <c r="J87" s="283"/>
    </row>
    <row r="88" spans="1:10" ht="17.25" customHeight="1" x14ac:dyDescent="0.25">
      <c r="A88" s="1579" t="s">
        <v>504</v>
      </c>
      <c r="B88" s="1579"/>
      <c r="C88" s="1579"/>
      <c r="D88" s="1580"/>
      <c r="E88" s="1581" t="s">
        <v>154</v>
      </c>
      <c r="F88" s="1582"/>
      <c r="G88" s="1582"/>
      <c r="H88" s="1583"/>
      <c r="I88" s="753">
        <f>SUMIF(E91:E109,"Mandatory",I91:I109)</f>
        <v>0</v>
      </c>
      <c r="J88" s="711"/>
    </row>
    <row r="89" spans="1:10" ht="14.25" customHeight="1" x14ac:dyDescent="0.25">
      <c r="A89" s="1564"/>
      <c r="B89" s="1564"/>
      <c r="C89" s="1564"/>
      <c r="D89" s="1565"/>
      <c r="E89" s="1569" t="s">
        <v>156</v>
      </c>
      <c r="F89" s="1570"/>
      <c r="G89" s="1570"/>
      <c r="H89" s="1571"/>
      <c r="I89" s="254">
        <f>SUMIF(E91:E109,"Optional",I90:I109)</f>
        <v>0</v>
      </c>
      <c r="J89" s="711"/>
    </row>
    <row r="90" spans="1:10" ht="15" customHeight="1" x14ac:dyDescent="0.25">
      <c r="A90" s="742"/>
      <c r="B90" s="743"/>
      <c r="C90" s="728" t="s">
        <v>505</v>
      </c>
      <c r="D90" s="729" t="s">
        <v>506</v>
      </c>
      <c r="E90" s="730"/>
      <c r="F90" s="731"/>
      <c r="G90" s="732"/>
      <c r="H90" s="733"/>
      <c r="I90" s="734"/>
      <c r="J90" s="735"/>
    </row>
    <row r="91" spans="1:10" ht="15" customHeight="1" x14ac:dyDescent="0.25">
      <c r="A91" s="276"/>
      <c r="B91" s="564"/>
      <c r="C91" s="721" t="s">
        <v>507</v>
      </c>
      <c r="D91" s="722" t="s">
        <v>508</v>
      </c>
      <c r="E91" s="277" t="s">
        <v>160</v>
      </c>
      <c r="F91" s="278" t="s">
        <v>345</v>
      </c>
      <c r="G91" s="723">
        <v>0</v>
      </c>
      <c r="H91" s="724"/>
      <c r="I91" s="725">
        <f t="shared" ref="I91:I100" si="12">IF(E91="NA","",H91*G91)</f>
        <v>0</v>
      </c>
      <c r="J91" s="283"/>
    </row>
    <row r="92" spans="1:10" ht="15" customHeight="1" x14ac:dyDescent="0.25">
      <c r="A92" s="276"/>
      <c r="B92" s="564"/>
      <c r="C92" s="721" t="s">
        <v>509</v>
      </c>
      <c r="D92" s="722" t="s">
        <v>510</v>
      </c>
      <c r="E92" s="277" t="s">
        <v>160</v>
      </c>
      <c r="F92" s="278" t="s">
        <v>345</v>
      </c>
      <c r="G92" s="723">
        <v>0</v>
      </c>
      <c r="H92" s="724"/>
      <c r="I92" s="725">
        <f t="shared" si="12"/>
        <v>0</v>
      </c>
      <c r="J92" s="283"/>
    </row>
    <row r="93" spans="1:10" ht="15" customHeight="1" x14ac:dyDescent="0.25">
      <c r="A93" s="276"/>
      <c r="B93" s="564"/>
      <c r="C93" s="721" t="s">
        <v>511</v>
      </c>
      <c r="D93" s="722" t="s">
        <v>512</v>
      </c>
      <c r="E93" s="277" t="s">
        <v>160</v>
      </c>
      <c r="F93" s="278" t="s">
        <v>345</v>
      </c>
      <c r="G93" s="723">
        <v>0</v>
      </c>
      <c r="H93" s="724"/>
      <c r="I93" s="725">
        <f t="shared" si="12"/>
        <v>0</v>
      </c>
      <c r="J93" s="283"/>
    </row>
    <row r="94" spans="1:10" ht="15" customHeight="1" x14ac:dyDescent="0.25">
      <c r="A94" s="276"/>
      <c r="B94" s="564"/>
      <c r="C94" s="721" t="s">
        <v>513</v>
      </c>
      <c r="D94" s="722" t="s">
        <v>514</v>
      </c>
      <c r="E94" s="277" t="s">
        <v>160</v>
      </c>
      <c r="F94" s="278" t="s">
        <v>345</v>
      </c>
      <c r="G94" s="723">
        <v>0</v>
      </c>
      <c r="H94" s="724"/>
      <c r="I94" s="725">
        <f t="shared" si="12"/>
        <v>0</v>
      </c>
      <c r="J94" s="283"/>
    </row>
    <row r="95" spans="1:10" ht="15" customHeight="1" x14ac:dyDescent="0.25">
      <c r="A95" s="276"/>
      <c r="B95" s="564"/>
      <c r="C95" s="721" t="s">
        <v>515</v>
      </c>
      <c r="D95" s="722" t="s">
        <v>516</v>
      </c>
      <c r="E95" s="277" t="s">
        <v>160</v>
      </c>
      <c r="F95" s="278" t="s">
        <v>345</v>
      </c>
      <c r="G95" s="723">
        <v>0</v>
      </c>
      <c r="H95" s="724"/>
      <c r="I95" s="725">
        <f t="shared" si="12"/>
        <v>0</v>
      </c>
      <c r="J95" s="283"/>
    </row>
    <row r="96" spans="1:10" ht="15" customHeight="1" x14ac:dyDescent="0.25">
      <c r="A96" s="276"/>
      <c r="B96" s="564"/>
      <c r="C96" s="721" t="s">
        <v>517</v>
      </c>
      <c r="D96" s="722" t="s">
        <v>518</v>
      </c>
      <c r="E96" s="277" t="s">
        <v>160</v>
      </c>
      <c r="F96" s="278" t="s">
        <v>345</v>
      </c>
      <c r="G96" s="723">
        <v>0</v>
      </c>
      <c r="H96" s="724"/>
      <c r="I96" s="725">
        <f t="shared" si="12"/>
        <v>0</v>
      </c>
      <c r="J96" s="283"/>
    </row>
    <row r="97" spans="1:10" ht="15" customHeight="1" x14ac:dyDescent="0.25">
      <c r="A97" s="276"/>
      <c r="B97" s="564"/>
      <c r="C97" s="721" t="s">
        <v>519</v>
      </c>
      <c r="D97" s="722" t="s">
        <v>520</v>
      </c>
      <c r="E97" s="277" t="s">
        <v>160</v>
      </c>
      <c r="F97" s="278" t="s">
        <v>345</v>
      </c>
      <c r="G97" s="723">
        <v>0</v>
      </c>
      <c r="H97" s="724"/>
      <c r="I97" s="725">
        <f t="shared" si="12"/>
        <v>0</v>
      </c>
      <c r="J97" s="283"/>
    </row>
    <row r="98" spans="1:10" ht="15" customHeight="1" x14ac:dyDescent="0.25">
      <c r="A98" s="276"/>
      <c r="B98" s="564"/>
      <c r="C98" s="721" t="s">
        <v>521</v>
      </c>
      <c r="D98" s="722" t="s">
        <v>522</v>
      </c>
      <c r="E98" s="277" t="s">
        <v>160</v>
      </c>
      <c r="F98" s="278" t="s">
        <v>345</v>
      </c>
      <c r="G98" s="723">
        <v>0</v>
      </c>
      <c r="H98" s="724"/>
      <c r="I98" s="725">
        <f t="shared" si="12"/>
        <v>0</v>
      </c>
      <c r="J98" s="283"/>
    </row>
    <row r="99" spans="1:10" ht="15" customHeight="1" x14ac:dyDescent="0.25">
      <c r="A99" s="276"/>
      <c r="B99" s="564"/>
      <c r="C99" s="721" t="s">
        <v>523</v>
      </c>
      <c r="D99" s="722" t="s">
        <v>524</v>
      </c>
      <c r="E99" s="277" t="s">
        <v>160</v>
      </c>
      <c r="F99" s="278" t="s">
        <v>345</v>
      </c>
      <c r="G99" s="723">
        <v>0</v>
      </c>
      <c r="H99" s="724"/>
      <c r="I99" s="725">
        <f t="shared" si="12"/>
        <v>0</v>
      </c>
      <c r="J99" s="283"/>
    </row>
    <row r="100" spans="1:10" ht="15" customHeight="1" x14ac:dyDescent="0.25">
      <c r="A100" s="276"/>
      <c r="B100" s="564"/>
      <c r="C100" s="721" t="s">
        <v>525</v>
      </c>
      <c r="D100" s="722" t="s">
        <v>526</v>
      </c>
      <c r="E100" s="277" t="s">
        <v>160</v>
      </c>
      <c r="F100" s="278" t="s">
        <v>345</v>
      </c>
      <c r="G100" s="723">
        <v>0</v>
      </c>
      <c r="H100" s="724"/>
      <c r="I100" s="725">
        <f t="shared" si="12"/>
        <v>0</v>
      </c>
      <c r="J100" s="283"/>
    </row>
    <row r="101" spans="1:10" ht="15" customHeight="1" x14ac:dyDescent="0.25">
      <c r="A101" s="742"/>
      <c r="B101" s="743"/>
      <c r="C101" s="747" t="s">
        <v>527</v>
      </c>
      <c r="D101" s="745" t="s">
        <v>528</v>
      </c>
      <c r="E101" s="730"/>
      <c r="F101" s="731"/>
      <c r="G101" s="732"/>
      <c r="H101" s="733"/>
      <c r="I101" s="734"/>
      <c r="J101" s="735"/>
    </row>
    <row r="102" spans="1:10" s="275" customFormat="1" ht="15" customHeight="1" x14ac:dyDescent="0.25">
      <c r="A102" s="276"/>
      <c r="B102" s="564"/>
      <c r="C102" s="721" t="s">
        <v>529</v>
      </c>
      <c r="D102" s="722" t="s">
        <v>530</v>
      </c>
      <c r="E102" s="277" t="s">
        <v>160</v>
      </c>
      <c r="F102" s="278" t="s">
        <v>141</v>
      </c>
      <c r="G102" s="723">
        <v>0</v>
      </c>
      <c r="H102" s="724"/>
      <c r="I102" s="725">
        <f t="shared" ref="I102:I103" si="13">IF(E102="NA","",H102*G102)</f>
        <v>0</v>
      </c>
      <c r="J102" s="283"/>
    </row>
    <row r="103" spans="1:10" ht="15" customHeight="1" x14ac:dyDescent="0.25">
      <c r="A103" s="276"/>
      <c r="B103" s="564"/>
      <c r="C103" s="721" t="s">
        <v>531</v>
      </c>
      <c r="D103" s="722" t="s">
        <v>532</v>
      </c>
      <c r="E103" s="277" t="s">
        <v>160</v>
      </c>
      <c r="F103" s="278" t="s">
        <v>141</v>
      </c>
      <c r="G103" s="723">
        <v>0</v>
      </c>
      <c r="H103" s="724"/>
      <c r="I103" s="725">
        <f t="shared" si="13"/>
        <v>0</v>
      </c>
      <c r="J103" s="283"/>
    </row>
    <row r="104" spans="1:10" ht="15" customHeight="1" x14ac:dyDescent="0.25">
      <c r="A104" s="742"/>
      <c r="B104" s="743"/>
      <c r="C104" s="747" t="s">
        <v>533</v>
      </c>
      <c r="D104" s="745" t="s">
        <v>534</v>
      </c>
      <c r="E104" s="730"/>
      <c r="F104" s="731"/>
      <c r="G104" s="732"/>
      <c r="H104" s="733"/>
      <c r="I104" s="734"/>
      <c r="J104" s="735"/>
    </row>
    <row r="105" spans="1:10" ht="15" customHeight="1" x14ac:dyDescent="0.25">
      <c r="A105" s="276"/>
      <c r="B105" s="564"/>
      <c r="C105" s="721" t="s">
        <v>535</v>
      </c>
      <c r="D105" s="722" t="s">
        <v>536</v>
      </c>
      <c r="E105" s="277" t="s">
        <v>160</v>
      </c>
      <c r="F105" s="278" t="s">
        <v>141</v>
      </c>
      <c r="G105" s="723">
        <v>0</v>
      </c>
      <c r="H105" s="724"/>
      <c r="I105" s="725">
        <f t="shared" ref="I105:I106" si="14">IF(E105="NA","",H105*G105)</f>
        <v>0</v>
      </c>
      <c r="J105" s="283" t="s">
        <v>537</v>
      </c>
    </row>
    <row r="106" spans="1:10" ht="15" customHeight="1" x14ac:dyDescent="0.25">
      <c r="A106" s="276"/>
      <c r="B106" s="564"/>
      <c r="C106" s="721" t="s">
        <v>538</v>
      </c>
      <c r="D106" s="722" t="s">
        <v>539</v>
      </c>
      <c r="E106" s="277" t="s">
        <v>160</v>
      </c>
      <c r="F106" s="278" t="s">
        <v>141</v>
      </c>
      <c r="G106" s="723">
        <v>0</v>
      </c>
      <c r="H106" s="724"/>
      <c r="I106" s="725">
        <f t="shared" si="14"/>
        <v>0</v>
      </c>
      <c r="J106" s="283"/>
    </row>
    <row r="107" spans="1:10" ht="15" customHeight="1" x14ac:dyDescent="0.25">
      <c r="A107" s="742"/>
      <c r="B107" s="743"/>
      <c r="C107" s="747" t="s">
        <v>540</v>
      </c>
      <c r="D107" s="745" t="s">
        <v>541</v>
      </c>
      <c r="E107" s="730"/>
      <c r="F107" s="731"/>
      <c r="G107" s="732"/>
      <c r="H107" s="733"/>
      <c r="I107" s="734"/>
      <c r="J107" s="735"/>
    </row>
    <row r="108" spans="1:10" ht="15" customHeight="1" x14ac:dyDescent="0.25">
      <c r="A108" s="276"/>
      <c r="B108" s="564"/>
      <c r="C108" s="721" t="s">
        <v>542</v>
      </c>
      <c r="D108" s="722" t="s">
        <v>543</v>
      </c>
      <c r="E108" s="277" t="s">
        <v>160</v>
      </c>
      <c r="F108" s="278" t="s">
        <v>141</v>
      </c>
      <c r="G108" s="723">
        <v>0</v>
      </c>
      <c r="H108" s="724"/>
      <c r="I108" s="725">
        <f t="shared" ref="I108:I109" si="15">IF(E108="NA","",H108*G108)</f>
        <v>0</v>
      </c>
      <c r="J108" s="283"/>
    </row>
    <row r="109" spans="1:10" ht="15" customHeight="1" x14ac:dyDescent="0.25">
      <c r="A109" s="276"/>
      <c r="B109" s="564"/>
      <c r="C109" s="721" t="s">
        <v>544</v>
      </c>
      <c r="D109" s="722" t="s">
        <v>545</v>
      </c>
      <c r="E109" s="277" t="s">
        <v>160</v>
      </c>
      <c r="F109" s="278" t="s">
        <v>141</v>
      </c>
      <c r="G109" s="723">
        <v>0</v>
      </c>
      <c r="H109" s="724"/>
      <c r="I109" s="725">
        <f t="shared" si="15"/>
        <v>0</v>
      </c>
      <c r="J109" s="283"/>
    </row>
    <row r="110" spans="1:10" ht="15" customHeight="1" x14ac:dyDescent="0.25">
      <c r="A110" s="1562" t="s">
        <v>546</v>
      </c>
      <c r="B110" s="1562"/>
      <c r="C110" s="1562"/>
      <c r="D110" s="1563"/>
      <c r="E110" s="1566" t="s">
        <v>154</v>
      </c>
      <c r="F110" s="1567"/>
      <c r="G110" s="1567"/>
      <c r="H110" s="1568"/>
      <c r="I110" s="254">
        <f>SUMIF(E113:E171,"Mandatory",I113:I171)</f>
        <v>0</v>
      </c>
      <c r="J110" s="711"/>
    </row>
    <row r="111" spans="1:10" ht="15" customHeight="1" x14ac:dyDescent="0.25">
      <c r="A111" s="1564"/>
      <c r="B111" s="1564"/>
      <c r="C111" s="1564"/>
      <c r="D111" s="1565"/>
      <c r="E111" s="1569" t="s">
        <v>156</v>
      </c>
      <c r="F111" s="1570"/>
      <c r="G111" s="1570"/>
      <c r="H111" s="1571"/>
      <c r="I111" s="254">
        <f>SUMIF(E113:E171,"Optional",I112:I171)</f>
        <v>0</v>
      </c>
      <c r="J111" s="711"/>
    </row>
    <row r="112" spans="1:10" ht="15" customHeight="1" x14ac:dyDescent="0.25">
      <c r="A112" s="742"/>
      <c r="B112" s="743"/>
      <c r="C112" s="754" t="s">
        <v>547</v>
      </c>
      <c r="D112" s="729" t="s">
        <v>548</v>
      </c>
      <c r="E112" s="755"/>
      <c r="F112" s="731"/>
      <c r="G112" s="732"/>
      <c r="H112" s="733"/>
      <c r="I112" s="734"/>
      <c r="J112" s="735"/>
    </row>
    <row r="113" spans="1:10" ht="15" customHeight="1" x14ac:dyDescent="0.25">
      <c r="A113" s="742"/>
      <c r="B113" s="743"/>
      <c r="C113" s="747" t="s">
        <v>549</v>
      </c>
      <c r="D113" s="745" t="s">
        <v>550</v>
      </c>
      <c r="E113" s="756"/>
      <c r="F113" s="731"/>
      <c r="G113" s="732"/>
      <c r="H113" s="733"/>
      <c r="I113" s="734"/>
      <c r="J113" s="735"/>
    </row>
    <row r="114" spans="1:10" ht="15" customHeight="1" x14ac:dyDescent="0.25">
      <c r="A114" s="276"/>
      <c r="B114" s="564"/>
      <c r="C114" s="721" t="s">
        <v>551</v>
      </c>
      <c r="D114" s="722" t="s">
        <v>552</v>
      </c>
      <c r="E114" s="538" t="s">
        <v>160</v>
      </c>
      <c r="F114" s="723" t="s">
        <v>553</v>
      </c>
      <c r="G114" s="723">
        <v>0</v>
      </c>
      <c r="H114" s="724"/>
      <c r="I114" s="725"/>
      <c r="J114" s="283"/>
    </row>
    <row r="115" spans="1:10" ht="15" customHeight="1" x14ac:dyDescent="0.25">
      <c r="A115" s="276"/>
      <c r="B115" s="564"/>
      <c r="C115" s="721" t="s">
        <v>554</v>
      </c>
      <c r="D115" s="722" t="s">
        <v>555</v>
      </c>
      <c r="E115" s="538" t="s">
        <v>160</v>
      </c>
      <c r="F115" s="723" t="s">
        <v>553</v>
      </c>
      <c r="G115" s="723">
        <v>0</v>
      </c>
      <c r="H115" s="724"/>
      <c r="I115" s="725"/>
      <c r="J115" s="283"/>
    </row>
    <row r="116" spans="1:10" ht="23.25" customHeight="1" x14ac:dyDescent="0.25">
      <c r="A116" s="1562" t="s">
        <v>556</v>
      </c>
      <c r="B116" s="1562"/>
      <c r="C116" s="1562"/>
      <c r="D116" s="1563"/>
      <c r="E116" s="1566" t="s">
        <v>154</v>
      </c>
      <c r="F116" s="1567"/>
      <c r="G116" s="1567"/>
      <c r="H116" s="1568"/>
      <c r="I116" s="254">
        <f>SUMIF(E119:E171,"Mandatory",I119:I171)</f>
        <v>0</v>
      </c>
      <c r="J116" s="711"/>
    </row>
    <row r="117" spans="1:10" ht="23.25" customHeight="1" x14ac:dyDescent="0.25">
      <c r="A117" s="1564"/>
      <c r="B117" s="1564"/>
      <c r="C117" s="1564"/>
      <c r="D117" s="1565"/>
      <c r="E117" s="1569" t="s">
        <v>156</v>
      </c>
      <c r="F117" s="1570"/>
      <c r="G117" s="1570"/>
      <c r="H117" s="1571"/>
      <c r="I117" s="254">
        <f>SUMIF(E119:E171,"Optional",I118:I171)</f>
        <v>0</v>
      </c>
      <c r="J117" s="711"/>
    </row>
    <row r="118" spans="1:10" ht="15" customHeight="1" x14ac:dyDescent="0.25">
      <c r="A118" s="742"/>
      <c r="B118" s="757"/>
      <c r="C118" s="758" t="s">
        <v>557</v>
      </c>
      <c r="D118" s="745" t="s">
        <v>94</v>
      </c>
      <c r="E118" s="755"/>
      <c r="F118" s="731"/>
      <c r="G118" s="732"/>
      <c r="H118" s="733"/>
      <c r="I118" s="734"/>
      <c r="J118" s="735"/>
    </row>
    <row r="119" spans="1:10" ht="30" x14ac:dyDescent="0.25">
      <c r="A119" s="742"/>
      <c r="B119" s="757"/>
      <c r="C119" s="747" t="s">
        <v>558</v>
      </c>
      <c r="D119" s="745" t="s">
        <v>559</v>
      </c>
      <c r="E119" s="755"/>
      <c r="F119" s="731"/>
      <c r="G119" s="732"/>
      <c r="H119" s="733"/>
      <c r="I119" s="734"/>
      <c r="J119" s="735"/>
    </row>
    <row r="120" spans="1:10" ht="15" customHeight="1" x14ac:dyDescent="0.25">
      <c r="A120" s="276"/>
      <c r="B120" s="759"/>
      <c r="C120" s="721" t="s">
        <v>560</v>
      </c>
      <c r="D120" s="722" t="s">
        <v>561</v>
      </c>
      <c r="E120" s="538" t="s">
        <v>160</v>
      </c>
      <c r="F120" s="278" t="s">
        <v>141</v>
      </c>
      <c r="G120" s="723">
        <v>1</v>
      </c>
      <c r="H120" s="724"/>
      <c r="I120" s="725">
        <f t="shared" ref="I120:I131" si="16">IF(E120="NA","",H120*G120)</f>
        <v>0</v>
      </c>
      <c r="J120" s="283"/>
    </row>
    <row r="121" spans="1:10" ht="15" customHeight="1" x14ac:dyDescent="0.25">
      <c r="A121" s="276"/>
      <c r="B121" s="759"/>
      <c r="C121" s="721" t="s">
        <v>562</v>
      </c>
      <c r="D121" s="722" t="s">
        <v>563</v>
      </c>
      <c r="E121" s="538" t="s">
        <v>160</v>
      </c>
      <c r="F121" s="278" t="s">
        <v>141</v>
      </c>
      <c r="G121" s="723">
        <v>1</v>
      </c>
      <c r="H121" s="724"/>
      <c r="I121" s="725">
        <f t="shared" si="16"/>
        <v>0</v>
      </c>
      <c r="J121" s="283"/>
    </row>
    <row r="122" spans="1:10" ht="15" customHeight="1" x14ac:dyDescent="0.25">
      <c r="A122" s="276"/>
      <c r="B122" s="759"/>
      <c r="C122" s="721" t="s">
        <v>564</v>
      </c>
      <c r="D122" s="722" t="s">
        <v>565</v>
      </c>
      <c r="E122" s="538" t="s">
        <v>160</v>
      </c>
      <c r="F122" s="278" t="s">
        <v>141</v>
      </c>
      <c r="G122" s="723">
        <v>1</v>
      </c>
      <c r="H122" s="724"/>
      <c r="I122" s="725">
        <f t="shared" si="16"/>
        <v>0</v>
      </c>
      <c r="J122" s="283"/>
    </row>
    <row r="123" spans="1:10" ht="15" customHeight="1" x14ac:dyDescent="0.25">
      <c r="A123" s="276"/>
      <c r="B123" s="759"/>
      <c r="C123" s="721" t="s">
        <v>566</v>
      </c>
      <c r="D123" s="722" t="s">
        <v>567</v>
      </c>
      <c r="E123" s="538" t="s">
        <v>160</v>
      </c>
      <c r="F123" s="278" t="s">
        <v>141</v>
      </c>
      <c r="G123" s="723">
        <v>1</v>
      </c>
      <c r="H123" s="724"/>
      <c r="I123" s="725">
        <f t="shared" si="16"/>
        <v>0</v>
      </c>
      <c r="J123" s="283"/>
    </row>
    <row r="124" spans="1:10" ht="15" customHeight="1" x14ac:dyDescent="0.25">
      <c r="A124" s="276"/>
      <c r="B124" s="759"/>
      <c r="C124" s="721" t="s">
        <v>568</v>
      </c>
      <c r="D124" s="722" t="s">
        <v>569</v>
      </c>
      <c r="E124" s="538" t="s">
        <v>160</v>
      </c>
      <c r="F124" s="278" t="s">
        <v>141</v>
      </c>
      <c r="G124" s="723">
        <v>1</v>
      </c>
      <c r="H124" s="724"/>
      <c r="I124" s="725">
        <f t="shared" si="16"/>
        <v>0</v>
      </c>
      <c r="J124" s="283"/>
    </row>
    <row r="125" spans="1:10" ht="15" customHeight="1" x14ac:dyDescent="0.25">
      <c r="A125" s="276"/>
      <c r="B125" s="759"/>
      <c r="C125" s="721" t="s">
        <v>570</v>
      </c>
      <c r="D125" s="722" t="s">
        <v>571</v>
      </c>
      <c r="E125" s="538" t="s">
        <v>160</v>
      </c>
      <c r="F125" s="278" t="s">
        <v>141</v>
      </c>
      <c r="G125" s="723">
        <v>1</v>
      </c>
      <c r="H125" s="724"/>
      <c r="I125" s="725">
        <f t="shared" si="16"/>
        <v>0</v>
      </c>
      <c r="J125" s="283"/>
    </row>
    <row r="126" spans="1:10" ht="15" customHeight="1" x14ac:dyDescent="0.25">
      <c r="A126" s="276"/>
      <c r="B126" s="759"/>
      <c r="C126" s="721" t="s">
        <v>572</v>
      </c>
      <c r="D126" s="722" t="s">
        <v>573</v>
      </c>
      <c r="E126" s="538" t="s">
        <v>160</v>
      </c>
      <c r="F126" s="278" t="s">
        <v>141</v>
      </c>
      <c r="G126" s="723">
        <v>100</v>
      </c>
      <c r="H126" s="724"/>
      <c r="I126" s="725">
        <f t="shared" si="16"/>
        <v>0</v>
      </c>
      <c r="J126" s="283" t="s">
        <v>574</v>
      </c>
    </row>
    <row r="127" spans="1:10" ht="15" customHeight="1" x14ac:dyDescent="0.25">
      <c r="A127" s="276"/>
      <c r="B127" s="759"/>
      <c r="C127" s="721" t="s">
        <v>575</v>
      </c>
      <c r="D127" s="722" t="s">
        <v>576</v>
      </c>
      <c r="E127" s="538" t="s">
        <v>160</v>
      </c>
      <c r="F127" s="278" t="s">
        <v>141</v>
      </c>
      <c r="G127" s="723">
        <v>100</v>
      </c>
      <c r="H127" s="724"/>
      <c r="I127" s="725">
        <f t="shared" si="16"/>
        <v>0</v>
      </c>
      <c r="J127" s="283"/>
    </row>
    <row r="128" spans="1:10" ht="15" customHeight="1" x14ac:dyDescent="0.25">
      <c r="A128" s="276"/>
      <c r="B128" s="759"/>
      <c r="C128" s="721" t="s">
        <v>577</v>
      </c>
      <c r="D128" s="722" t="s">
        <v>578</v>
      </c>
      <c r="E128" s="538" t="s">
        <v>160</v>
      </c>
      <c r="F128" s="278" t="s">
        <v>141</v>
      </c>
      <c r="G128" s="723">
        <v>100</v>
      </c>
      <c r="H128" s="724"/>
      <c r="I128" s="725">
        <f t="shared" si="16"/>
        <v>0</v>
      </c>
      <c r="J128" s="283" t="s">
        <v>574</v>
      </c>
    </row>
    <row r="129" spans="1:10" ht="15" customHeight="1" x14ac:dyDescent="0.25">
      <c r="A129" s="276"/>
      <c r="B129" s="759"/>
      <c r="C129" s="721" t="s">
        <v>579</v>
      </c>
      <c r="D129" s="722" t="s">
        <v>580</v>
      </c>
      <c r="E129" s="538" t="s">
        <v>160</v>
      </c>
      <c r="F129" s="278" t="s">
        <v>141</v>
      </c>
      <c r="G129" s="723">
        <v>100</v>
      </c>
      <c r="H129" s="724"/>
      <c r="I129" s="725">
        <f t="shared" si="16"/>
        <v>0</v>
      </c>
      <c r="J129" s="283"/>
    </row>
    <row r="130" spans="1:10" ht="15" customHeight="1" x14ac:dyDescent="0.25">
      <c r="A130" s="276"/>
      <c r="B130" s="759"/>
      <c r="C130" s="721" t="s">
        <v>581</v>
      </c>
      <c r="D130" s="722" t="s">
        <v>582</v>
      </c>
      <c r="E130" s="538" t="s">
        <v>160</v>
      </c>
      <c r="F130" s="278" t="s">
        <v>141</v>
      </c>
      <c r="G130" s="723">
        <v>20</v>
      </c>
      <c r="H130" s="724"/>
      <c r="I130" s="725">
        <f t="shared" si="16"/>
        <v>0</v>
      </c>
      <c r="J130" s="283" t="s">
        <v>583</v>
      </c>
    </row>
    <row r="131" spans="1:10" ht="15" customHeight="1" x14ac:dyDescent="0.25">
      <c r="A131" s="276"/>
      <c r="B131" s="759"/>
      <c r="C131" s="721" t="s">
        <v>584</v>
      </c>
      <c r="D131" s="722" t="s">
        <v>585</v>
      </c>
      <c r="E131" s="538" t="s">
        <v>160</v>
      </c>
      <c r="F131" s="278" t="s">
        <v>141</v>
      </c>
      <c r="G131" s="723">
        <v>20</v>
      </c>
      <c r="H131" s="724"/>
      <c r="I131" s="725">
        <f t="shared" si="16"/>
        <v>0</v>
      </c>
      <c r="J131" s="283"/>
    </row>
    <row r="132" spans="1:10" ht="15" customHeight="1" x14ac:dyDescent="0.25">
      <c r="A132" s="748"/>
      <c r="B132" s="760"/>
      <c r="C132" s="747" t="s">
        <v>586</v>
      </c>
      <c r="D132" s="745" t="s">
        <v>587</v>
      </c>
      <c r="E132" s="756"/>
      <c r="F132" s="761"/>
      <c r="G132" s="762"/>
      <c r="H132" s="762"/>
      <c r="I132" s="762"/>
      <c r="J132" s="763"/>
    </row>
    <row r="133" spans="1:10" ht="15" customHeight="1" x14ac:dyDescent="0.25">
      <c r="A133" s="527"/>
      <c r="B133" s="746"/>
      <c r="C133" s="721" t="s">
        <v>588</v>
      </c>
      <c r="D133" s="722" t="s">
        <v>589</v>
      </c>
      <c r="E133" s="538" t="s">
        <v>160</v>
      </c>
      <c r="F133" s="278" t="s">
        <v>141</v>
      </c>
      <c r="G133" s="723">
        <v>20</v>
      </c>
      <c r="H133" s="724"/>
      <c r="I133" s="725">
        <f t="shared" ref="I133:I134" si="17">IF(E133="NA","",H133*G133)</f>
        <v>0</v>
      </c>
      <c r="J133" s="764" t="s">
        <v>590</v>
      </c>
    </row>
    <row r="134" spans="1:10" ht="15" customHeight="1" x14ac:dyDescent="0.25">
      <c r="B134" s="746"/>
      <c r="C134" s="721" t="s">
        <v>591</v>
      </c>
      <c r="D134" s="722" t="s">
        <v>592</v>
      </c>
      <c r="E134" s="538" t="s">
        <v>160</v>
      </c>
      <c r="F134" s="278" t="s">
        <v>141</v>
      </c>
      <c r="G134" s="723">
        <v>20</v>
      </c>
      <c r="H134" s="724"/>
      <c r="I134" s="725">
        <f t="shared" si="17"/>
        <v>0</v>
      </c>
      <c r="J134" s="765"/>
    </row>
    <row r="135" spans="1:10" ht="15" customHeight="1" x14ac:dyDescent="0.25">
      <c r="A135" s="1562" t="s">
        <v>593</v>
      </c>
      <c r="B135" s="1579"/>
      <c r="C135" s="1579"/>
      <c r="D135" s="1580"/>
      <c r="E135" s="1581" t="s">
        <v>154</v>
      </c>
      <c r="F135" s="1582"/>
      <c r="G135" s="1582"/>
      <c r="H135" s="1583"/>
      <c r="I135" s="753">
        <f>SUMIF(E138:E141,"Mandatory",I138:I141)</f>
        <v>0</v>
      </c>
      <c r="J135" s="766"/>
    </row>
    <row r="136" spans="1:10" ht="15" customHeight="1" x14ac:dyDescent="0.25">
      <c r="A136" s="1564"/>
      <c r="B136" s="1564"/>
      <c r="C136" s="1564"/>
      <c r="D136" s="1565"/>
      <c r="E136" s="1569" t="s">
        <v>156</v>
      </c>
      <c r="F136" s="1570"/>
      <c r="G136" s="1570"/>
      <c r="H136" s="1571"/>
      <c r="I136" s="254">
        <f>SUMIF(E138:E141,"Optional",I138:I141)</f>
        <v>0</v>
      </c>
      <c r="J136" s="711"/>
    </row>
    <row r="137" spans="1:10" ht="51" x14ac:dyDescent="0.25">
      <c r="A137" s="742"/>
      <c r="B137" s="743"/>
      <c r="C137" s="754" t="s">
        <v>594</v>
      </c>
      <c r="D137" s="729" t="s">
        <v>595</v>
      </c>
      <c r="E137" s="755"/>
      <c r="F137" s="731"/>
      <c r="G137" s="732"/>
      <c r="H137" s="733"/>
      <c r="I137" s="734"/>
      <c r="J137" s="767" t="s">
        <v>596</v>
      </c>
    </row>
    <row r="138" spans="1:10" ht="15" customHeight="1" x14ac:dyDescent="0.25">
      <c r="A138" s="276"/>
      <c r="B138" s="564"/>
      <c r="C138" s="721" t="s">
        <v>597</v>
      </c>
      <c r="D138" s="722" t="s">
        <v>598</v>
      </c>
      <c r="E138" s="277" t="s">
        <v>160</v>
      </c>
      <c r="F138" s="278" t="s">
        <v>141</v>
      </c>
      <c r="G138" s="723">
        <v>1</v>
      </c>
      <c r="H138" s="724"/>
      <c r="I138" s="725">
        <f t="shared" ref="I138:I141" si="18">IF(E138="NA","",H138*G138)</f>
        <v>0</v>
      </c>
      <c r="J138" s="283"/>
    </row>
    <row r="139" spans="1:10" ht="15" customHeight="1" x14ac:dyDescent="0.25">
      <c r="A139" s="276"/>
      <c r="B139" s="564"/>
      <c r="C139" s="721" t="s">
        <v>599</v>
      </c>
      <c r="D139" s="722" t="s">
        <v>600</v>
      </c>
      <c r="E139" s="277" t="s">
        <v>160</v>
      </c>
      <c r="F139" s="278" t="s">
        <v>141</v>
      </c>
      <c r="G139" s="723">
        <v>1</v>
      </c>
      <c r="H139" s="724"/>
      <c r="I139" s="725">
        <f t="shared" si="18"/>
        <v>0</v>
      </c>
      <c r="J139" s="283"/>
    </row>
    <row r="140" spans="1:10" ht="15" customHeight="1" x14ac:dyDescent="0.25">
      <c r="A140" s="276"/>
      <c r="B140" s="564"/>
      <c r="C140" s="721" t="s">
        <v>601</v>
      </c>
      <c r="D140" s="722" t="s">
        <v>602</v>
      </c>
      <c r="E140" s="277" t="s">
        <v>160</v>
      </c>
      <c r="F140" s="278" t="s">
        <v>141</v>
      </c>
      <c r="G140" s="723">
        <v>1</v>
      </c>
      <c r="H140" s="724"/>
      <c r="I140" s="725">
        <f t="shared" si="18"/>
        <v>0</v>
      </c>
      <c r="J140" s="283"/>
    </row>
    <row r="141" spans="1:10" ht="15" customHeight="1" x14ac:dyDescent="0.25">
      <c r="A141" s="276"/>
      <c r="B141" s="564"/>
      <c r="C141" s="721" t="s">
        <v>603</v>
      </c>
      <c r="D141" s="722" t="s">
        <v>604</v>
      </c>
      <c r="E141" s="277" t="s">
        <v>160</v>
      </c>
      <c r="F141" s="278" t="s">
        <v>141</v>
      </c>
      <c r="G141" s="723">
        <v>1</v>
      </c>
      <c r="H141" s="724"/>
      <c r="I141" s="725">
        <f t="shared" si="18"/>
        <v>0</v>
      </c>
      <c r="J141" s="283"/>
    </row>
    <row r="142" spans="1:10" ht="15" customHeight="1" x14ac:dyDescent="0.25">
      <c r="A142" s="1562" t="s">
        <v>605</v>
      </c>
      <c r="B142" s="1562"/>
      <c r="C142" s="1562"/>
      <c r="D142" s="1563"/>
      <c r="E142" s="1566" t="s">
        <v>154</v>
      </c>
      <c r="F142" s="1567"/>
      <c r="G142" s="1567"/>
      <c r="H142" s="1568"/>
      <c r="I142" s="254">
        <f>SUMIF(E145:E171,"Mandatory",I145:I171)</f>
        <v>0</v>
      </c>
      <c r="J142" s="711"/>
    </row>
    <row r="143" spans="1:10" ht="15" customHeight="1" x14ac:dyDescent="0.25">
      <c r="A143" s="1564"/>
      <c r="B143" s="1564"/>
      <c r="C143" s="1564"/>
      <c r="D143" s="1565"/>
      <c r="E143" s="1569" t="s">
        <v>156</v>
      </c>
      <c r="F143" s="1570"/>
      <c r="G143" s="1570"/>
      <c r="H143" s="1571"/>
      <c r="I143" s="254">
        <f>SUMIF(E145:E171,"Optional",I144:I171)</f>
        <v>0</v>
      </c>
      <c r="J143" s="711"/>
    </row>
    <row r="144" spans="1:10" ht="15" customHeight="1" x14ac:dyDescent="0.25">
      <c r="A144" s="742"/>
      <c r="B144" s="743"/>
      <c r="C144" s="758" t="s">
        <v>606</v>
      </c>
      <c r="D144" s="745" t="s">
        <v>607</v>
      </c>
      <c r="E144" s="755"/>
      <c r="F144" s="731"/>
      <c r="G144" s="732"/>
      <c r="H144" s="733"/>
      <c r="I144" s="734"/>
      <c r="J144" s="735"/>
    </row>
    <row r="145" spans="1:10" ht="15" customHeight="1" x14ac:dyDescent="0.25">
      <c r="A145" s="742"/>
      <c r="B145" s="743"/>
      <c r="C145" s="747" t="s">
        <v>608</v>
      </c>
      <c r="D145" s="745" t="s">
        <v>609</v>
      </c>
      <c r="E145" s="755"/>
      <c r="F145" s="731"/>
      <c r="G145" s="732"/>
      <c r="H145" s="733"/>
      <c r="I145" s="734"/>
      <c r="J145" s="768" t="s">
        <v>610</v>
      </c>
    </row>
    <row r="146" spans="1:10" ht="15" customHeight="1" x14ac:dyDescent="0.25">
      <c r="A146" s="276"/>
      <c r="B146" s="564"/>
      <c r="C146" s="721" t="s">
        <v>611</v>
      </c>
      <c r="D146" s="722" t="s">
        <v>612</v>
      </c>
      <c r="E146" s="277" t="s">
        <v>160</v>
      </c>
      <c r="F146" s="278" t="s">
        <v>141</v>
      </c>
      <c r="G146" s="723">
        <v>0</v>
      </c>
      <c r="H146" s="724"/>
      <c r="I146" s="725">
        <f t="shared" ref="I146:I147" si="19">IF(E146="NA","",H146*G146)</f>
        <v>0</v>
      </c>
      <c r="J146" s="283"/>
    </row>
    <row r="147" spans="1:10" ht="15" customHeight="1" x14ac:dyDescent="0.25">
      <c r="A147" s="276"/>
      <c r="B147" s="564"/>
      <c r="C147" s="721" t="s">
        <v>613</v>
      </c>
      <c r="D147" s="722" t="s">
        <v>614</v>
      </c>
      <c r="E147" s="277" t="s">
        <v>160</v>
      </c>
      <c r="F147" s="278" t="s">
        <v>141</v>
      </c>
      <c r="G147" s="723">
        <v>0</v>
      </c>
      <c r="H147" s="724"/>
      <c r="I147" s="725">
        <f t="shared" si="19"/>
        <v>0</v>
      </c>
      <c r="J147" s="283"/>
    </row>
    <row r="148" spans="1:10" ht="29.25" customHeight="1" x14ac:dyDescent="0.25">
      <c r="A148" s="742"/>
      <c r="B148" s="743"/>
      <c r="C148" s="728" t="s">
        <v>615</v>
      </c>
      <c r="D148" s="729" t="s">
        <v>616</v>
      </c>
      <c r="E148" s="750"/>
      <c r="F148" s="731"/>
      <c r="G148" s="732"/>
      <c r="H148" s="733"/>
      <c r="I148" s="769"/>
      <c r="J148" s="770" t="s">
        <v>617</v>
      </c>
    </row>
    <row r="149" spans="1:10" ht="26.25" customHeight="1" x14ac:dyDescent="0.25">
      <c r="A149" s="276"/>
      <c r="B149" s="564"/>
      <c r="C149" s="721" t="s">
        <v>618</v>
      </c>
      <c r="D149" s="722" t="s">
        <v>619</v>
      </c>
      <c r="E149" s="277" t="s">
        <v>160</v>
      </c>
      <c r="F149" s="278" t="s">
        <v>141</v>
      </c>
      <c r="G149" s="723">
        <v>0</v>
      </c>
      <c r="H149" s="724"/>
      <c r="I149" s="725">
        <f t="shared" ref="I149:I150" si="20">IF(E149="NA","",H149*G149)</f>
        <v>0</v>
      </c>
      <c r="J149" s="283"/>
    </row>
    <row r="150" spans="1:10" ht="26.25" customHeight="1" x14ac:dyDescent="0.25">
      <c r="A150" s="276"/>
      <c r="B150" s="564"/>
      <c r="C150" s="721" t="s">
        <v>620</v>
      </c>
      <c r="D150" s="722" t="s">
        <v>621</v>
      </c>
      <c r="E150" s="277" t="s">
        <v>160</v>
      </c>
      <c r="F150" s="278" t="s">
        <v>141</v>
      </c>
      <c r="G150" s="723">
        <v>0</v>
      </c>
      <c r="H150" s="724"/>
      <c r="I150" s="725">
        <f t="shared" si="20"/>
        <v>0</v>
      </c>
      <c r="J150" s="283"/>
    </row>
    <row r="151" spans="1:10" ht="15" customHeight="1" x14ac:dyDescent="0.25">
      <c r="A151" s="1562" t="s">
        <v>622</v>
      </c>
      <c r="B151" s="1562"/>
      <c r="C151" s="1562"/>
      <c r="D151" s="1563"/>
      <c r="E151" s="1572" t="s">
        <v>154</v>
      </c>
      <c r="F151" s="1573"/>
      <c r="G151" s="1573"/>
      <c r="H151" s="1574"/>
      <c r="I151" s="254">
        <f>SUMIF(E154:E161,"Mandatory",I154:I161)</f>
        <v>0</v>
      </c>
      <c r="J151" s="711"/>
    </row>
    <row r="152" spans="1:10" ht="15" customHeight="1" x14ac:dyDescent="0.25">
      <c r="A152" s="1564"/>
      <c r="B152" s="1564"/>
      <c r="C152" s="1564"/>
      <c r="D152" s="1565"/>
      <c r="E152" s="1575" t="s">
        <v>156</v>
      </c>
      <c r="F152" s="1576"/>
      <c r="G152" s="1576"/>
      <c r="H152" s="1577"/>
      <c r="I152" s="254">
        <f ca="1">SUMIF(E154:E161,"Optional",I157:I161)</f>
        <v>0</v>
      </c>
      <c r="J152" s="711"/>
    </row>
    <row r="153" spans="1:10" customFormat="1" ht="15" customHeight="1" x14ac:dyDescent="0.25">
      <c r="A153" s="742"/>
      <c r="B153" s="743"/>
      <c r="C153" s="747" t="s">
        <v>623</v>
      </c>
      <c r="D153" s="745" t="s">
        <v>622</v>
      </c>
      <c r="E153" s="771"/>
      <c r="F153" s="731"/>
      <c r="G153" s="732"/>
      <c r="H153" s="733"/>
      <c r="I153" s="734"/>
      <c r="J153" s="735"/>
    </row>
    <row r="154" spans="1:10" customFormat="1" ht="15" customHeight="1" x14ac:dyDescent="0.25">
      <c r="A154" s="742"/>
      <c r="B154" s="743"/>
      <c r="C154" s="747" t="s">
        <v>624</v>
      </c>
      <c r="D154" s="745" t="s">
        <v>625</v>
      </c>
      <c r="E154" s="771"/>
      <c r="F154" s="731"/>
      <c r="G154" s="732"/>
      <c r="H154" s="733"/>
      <c r="I154" s="734"/>
      <c r="J154" s="735"/>
    </row>
    <row r="155" spans="1:10" customFormat="1" ht="15" customHeight="1" x14ac:dyDescent="0.25">
      <c r="A155" s="278"/>
      <c r="B155" s="564"/>
      <c r="C155" s="772" t="s">
        <v>626</v>
      </c>
      <c r="D155" s="773" t="s">
        <v>627</v>
      </c>
      <c r="E155" s="645" t="s">
        <v>160</v>
      </c>
      <c r="F155" s="644" t="s">
        <v>141</v>
      </c>
      <c r="G155" s="643">
        <v>0</v>
      </c>
      <c r="H155" s="642"/>
      <c r="I155" s="774">
        <f>IF(E155="NA","",H155*G155)</f>
        <v>0</v>
      </c>
      <c r="J155" s="1578" t="s">
        <v>628</v>
      </c>
    </row>
    <row r="156" spans="1:10" customFormat="1" ht="25.5" customHeight="1" x14ac:dyDescent="0.25">
      <c r="A156" s="278"/>
      <c r="B156" s="564"/>
      <c r="C156" s="772" t="s">
        <v>629</v>
      </c>
      <c r="D156" s="773" t="s">
        <v>630</v>
      </c>
      <c r="E156" s="645" t="s">
        <v>160</v>
      </c>
      <c r="F156" s="644" t="s">
        <v>141</v>
      </c>
      <c r="G156" s="643">
        <v>0</v>
      </c>
      <c r="H156" s="642"/>
      <c r="I156" s="774">
        <f>IF(E156="NA","",H156*G156)</f>
        <v>0</v>
      </c>
      <c r="J156" s="1578"/>
    </row>
    <row r="157" spans="1:10" customFormat="1" ht="15" customHeight="1" x14ac:dyDescent="0.25">
      <c r="A157" s="278"/>
      <c r="B157" s="564"/>
      <c r="C157" s="721" t="s">
        <v>631</v>
      </c>
      <c r="D157" s="736" t="s">
        <v>632</v>
      </c>
      <c r="E157" s="277" t="s">
        <v>160</v>
      </c>
      <c r="F157" s="278" t="s">
        <v>141</v>
      </c>
      <c r="G157" s="723">
        <v>0</v>
      </c>
      <c r="H157" s="724"/>
      <c r="I157" s="725">
        <f t="shared" ref="I157:I160" si="21">IF(E157="NA","",H157*G157)</f>
        <v>0</v>
      </c>
      <c r="J157" s="283" t="s">
        <v>633</v>
      </c>
    </row>
    <row r="158" spans="1:10" customFormat="1" ht="15" customHeight="1" x14ac:dyDescent="0.25">
      <c r="A158" s="278"/>
      <c r="B158" s="564"/>
      <c r="C158" s="721" t="s">
        <v>634</v>
      </c>
      <c r="D158" s="736" t="s">
        <v>635</v>
      </c>
      <c r="E158" s="277" t="s">
        <v>160</v>
      </c>
      <c r="F158" s="278" t="s">
        <v>141</v>
      </c>
      <c r="G158" s="723">
        <v>0</v>
      </c>
      <c r="H158" s="724"/>
      <c r="I158" s="725">
        <f t="shared" si="21"/>
        <v>0</v>
      </c>
      <c r="J158" s="283" t="s">
        <v>633</v>
      </c>
    </row>
    <row r="159" spans="1:10" customFormat="1" x14ac:dyDescent="0.25">
      <c r="A159" s="278"/>
      <c r="B159" s="564"/>
      <c r="C159" s="721" t="s">
        <v>636</v>
      </c>
      <c r="D159" s="775" t="s">
        <v>637</v>
      </c>
      <c r="E159" s="277" t="s">
        <v>160</v>
      </c>
      <c r="F159" s="278" t="s">
        <v>141</v>
      </c>
      <c r="G159" s="723">
        <v>0</v>
      </c>
      <c r="H159" s="724"/>
      <c r="I159" s="725">
        <f t="shared" si="21"/>
        <v>0</v>
      </c>
      <c r="J159" s="283"/>
    </row>
    <row r="160" spans="1:10" customFormat="1" x14ac:dyDescent="0.25">
      <c r="A160" s="278"/>
      <c r="B160" s="564"/>
      <c r="C160" s="721" t="s">
        <v>638</v>
      </c>
      <c r="D160" s="775" t="s">
        <v>639</v>
      </c>
      <c r="E160" s="277" t="s">
        <v>160</v>
      </c>
      <c r="F160" s="278" t="s">
        <v>141</v>
      </c>
      <c r="G160" s="723">
        <v>0</v>
      </c>
      <c r="H160" s="724"/>
      <c r="I160" s="725">
        <f t="shared" si="21"/>
        <v>0</v>
      </c>
      <c r="J160" s="283"/>
    </row>
    <row r="161" spans="1:10" customFormat="1" ht="15" customHeight="1" x14ac:dyDescent="0.25">
      <c r="A161" s="278"/>
      <c r="B161" s="564"/>
      <c r="C161" s="772" t="s">
        <v>640</v>
      </c>
      <c r="D161" s="773" t="s">
        <v>641</v>
      </c>
      <c r="E161" s="645" t="s">
        <v>160</v>
      </c>
      <c r="F161" s="644" t="s">
        <v>141</v>
      </c>
      <c r="G161" s="643">
        <v>0</v>
      </c>
      <c r="H161" s="642"/>
      <c r="I161" s="774">
        <f>IF(E161="NA","",H161*G161)</f>
        <v>0</v>
      </c>
      <c r="J161" s="1578" t="s">
        <v>628</v>
      </c>
    </row>
    <row r="162" spans="1:10" customFormat="1" ht="15" customHeight="1" x14ac:dyDescent="0.25">
      <c r="A162" s="278"/>
      <c r="B162" s="564"/>
      <c r="C162" s="772" t="s">
        <v>642</v>
      </c>
      <c r="D162" s="773" t="s">
        <v>643</v>
      </c>
      <c r="E162" s="645" t="s">
        <v>160</v>
      </c>
      <c r="F162" s="644" t="s">
        <v>141</v>
      </c>
      <c r="G162" s="643">
        <v>0</v>
      </c>
      <c r="H162" s="642"/>
      <c r="I162" s="774">
        <f>IF(E162="NA","",H162*G162)</f>
        <v>0</v>
      </c>
      <c r="J162" s="1578"/>
    </row>
    <row r="163" spans="1:10" customFormat="1" ht="30" x14ac:dyDescent="0.25">
      <c r="A163" s="278"/>
      <c r="B163" s="564"/>
      <c r="C163" s="721" t="s">
        <v>644</v>
      </c>
      <c r="D163" s="736" t="s">
        <v>645</v>
      </c>
      <c r="E163" s="277" t="s">
        <v>160</v>
      </c>
      <c r="F163" s="278" t="s">
        <v>141</v>
      </c>
      <c r="G163" s="723">
        <v>0</v>
      </c>
      <c r="H163" s="724"/>
      <c r="I163" s="725">
        <f t="shared" ref="I163:I167" si="22">IF(E163="NA","",H163*G163)</f>
        <v>0</v>
      </c>
      <c r="J163" s="283"/>
    </row>
    <row r="164" spans="1:10" customFormat="1" ht="30" x14ac:dyDescent="0.25">
      <c r="A164" s="278"/>
      <c r="B164" s="564"/>
      <c r="C164" s="721" t="s">
        <v>646</v>
      </c>
      <c r="D164" s="736" t="s">
        <v>647</v>
      </c>
      <c r="E164" s="277" t="s">
        <v>160</v>
      </c>
      <c r="F164" s="278" t="s">
        <v>141</v>
      </c>
      <c r="G164" s="723">
        <v>0</v>
      </c>
      <c r="H164" s="724"/>
      <c r="I164" s="725">
        <f t="shared" si="22"/>
        <v>0</v>
      </c>
      <c r="J164" s="283"/>
    </row>
    <row r="165" spans="1:10" customFormat="1" ht="25.5" x14ac:dyDescent="0.25">
      <c r="A165" s="278"/>
      <c r="B165" s="564"/>
      <c r="C165" s="772" t="s">
        <v>648</v>
      </c>
      <c r="D165" s="773" t="s">
        <v>649</v>
      </c>
      <c r="E165" s="645" t="s">
        <v>160</v>
      </c>
      <c r="F165" s="645" t="s">
        <v>650</v>
      </c>
      <c r="G165" s="643">
        <v>0</v>
      </c>
      <c r="H165" s="642"/>
      <c r="I165" s="774">
        <f t="shared" si="22"/>
        <v>0</v>
      </c>
      <c r="J165" s="639" t="s">
        <v>651</v>
      </c>
    </row>
    <row r="166" spans="1:10" ht="30" x14ac:dyDescent="0.25">
      <c r="A166" s="278"/>
      <c r="B166" s="564"/>
      <c r="C166" s="721" t="s">
        <v>652</v>
      </c>
      <c r="D166" s="736" t="s">
        <v>653</v>
      </c>
      <c r="E166" s="277" t="s">
        <v>191</v>
      </c>
      <c r="F166" s="278" t="s">
        <v>141</v>
      </c>
      <c r="G166" s="723">
        <v>0</v>
      </c>
      <c r="H166" s="724"/>
      <c r="I166" s="725" t="str">
        <f t="shared" si="22"/>
        <v/>
      </c>
      <c r="J166" s="776"/>
    </row>
    <row r="167" spans="1:10" ht="30" x14ac:dyDescent="0.25">
      <c r="A167" s="278"/>
      <c r="B167" s="564"/>
      <c r="C167" s="721" t="s">
        <v>654</v>
      </c>
      <c r="D167" s="736" t="s">
        <v>655</v>
      </c>
      <c r="E167" s="277" t="s">
        <v>191</v>
      </c>
      <c r="F167" s="278" t="s">
        <v>141</v>
      </c>
      <c r="G167" s="723">
        <v>0</v>
      </c>
      <c r="H167" s="724"/>
      <c r="I167" s="725" t="str">
        <f t="shared" si="22"/>
        <v/>
      </c>
      <c r="J167" s="776"/>
    </row>
    <row r="168" spans="1:10" ht="15" customHeight="1" x14ac:dyDescent="0.25">
      <c r="A168" s="742"/>
      <c r="B168" s="743"/>
      <c r="C168" s="744" t="s">
        <v>656</v>
      </c>
      <c r="D168" s="777" t="s">
        <v>657</v>
      </c>
      <c r="E168" s="730"/>
      <c r="F168" s="731"/>
      <c r="G168" s="732"/>
      <c r="H168" s="733"/>
      <c r="I168" s="734"/>
      <c r="J168" s="735"/>
    </row>
    <row r="169" spans="1:10" ht="150" x14ac:dyDescent="0.25">
      <c r="A169" s="276"/>
      <c r="B169" s="759"/>
      <c r="C169" s="721" t="s">
        <v>658</v>
      </c>
      <c r="D169" s="778" t="s">
        <v>659</v>
      </c>
      <c r="E169" s="277" t="s">
        <v>160</v>
      </c>
      <c r="F169" s="278" t="s">
        <v>141</v>
      </c>
      <c r="G169" s="723">
        <v>0</v>
      </c>
      <c r="H169" s="724"/>
      <c r="I169" s="725">
        <f t="shared" ref="I169:I177" si="23">IF(E169="NA","",H169*G169)</f>
        <v>0</v>
      </c>
      <c r="J169" s="722"/>
    </row>
    <row r="170" spans="1:10" ht="90" x14ac:dyDescent="0.25">
      <c r="A170" s="276"/>
      <c r="B170" s="759"/>
      <c r="C170" s="721" t="s">
        <v>660</v>
      </c>
      <c r="D170" s="779" t="s">
        <v>661</v>
      </c>
      <c r="E170" s="277" t="s">
        <v>160</v>
      </c>
      <c r="F170" s="278" t="s">
        <v>141</v>
      </c>
      <c r="G170" s="723">
        <v>0</v>
      </c>
      <c r="H170" s="724"/>
      <c r="I170" s="725">
        <f t="shared" si="23"/>
        <v>0</v>
      </c>
      <c r="J170" s="283"/>
    </row>
    <row r="171" spans="1:10" ht="315" x14ac:dyDescent="0.25">
      <c r="A171" s="276"/>
      <c r="B171" s="759"/>
      <c r="C171" s="721" t="s">
        <v>662</v>
      </c>
      <c r="D171" s="778" t="s">
        <v>663</v>
      </c>
      <c r="E171" s="277" t="s">
        <v>160</v>
      </c>
      <c r="F171" s="278" t="s">
        <v>141</v>
      </c>
      <c r="G171" s="723">
        <v>0</v>
      </c>
      <c r="H171" s="724"/>
      <c r="I171" s="725">
        <f t="shared" si="23"/>
        <v>0</v>
      </c>
      <c r="J171" s="722"/>
    </row>
    <row r="172" spans="1:10" ht="30" x14ac:dyDescent="0.25">
      <c r="A172" s="740"/>
      <c r="B172" s="780"/>
      <c r="C172" s="721" t="s">
        <v>664</v>
      </c>
      <c r="D172" s="778" t="s">
        <v>665</v>
      </c>
      <c r="E172" s="277" t="s">
        <v>160</v>
      </c>
      <c r="F172" s="278" t="s">
        <v>141</v>
      </c>
      <c r="G172" s="723">
        <v>0</v>
      </c>
      <c r="H172" s="724"/>
      <c r="I172" s="725">
        <f t="shared" si="23"/>
        <v>0</v>
      </c>
      <c r="J172" s="722"/>
    </row>
    <row r="173" spans="1:10" x14ac:dyDescent="0.25">
      <c r="A173" s="740"/>
      <c r="B173" s="780"/>
      <c r="C173" s="721" t="s">
        <v>666</v>
      </c>
      <c r="D173" s="778" t="s">
        <v>667</v>
      </c>
      <c r="E173" s="277" t="s">
        <v>160</v>
      </c>
      <c r="F173" s="278" t="s">
        <v>141</v>
      </c>
      <c r="G173" s="723">
        <v>0</v>
      </c>
      <c r="H173" s="724"/>
      <c r="I173" s="725">
        <f t="shared" si="23"/>
        <v>0</v>
      </c>
      <c r="J173" s="722"/>
    </row>
    <row r="174" spans="1:10" ht="105" x14ac:dyDescent="0.25">
      <c r="A174" s="740"/>
      <c r="B174" s="780"/>
      <c r="C174" s="721" t="s">
        <v>668</v>
      </c>
      <c r="D174" s="778" t="s">
        <v>669</v>
      </c>
      <c r="E174" s="277" t="s">
        <v>160</v>
      </c>
      <c r="F174" s="278" t="s">
        <v>141</v>
      </c>
      <c r="G174" s="723">
        <v>1</v>
      </c>
      <c r="H174" s="724"/>
      <c r="I174" s="725">
        <f t="shared" si="23"/>
        <v>0</v>
      </c>
      <c r="J174" s="722"/>
    </row>
    <row r="175" spans="1:10" ht="75" x14ac:dyDescent="0.25">
      <c r="A175" s="740"/>
      <c r="B175" s="780"/>
      <c r="C175" s="721" t="s">
        <v>670</v>
      </c>
      <c r="D175" s="779" t="s">
        <v>671</v>
      </c>
      <c r="E175" s="277" t="s">
        <v>160</v>
      </c>
      <c r="F175" s="278" t="s">
        <v>141</v>
      </c>
      <c r="G175" s="723">
        <v>0</v>
      </c>
      <c r="H175" s="724"/>
      <c r="I175" s="725">
        <f t="shared" si="23"/>
        <v>0</v>
      </c>
      <c r="J175" s="559"/>
    </row>
    <row r="176" spans="1:10" ht="135" x14ac:dyDescent="0.25">
      <c r="A176" s="740"/>
      <c r="B176" s="780"/>
      <c r="C176" s="721" t="s">
        <v>672</v>
      </c>
      <c r="D176" s="778" t="s">
        <v>673</v>
      </c>
      <c r="E176" s="277" t="s">
        <v>160</v>
      </c>
      <c r="F176" s="278" t="s">
        <v>141</v>
      </c>
      <c r="G176" s="723">
        <v>0</v>
      </c>
      <c r="H176" s="724"/>
      <c r="I176" s="725">
        <f t="shared" si="23"/>
        <v>0</v>
      </c>
      <c r="J176" s="559"/>
    </row>
    <row r="177" spans="1:10" ht="60" x14ac:dyDescent="0.25">
      <c r="A177" s="740"/>
      <c r="B177" s="780"/>
      <c r="C177" s="721" t="s">
        <v>674</v>
      </c>
      <c r="D177" s="779" t="s">
        <v>675</v>
      </c>
      <c r="E177" s="277" t="s">
        <v>160</v>
      </c>
      <c r="F177" s="278" t="s">
        <v>141</v>
      </c>
      <c r="G177" s="723">
        <v>0</v>
      </c>
      <c r="H177" s="724"/>
      <c r="I177" s="725">
        <f t="shared" si="23"/>
        <v>0</v>
      </c>
      <c r="J177" s="559"/>
    </row>
    <row r="178" spans="1:10" ht="30" x14ac:dyDescent="0.25">
      <c r="A178" s="731"/>
      <c r="B178" s="743"/>
      <c r="C178" s="781"/>
      <c r="D178" s="782" t="s">
        <v>676</v>
      </c>
      <c r="E178" s="730"/>
      <c r="F178" s="731"/>
      <c r="G178" s="732"/>
      <c r="H178" s="733"/>
      <c r="I178" s="734"/>
      <c r="J178" s="735"/>
    </row>
    <row r="179" spans="1:10" x14ac:dyDescent="0.25">
      <c r="A179" s="740"/>
      <c r="B179" s="780"/>
      <c r="C179" s="721" t="s">
        <v>677</v>
      </c>
      <c r="D179" s="773" t="s">
        <v>678</v>
      </c>
      <c r="E179" s="277" t="s">
        <v>160</v>
      </c>
      <c r="F179" s="278" t="s">
        <v>345</v>
      </c>
      <c r="G179" s="723">
        <v>0</v>
      </c>
      <c r="H179" s="724"/>
      <c r="I179" s="725">
        <f t="shared" ref="I179:I188" si="24">IF(E179="NA","",H179*G179)</f>
        <v>0</v>
      </c>
      <c r="J179" s="789" t="s">
        <v>679</v>
      </c>
    </row>
    <row r="180" spans="1:10" x14ac:dyDescent="0.25">
      <c r="A180" s="740"/>
      <c r="B180" s="780"/>
      <c r="C180" s="721" t="s">
        <v>680</v>
      </c>
      <c r="D180" s="787" t="s">
        <v>681</v>
      </c>
      <c r="E180" s="277" t="s">
        <v>160</v>
      </c>
      <c r="F180" s="278" t="s">
        <v>345</v>
      </c>
      <c r="G180" s="723">
        <v>0</v>
      </c>
      <c r="H180" s="724"/>
      <c r="I180" s="725">
        <f t="shared" si="24"/>
        <v>0</v>
      </c>
      <c r="J180" s="283"/>
    </row>
    <row r="181" spans="1:10" x14ac:dyDescent="0.25">
      <c r="A181" s="740"/>
      <c r="B181" s="780"/>
      <c r="C181" s="721" t="s">
        <v>382</v>
      </c>
      <c r="D181" s="788" t="s">
        <v>383</v>
      </c>
      <c r="E181" s="277" t="s">
        <v>160</v>
      </c>
      <c r="F181" s="278" t="s">
        <v>141</v>
      </c>
      <c r="G181" s="723">
        <v>0</v>
      </c>
      <c r="H181" s="724"/>
      <c r="I181" s="725">
        <f t="shared" si="24"/>
        <v>0</v>
      </c>
      <c r="J181" s="283"/>
    </row>
    <row r="182" spans="1:10" x14ac:dyDescent="0.25">
      <c r="A182" s="740"/>
      <c r="B182" s="780"/>
      <c r="C182" s="721" t="s">
        <v>386</v>
      </c>
      <c r="D182" s="787" t="s">
        <v>387</v>
      </c>
      <c r="E182" s="277" t="s">
        <v>160</v>
      </c>
      <c r="F182" s="278" t="s">
        <v>141</v>
      </c>
      <c r="G182" s="723">
        <v>0</v>
      </c>
      <c r="H182" s="724"/>
      <c r="I182" s="725">
        <f t="shared" si="24"/>
        <v>0</v>
      </c>
      <c r="J182" s="283"/>
    </row>
    <row r="183" spans="1:10" x14ac:dyDescent="0.25">
      <c r="A183" s="740"/>
      <c r="B183" s="780"/>
      <c r="C183" s="721" t="s">
        <v>682</v>
      </c>
      <c r="D183" s="788" t="s">
        <v>683</v>
      </c>
      <c r="E183" s="277" t="s">
        <v>160</v>
      </c>
      <c r="F183" s="278" t="s">
        <v>141</v>
      </c>
      <c r="G183" s="723">
        <v>0</v>
      </c>
      <c r="H183" s="724"/>
      <c r="I183" s="725">
        <f t="shared" si="24"/>
        <v>0</v>
      </c>
      <c r="J183" s="283"/>
    </row>
    <row r="184" spans="1:10" x14ac:dyDescent="0.25">
      <c r="A184" s="740"/>
      <c r="B184" s="780"/>
      <c r="C184" s="721" t="s">
        <v>408</v>
      </c>
      <c r="D184" s="787" t="s">
        <v>409</v>
      </c>
      <c r="E184" s="277" t="s">
        <v>160</v>
      </c>
      <c r="F184" s="278" t="s">
        <v>141</v>
      </c>
      <c r="G184" s="723">
        <v>0</v>
      </c>
      <c r="H184" s="724"/>
      <c r="I184" s="725">
        <f t="shared" si="24"/>
        <v>0</v>
      </c>
      <c r="J184" s="283"/>
    </row>
    <row r="185" spans="1:10" x14ac:dyDescent="0.25">
      <c r="A185" s="740"/>
      <c r="B185" s="780"/>
      <c r="C185" s="721" t="s">
        <v>480</v>
      </c>
      <c r="D185" s="773" t="s">
        <v>481</v>
      </c>
      <c r="E185" s="277" t="s">
        <v>160</v>
      </c>
      <c r="F185" s="278" t="s">
        <v>345</v>
      </c>
      <c r="G185" s="723">
        <v>0</v>
      </c>
      <c r="H185" s="724"/>
      <c r="I185" s="725">
        <f t="shared" si="24"/>
        <v>0</v>
      </c>
      <c r="J185" s="283"/>
    </row>
    <row r="186" spans="1:10" x14ac:dyDescent="0.25">
      <c r="A186" s="740"/>
      <c r="B186" s="780"/>
      <c r="C186" s="721" t="s">
        <v>494</v>
      </c>
      <c r="D186" s="773" t="s">
        <v>495</v>
      </c>
      <c r="E186" s="277" t="s">
        <v>160</v>
      </c>
      <c r="F186" s="278" t="s">
        <v>141</v>
      </c>
      <c r="G186" s="723">
        <v>0</v>
      </c>
      <c r="H186" s="724"/>
      <c r="I186" s="725">
        <f t="shared" si="24"/>
        <v>0</v>
      </c>
      <c r="J186" s="283"/>
    </row>
    <row r="187" spans="1:10" x14ac:dyDescent="0.25">
      <c r="A187" s="740"/>
      <c r="B187" s="780"/>
      <c r="C187" s="741" t="s">
        <v>484</v>
      </c>
      <c r="D187" s="773" t="s">
        <v>485</v>
      </c>
      <c r="E187" s="277" t="s">
        <v>160</v>
      </c>
      <c r="F187" s="278" t="s">
        <v>345</v>
      </c>
      <c r="G187" s="723">
        <v>0</v>
      </c>
      <c r="H187" s="724"/>
      <c r="I187" s="725">
        <f t="shared" si="24"/>
        <v>0</v>
      </c>
      <c r="J187" s="283"/>
    </row>
    <row r="188" spans="1:10" x14ac:dyDescent="0.25">
      <c r="A188" s="740"/>
      <c r="B188" s="780"/>
      <c r="C188" s="721" t="s">
        <v>498</v>
      </c>
      <c r="D188" s="773" t="s">
        <v>499</v>
      </c>
      <c r="E188" s="277" t="s">
        <v>160</v>
      </c>
      <c r="F188" s="278" t="s">
        <v>141</v>
      </c>
      <c r="G188" s="723">
        <v>0</v>
      </c>
      <c r="H188" s="724"/>
      <c r="I188" s="725">
        <f t="shared" si="24"/>
        <v>0</v>
      </c>
      <c r="J188" s="283"/>
    </row>
    <row r="189" spans="1:10" ht="33.75" customHeight="1" x14ac:dyDescent="0.25">
      <c r="A189" s="1562" t="s">
        <v>684</v>
      </c>
      <c r="B189" s="1562"/>
      <c r="C189" s="1562"/>
      <c r="D189" s="1563"/>
      <c r="E189" s="1566" t="s">
        <v>154</v>
      </c>
      <c r="F189" s="1567"/>
      <c r="G189" s="1567"/>
      <c r="H189" s="1568"/>
      <c r="I189" s="254">
        <f>SUMIF(E192:E193,"Mandatory",I192:I193)</f>
        <v>0</v>
      </c>
      <c r="J189" s="711"/>
    </row>
    <row r="190" spans="1:10" ht="33.75" customHeight="1" x14ac:dyDescent="0.25">
      <c r="A190" s="1564"/>
      <c r="B190" s="1564"/>
      <c r="C190" s="1564"/>
      <c r="D190" s="1565"/>
      <c r="E190" s="1569" t="s">
        <v>156</v>
      </c>
      <c r="F190" s="1570"/>
      <c r="G190" s="1570"/>
      <c r="H190" s="1571"/>
      <c r="I190" s="254">
        <f>SUMIF(E192:E193,"Optional",I192:I193)</f>
        <v>0</v>
      </c>
      <c r="J190" s="711"/>
    </row>
    <row r="191" spans="1:10" ht="15" customHeight="1" x14ac:dyDescent="0.25">
      <c r="A191" s="761"/>
      <c r="B191" s="760"/>
      <c r="C191" s="783" t="s">
        <v>685</v>
      </c>
      <c r="D191" s="784" t="s">
        <v>686</v>
      </c>
      <c r="E191" s="760"/>
      <c r="F191" s="761"/>
      <c r="G191" s="762"/>
      <c r="H191" s="762"/>
      <c r="I191" s="762"/>
      <c r="J191" s="763"/>
    </row>
    <row r="192" spans="1:10" ht="15" customHeight="1" x14ac:dyDescent="0.25">
      <c r="A192" s="527"/>
      <c r="B192" s="746"/>
      <c r="C192" s="785" t="s">
        <v>687</v>
      </c>
      <c r="D192" s="786" t="s">
        <v>688</v>
      </c>
      <c r="E192" s="277" t="s">
        <v>167</v>
      </c>
      <c r="F192" s="278" t="s">
        <v>141</v>
      </c>
      <c r="G192" s="723">
        <v>0</v>
      </c>
      <c r="H192" s="724"/>
      <c r="I192" s="725">
        <f t="shared" ref="I192:I193" si="25">IF(E192="NA","",H192*G192)</f>
        <v>0</v>
      </c>
      <c r="J192" s="765"/>
    </row>
    <row r="193" spans="1:10" ht="15" customHeight="1" x14ac:dyDescent="0.25">
      <c r="A193" s="527"/>
      <c r="B193" s="746"/>
      <c r="C193" s="785" t="s">
        <v>689</v>
      </c>
      <c r="D193" s="786" t="s">
        <v>690</v>
      </c>
      <c r="E193" s="277" t="s">
        <v>167</v>
      </c>
      <c r="F193" s="278" t="s">
        <v>141</v>
      </c>
      <c r="G193" s="723">
        <v>0</v>
      </c>
      <c r="H193" s="724"/>
      <c r="I193" s="725">
        <f t="shared" si="25"/>
        <v>0</v>
      </c>
      <c r="J193" s="765"/>
    </row>
  </sheetData>
  <mergeCells count="33">
    <mergeCell ref="A5:D6"/>
    <mergeCell ref="E5:H5"/>
    <mergeCell ref="E6:H6"/>
    <mergeCell ref="A41:D42"/>
    <mergeCell ref="E41:H41"/>
    <mergeCell ref="E42:H42"/>
    <mergeCell ref="J48:J50"/>
    <mergeCell ref="A71:D72"/>
    <mergeCell ref="E71:H71"/>
    <mergeCell ref="E72:H72"/>
    <mergeCell ref="A88:D89"/>
    <mergeCell ref="E88:H88"/>
    <mergeCell ref="E89:H89"/>
    <mergeCell ref="A110:D111"/>
    <mergeCell ref="E110:H110"/>
    <mergeCell ref="E111:H111"/>
    <mergeCell ref="A116:D117"/>
    <mergeCell ref="E116:H116"/>
    <mergeCell ref="E117:H117"/>
    <mergeCell ref="J155:J156"/>
    <mergeCell ref="J161:J162"/>
    <mergeCell ref="A135:D136"/>
    <mergeCell ref="E135:H135"/>
    <mergeCell ref="E136:H136"/>
    <mergeCell ref="A142:D143"/>
    <mergeCell ref="E142:H142"/>
    <mergeCell ref="E143:H143"/>
    <mergeCell ref="A189:D190"/>
    <mergeCell ref="E189:H189"/>
    <mergeCell ref="E190:H190"/>
    <mergeCell ref="A151:D152"/>
    <mergeCell ref="E151:H151"/>
    <mergeCell ref="E152:H152"/>
  </mergeCells>
  <dataValidations count="1">
    <dataValidation type="list" allowBlank="1" showInputMessage="1" showErrorMessage="1" sqref="E5:E6 F114:F115 E192:E193 E165:F165 E8:E85 E87:E164 E166:E190" xr:uid="{174597FD-FCB5-4E88-93D3-9D7A2E751976}">
      <formula1>"Mandatory,Optional,NA"</formula1>
    </dataValidation>
  </dataValidations>
  <pageMargins left="0.7" right="0.7" top="0.75" bottom="0.75" header="0.3" footer="0.3"/>
  <pageSetup orientation="portrait" r:id="rId1"/>
  <headerFooter>
    <oddHeader>&amp;C&amp;"Arial"&amp;8&amp;K000000 INTERNAL&amp;1#_x000D_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90331-EB28-4753-9170-B6660CD2A101}">
  <sheetPr>
    <tabColor rgb="FF00B050"/>
  </sheetPr>
  <dimension ref="B2:K21"/>
  <sheetViews>
    <sheetView showGridLines="0" zoomScale="93" zoomScaleNormal="93" zoomScaleSheetLayoutView="90" workbookViewId="0">
      <selection activeCell="K18" sqref="B8:K18"/>
    </sheetView>
  </sheetViews>
  <sheetFormatPr defaultColWidth="11.5703125" defaultRowHeight="12.75" x14ac:dyDescent="0.2"/>
  <cols>
    <col min="1" max="1" width="1.28515625" style="135" customWidth="1"/>
    <col min="2" max="2" width="18.28515625" style="135" customWidth="1"/>
    <col min="3" max="3" width="49.7109375" style="149" customWidth="1"/>
    <col min="4" max="4" width="16.5703125" style="149" bestFit="1" customWidth="1"/>
    <col min="5" max="5" width="65.28515625" style="135" customWidth="1"/>
    <col min="6" max="6" width="15.28515625" style="149" customWidth="1"/>
    <col min="7" max="7" width="20.28515625" style="149" bestFit="1" customWidth="1"/>
    <col min="8" max="16384" width="11.5703125" style="135"/>
  </cols>
  <sheetData>
    <row r="2" spans="2:11" ht="15.75" x14ac:dyDescent="0.2">
      <c r="B2" s="124"/>
      <c r="C2" s="20"/>
      <c r="D2" s="20"/>
      <c r="E2" s="21" t="s">
        <v>223</v>
      </c>
      <c r="F2" s="23"/>
      <c r="G2" s="22"/>
      <c r="H2" s="22"/>
      <c r="I2" s="22"/>
      <c r="J2" s="22"/>
      <c r="K2" s="22"/>
    </row>
    <row r="3" spans="2:11" ht="15.75" thickBot="1" x14ac:dyDescent="0.25">
      <c r="B3" s="121"/>
      <c r="C3" s="26"/>
      <c r="D3" s="26"/>
      <c r="E3" s="28"/>
      <c r="F3" s="30"/>
      <c r="G3" s="29"/>
    </row>
    <row r="4" spans="2:11" s="93" customFormat="1" ht="42" customHeight="1" x14ac:dyDescent="0.25">
      <c r="B4" s="125" t="s">
        <v>186</v>
      </c>
      <c r="C4" s="32" t="s">
        <v>136</v>
      </c>
      <c r="D4" s="32" t="s">
        <v>137</v>
      </c>
      <c r="E4" s="32" t="s">
        <v>187</v>
      </c>
      <c r="F4" s="90" t="s">
        <v>139</v>
      </c>
      <c r="G4" s="33" t="s">
        <v>140</v>
      </c>
      <c r="H4" s="156" t="s">
        <v>141</v>
      </c>
      <c r="I4" s="109" t="s">
        <v>145</v>
      </c>
      <c r="J4" s="109" t="s">
        <v>146</v>
      </c>
      <c r="K4" s="157" t="s">
        <v>147</v>
      </c>
    </row>
    <row r="5" spans="2:11" s="136" customFormat="1" ht="14.25" customHeight="1" collapsed="1" x14ac:dyDescent="0.2">
      <c r="B5" s="137"/>
      <c r="C5" s="138"/>
      <c r="D5" s="128"/>
      <c r="E5" s="151" t="s">
        <v>223</v>
      </c>
      <c r="F5" s="115" t="s">
        <v>154</v>
      </c>
      <c r="G5" s="116"/>
      <c r="H5" s="116"/>
      <c r="I5" s="117"/>
      <c r="J5" s="131">
        <f>SUMIF(H7:H18,"Mandatory",J7:J18)</f>
        <v>0</v>
      </c>
      <c r="K5" s="128"/>
    </row>
    <row r="6" spans="2:11" s="136" customFormat="1" ht="14.25" customHeight="1" x14ac:dyDescent="0.2">
      <c r="B6" s="146"/>
      <c r="C6" s="140"/>
      <c r="D6" s="158"/>
      <c r="E6" s="159"/>
      <c r="F6" s="118" t="s">
        <v>156</v>
      </c>
      <c r="G6" s="119"/>
      <c r="H6" s="119"/>
      <c r="I6" s="120"/>
      <c r="J6" s="123">
        <f>SUMIF(H7:H18,"optional",J7:J18)</f>
        <v>0</v>
      </c>
      <c r="K6" s="123"/>
    </row>
    <row r="7" spans="2:11" x14ac:dyDescent="0.2">
      <c r="B7" s="139"/>
      <c r="C7" s="140"/>
      <c r="D7" s="129"/>
      <c r="E7" s="133" t="s">
        <v>691</v>
      </c>
      <c r="F7" s="141"/>
      <c r="G7" s="130" t="s">
        <v>207</v>
      </c>
      <c r="H7" s="130" t="s">
        <v>207</v>
      </c>
      <c r="I7" s="130" t="s">
        <v>207</v>
      </c>
      <c r="J7" s="130" t="s">
        <v>207</v>
      </c>
      <c r="K7" s="130" t="s">
        <v>207</v>
      </c>
    </row>
    <row r="8" spans="2:11" s="142" customFormat="1" ht="24" x14ac:dyDescent="0.25">
      <c r="B8" s="143"/>
      <c r="C8" s="152" t="s">
        <v>224</v>
      </c>
      <c r="D8" s="144"/>
      <c r="E8" s="147" t="s">
        <v>225</v>
      </c>
      <c r="F8" s="145" t="s">
        <v>160</v>
      </c>
      <c r="G8" s="144" t="s">
        <v>161</v>
      </c>
      <c r="J8" s="131">
        <f>IF(Tabella15[[#This Row],[SCOPE]]="NA","",Tabella15[[#This Row],[Quantity]]*Tabella15[[#This Row],[Unit Price]])</f>
        <v>0</v>
      </c>
    </row>
    <row r="9" spans="2:11" s="127" customFormat="1" ht="24" x14ac:dyDescent="0.2">
      <c r="B9" s="146"/>
      <c r="C9" s="152" t="s">
        <v>226</v>
      </c>
      <c r="D9" s="144"/>
      <c r="E9" s="147" t="s">
        <v>227</v>
      </c>
      <c r="F9" s="145" t="s">
        <v>160</v>
      </c>
      <c r="G9" s="144" t="s">
        <v>161</v>
      </c>
      <c r="J9" s="131">
        <f>IF(Tabella15[[#This Row],[SCOPE]]="NA","",Tabella15[[#This Row],[Quantity]]*Tabella15[[#This Row],[Unit Price]])</f>
        <v>0</v>
      </c>
    </row>
    <row r="10" spans="2:11" s="127" customFormat="1" ht="24" x14ac:dyDescent="0.2">
      <c r="B10" s="146"/>
      <c r="C10" s="152" t="s">
        <v>228</v>
      </c>
      <c r="D10" s="144"/>
      <c r="E10" s="147" t="s">
        <v>229</v>
      </c>
      <c r="F10" s="145" t="s">
        <v>167</v>
      </c>
      <c r="G10" s="148" t="s">
        <v>161</v>
      </c>
      <c r="J10" s="131">
        <f>IF(Tabella15[[#This Row],[SCOPE]]="NA","",Tabella15[[#This Row],[Quantity]]*Tabella15[[#This Row],[Unit Price]])</f>
        <v>0</v>
      </c>
    </row>
    <row r="11" spans="2:11" s="127" customFormat="1" ht="24" x14ac:dyDescent="0.2">
      <c r="B11" s="146"/>
      <c r="C11" s="152" t="s">
        <v>228</v>
      </c>
      <c r="D11" s="144"/>
      <c r="E11" s="147" t="s">
        <v>230</v>
      </c>
      <c r="F11" s="145" t="s">
        <v>167</v>
      </c>
      <c r="G11" s="148" t="s">
        <v>161</v>
      </c>
      <c r="J11" s="131">
        <f>IF(Tabella15[[#This Row],[SCOPE]]="NA","",Tabella15[[#This Row],[Quantity]]*Tabella15[[#This Row],[Unit Price]])</f>
        <v>0</v>
      </c>
    </row>
    <row r="12" spans="2:11" s="127" customFormat="1" ht="24" x14ac:dyDescent="0.2">
      <c r="B12" s="146"/>
      <c r="C12" s="152" t="s">
        <v>231</v>
      </c>
      <c r="D12" s="144"/>
      <c r="E12" s="147" t="s">
        <v>232</v>
      </c>
      <c r="F12" s="145" t="s">
        <v>160</v>
      </c>
      <c r="G12" s="148" t="s">
        <v>161</v>
      </c>
      <c r="J12" s="131">
        <f>IF(Tabella15[[#This Row],[SCOPE]]="NA","",Tabella15[[#This Row],[Quantity]]*Tabella15[[#This Row],[Unit Price]])</f>
        <v>0</v>
      </c>
    </row>
    <row r="13" spans="2:11" s="127" customFormat="1" ht="24" x14ac:dyDescent="0.2">
      <c r="B13" s="146"/>
      <c r="C13" s="152" t="s">
        <v>233</v>
      </c>
      <c r="D13" s="144"/>
      <c r="E13" s="147" t="s">
        <v>234</v>
      </c>
      <c r="F13" s="145" t="s">
        <v>160</v>
      </c>
      <c r="G13" s="148" t="s">
        <v>161</v>
      </c>
      <c r="J13" s="131">
        <f>IF(Tabella15[[#This Row],[SCOPE]]="NA","",Tabella15[[#This Row],[Quantity]]*Tabella15[[#This Row],[Unit Price]])</f>
        <v>0</v>
      </c>
    </row>
    <row r="14" spans="2:11" s="127" customFormat="1" ht="24" x14ac:dyDescent="0.2">
      <c r="B14" s="146"/>
      <c r="C14" s="152" t="s">
        <v>235</v>
      </c>
      <c r="D14" s="144"/>
      <c r="E14" s="147" t="s">
        <v>236</v>
      </c>
      <c r="F14" s="145" t="s">
        <v>160</v>
      </c>
      <c r="G14" s="148" t="s">
        <v>237</v>
      </c>
      <c r="J14" s="131">
        <f>IF(Tabella15[[#This Row],[SCOPE]]="NA","",Tabella15[[#This Row],[Quantity]]*Tabella15[[#This Row],[Unit Price]])</f>
        <v>0</v>
      </c>
    </row>
    <row r="15" spans="2:11" s="127" customFormat="1" ht="24" x14ac:dyDescent="0.2">
      <c r="B15" s="146"/>
      <c r="C15" s="152" t="s">
        <v>238</v>
      </c>
      <c r="D15" s="144"/>
      <c r="E15" s="147" t="s">
        <v>692</v>
      </c>
      <c r="F15" s="145" t="s">
        <v>167</v>
      </c>
      <c r="G15" s="148" t="s">
        <v>240</v>
      </c>
      <c r="J15" s="131">
        <f>IF(Tabella15[[#This Row],[SCOPE]]="NA","",Tabella15[[#This Row],[Quantity]]*Tabella15[[#This Row],[Unit Price]])</f>
        <v>0</v>
      </c>
    </row>
    <row r="16" spans="2:11" s="127" customFormat="1" ht="24" x14ac:dyDescent="0.2">
      <c r="B16" s="146"/>
      <c r="C16" s="152" t="s">
        <v>241</v>
      </c>
      <c r="D16" s="144"/>
      <c r="E16" s="147" t="s">
        <v>242</v>
      </c>
      <c r="F16" s="145" t="s">
        <v>160</v>
      </c>
      <c r="G16" s="148" t="s">
        <v>237</v>
      </c>
      <c r="J16" s="131">
        <f>IF(Tabella15[[#This Row],[SCOPE]]="NA","",Tabella15[[#This Row],[Quantity]]*Tabella15[[#This Row],[Unit Price]])</f>
        <v>0</v>
      </c>
    </row>
    <row r="17" spans="2:10" s="127" customFormat="1" ht="24" x14ac:dyDescent="0.2">
      <c r="B17" s="146"/>
      <c r="C17" s="152" t="s">
        <v>243</v>
      </c>
      <c r="D17" s="144"/>
      <c r="E17" s="147" t="s">
        <v>244</v>
      </c>
      <c r="F17" s="145" t="s">
        <v>160</v>
      </c>
      <c r="G17" s="148" t="s">
        <v>161</v>
      </c>
      <c r="J17" s="131">
        <f>IF(Tabella15[[#This Row],[SCOPE]]="NA","",Tabella15[[#This Row],[Quantity]]*Tabella15[[#This Row],[Unit Price]])</f>
        <v>0</v>
      </c>
    </row>
    <row r="18" spans="2:10" s="127" customFormat="1" ht="25.5" x14ac:dyDescent="0.2">
      <c r="B18" s="146"/>
      <c r="C18" s="152" t="s">
        <v>693</v>
      </c>
      <c r="D18" s="144"/>
      <c r="E18" s="153" t="s">
        <v>694</v>
      </c>
      <c r="F18" s="145" t="s">
        <v>167</v>
      </c>
      <c r="G18" s="148" t="s">
        <v>161</v>
      </c>
      <c r="J18" s="131">
        <f>IF(Tabella15[[#This Row],[SCOPE]]="NA","",Tabella15[[#This Row],[Quantity]]*Tabella15[[#This Row],[Unit Price]])</f>
        <v>0</v>
      </c>
    </row>
    <row r="21" spans="2:10" x14ac:dyDescent="0.2">
      <c r="E21" s="150" t="s">
        <v>695</v>
      </c>
    </row>
  </sheetData>
  <dataValidations count="1">
    <dataValidation type="list" allowBlank="1" showInputMessage="1" showErrorMessage="1" sqref="F7:F18" xr:uid="{1DB12D3C-3A87-4930-9323-B17566B1053F}">
      <formula1>"Mandatory,Optional,NA"</formula1>
    </dataValidation>
  </dataValidations>
  <pageMargins left="0.75" right="0.75" top="1" bottom="1" header="0" footer="0"/>
  <pageSetup paperSize="9" orientation="portrait" r:id="rId1"/>
  <headerFooter alignWithMargins="0">
    <oddHeader>&amp;C&amp;"Arial"&amp;8&amp;K000000INTERNAL&amp;1#</oddHeader>
  </headerFooter>
  <tableParts count="1">
    <tablePart r:id="rId2"/>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A705E-3DAB-4D86-91D4-0433BAEDD5F8}">
  <sheetPr>
    <tabColor rgb="FF00B050"/>
  </sheetPr>
  <dimension ref="B2:K23"/>
  <sheetViews>
    <sheetView showGridLines="0" topLeftCell="C1" zoomScale="90" zoomScaleNormal="90" zoomScaleSheetLayoutView="90" workbookViewId="0">
      <selection activeCell="E7" sqref="E7"/>
    </sheetView>
  </sheetViews>
  <sheetFormatPr defaultColWidth="11.5703125" defaultRowHeight="12.75" x14ac:dyDescent="0.2"/>
  <cols>
    <col min="1" max="1" width="1.28515625" style="135" customWidth="1"/>
    <col min="2" max="2" width="23.42578125" style="135" customWidth="1"/>
    <col min="3" max="3" width="37.28515625" style="149" customWidth="1"/>
    <col min="4" max="4" width="16.5703125" style="149" bestFit="1" customWidth="1"/>
    <col min="5" max="5" width="94" style="135" customWidth="1"/>
    <col min="6" max="6" width="18.5703125" style="149" bestFit="1" customWidth="1"/>
    <col min="7" max="7" width="16.28515625" style="149" customWidth="1"/>
    <col min="8" max="10" width="11.5703125" style="135"/>
    <col min="11" max="11" width="24.7109375" style="135" customWidth="1"/>
    <col min="12" max="16384" width="11.5703125" style="135"/>
  </cols>
  <sheetData>
    <row r="2" spans="2:11" ht="15.75" x14ac:dyDescent="0.2">
      <c r="B2" s="124"/>
      <c r="C2" s="20"/>
      <c r="D2" s="20"/>
      <c r="E2" s="21" t="s">
        <v>696</v>
      </c>
      <c r="F2" s="23"/>
      <c r="G2" s="22"/>
      <c r="H2" s="22"/>
      <c r="I2" s="22"/>
      <c r="J2" s="22"/>
      <c r="K2" s="22"/>
    </row>
    <row r="3" spans="2:11" ht="15.75" thickBot="1" x14ac:dyDescent="0.25">
      <c r="B3" s="121"/>
      <c r="C3" s="26"/>
      <c r="D3" s="26"/>
      <c r="E3" s="28"/>
      <c r="F3" s="30"/>
      <c r="G3" s="29"/>
    </row>
    <row r="4" spans="2:11" s="93" customFormat="1" ht="24.75" customHeight="1" x14ac:dyDescent="0.25">
      <c r="B4" s="154" t="s">
        <v>186</v>
      </c>
      <c r="C4" s="32" t="s">
        <v>136</v>
      </c>
      <c r="D4" s="32" t="s">
        <v>137</v>
      </c>
      <c r="E4" s="32" t="s">
        <v>187</v>
      </c>
      <c r="F4" s="90" t="s">
        <v>139</v>
      </c>
      <c r="G4" s="33" t="s">
        <v>140</v>
      </c>
      <c r="H4" s="156" t="s">
        <v>141</v>
      </c>
      <c r="I4" s="109" t="s">
        <v>145</v>
      </c>
      <c r="J4" s="109" t="s">
        <v>146</v>
      </c>
      <c r="K4" s="157" t="s">
        <v>147</v>
      </c>
    </row>
    <row r="5" spans="2:11" s="136" customFormat="1" ht="14.25" customHeight="1" collapsed="1" x14ac:dyDescent="0.2">
      <c r="B5" s="137"/>
      <c r="C5" s="138"/>
      <c r="D5" s="128"/>
      <c r="E5" s="151" t="s">
        <v>205</v>
      </c>
      <c r="F5" s="115" t="s">
        <v>154</v>
      </c>
      <c r="G5" s="116"/>
      <c r="H5" s="116"/>
      <c r="I5" s="117"/>
      <c r="J5" s="131">
        <f>SUMIF(H7:H20,"Mandatory",J7:J20)</f>
        <v>0</v>
      </c>
      <c r="K5" s="128"/>
    </row>
    <row r="6" spans="2:11" s="136" customFormat="1" ht="14.25" customHeight="1" x14ac:dyDescent="0.2">
      <c r="B6" s="137"/>
      <c r="C6" s="138"/>
      <c r="D6" s="158"/>
      <c r="E6" s="159"/>
      <c r="F6" s="118" t="s">
        <v>156</v>
      </c>
      <c r="G6" s="119"/>
      <c r="H6" s="119"/>
      <c r="I6" s="120"/>
      <c r="J6" s="123">
        <f>SUMIF(H7:H20,"optional",J7:J20)</f>
        <v>0</v>
      </c>
      <c r="K6" s="161"/>
    </row>
    <row r="7" spans="2:11" x14ac:dyDescent="0.2">
      <c r="B7" s="139"/>
      <c r="C7" s="140"/>
      <c r="D7" s="129"/>
      <c r="E7" s="133" t="s">
        <v>206</v>
      </c>
      <c r="F7" s="141"/>
      <c r="G7" s="130" t="s">
        <v>207</v>
      </c>
      <c r="H7" s="162"/>
      <c r="I7" s="162"/>
      <c r="J7" s="162"/>
      <c r="K7" s="162"/>
    </row>
    <row r="8" spans="2:11" s="142" customFormat="1" ht="15" x14ac:dyDescent="0.25">
      <c r="B8" s="143"/>
      <c r="C8" s="182" t="s">
        <v>697</v>
      </c>
      <c r="D8" s="144"/>
      <c r="E8" s="155" t="s">
        <v>698</v>
      </c>
      <c r="F8" s="145" t="s">
        <v>160</v>
      </c>
      <c r="G8" s="144" t="s">
        <v>699</v>
      </c>
      <c r="H8" s="155"/>
      <c r="I8" s="155"/>
      <c r="J8" s="131">
        <f>IF(Tabella16[[#This Row],[SCOPE]]="NA","",H8*I8)</f>
        <v>0</v>
      </c>
      <c r="K8" s="155"/>
    </row>
    <row r="9" spans="2:11" s="142" customFormat="1" ht="15" x14ac:dyDescent="0.25">
      <c r="B9" s="143"/>
      <c r="C9" s="182" t="s">
        <v>700</v>
      </c>
      <c r="D9" s="144"/>
      <c r="E9" s="155" t="s">
        <v>701</v>
      </c>
      <c r="F9" s="145" t="s">
        <v>160</v>
      </c>
      <c r="G9" s="144" t="s">
        <v>699</v>
      </c>
      <c r="H9" s="155"/>
      <c r="I9" s="155"/>
      <c r="J9" s="131">
        <f>IF(Tabella16[[#This Row],[SCOPE]]="NA","",H9*I9)</f>
        <v>0</v>
      </c>
      <c r="K9" s="155"/>
    </row>
    <row r="10" spans="2:11" s="142" customFormat="1" ht="15" x14ac:dyDescent="0.25">
      <c r="B10" s="143"/>
      <c r="C10" s="182" t="s">
        <v>702</v>
      </c>
      <c r="D10" s="144"/>
      <c r="E10" s="155" t="s">
        <v>703</v>
      </c>
      <c r="F10" s="145" t="s">
        <v>160</v>
      </c>
      <c r="G10" s="144" t="s">
        <v>699</v>
      </c>
      <c r="H10" s="155"/>
      <c r="I10" s="155"/>
      <c r="J10" s="131">
        <f>IF(Tabella16[[#This Row],[SCOPE]]="NA","",H10*I10)</f>
        <v>0</v>
      </c>
      <c r="K10" s="155"/>
    </row>
    <row r="11" spans="2:11" s="142" customFormat="1" ht="15" x14ac:dyDescent="0.25">
      <c r="B11" s="143"/>
      <c r="C11" s="182" t="s">
        <v>704</v>
      </c>
      <c r="D11" s="144"/>
      <c r="E11" s="155" t="s">
        <v>705</v>
      </c>
      <c r="F11" s="145" t="s">
        <v>160</v>
      </c>
      <c r="G11" s="144" t="s">
        <v>699</v>
      </c>
      <c r="H11" s="155"/>
      <c r="I11" s="155"/>
      <c r="J11" s="131">
        <f>IF(Tabella16[[#This Row],[SCOPE]]="NA","",H11*I11)</f>
        <v>0</v>
      </c>
      <c r="K11" s="155"/>
    </row>
    <row r="12" spans="2:11" s="142" customFormat="1" ht="15" x14ac:dyDescent="0.25">
      <c r="B12" s="143"/>
      <c r="C12" s="182" t="s">
        <v>706</v>
      </c>
      <c r="D12" s="144"/>
      <c r="E12" s="155" t="s">
        <v>707</v>
      </c>
      <c r="F12" s="145" t="s">
        <v>160</v>
      </c>
      <c r="G12" s="144" t="s">
        <v>699</v>
      </c>
      <c r="H12" s="155"/>
      <c r="I12" s="155"/>
      <c r="J12" s="131">
        <f>IF(Tabella16[[#This Row],[SCOPE]]="NA","",H12*I12)</f>
        <v>0</v>
      </c>
      <c r="K12" s="155"/>
    </row>
    <row r="13" spans="2:11" s="142" customFormat="1" ht="15" x14ac:dyDescent="0.25">
      <c r="B13" s="143"/>
      <c r="C13" s="182" t="s">
        <v>708</v>
      </c>
      <c r="D13" s="144"/>
      <c r="E13" s="155" t="s">
        <v>709</v>
      </c>
      <c r="F13" s="145" t="s">
        <v>160</v>
      </c>
      <c r="G13" s="144" t="s">
        <v>699</v>
      </c>
      <c r="H13" s="155"/>
      <c r="I13" s="155"/>
      <c r="J13" s="131">
        <f>IF(Tabella16[[#This Row],[SCOPE]]="NA","",H13*I13)</f>
        <v>0</v>
      </c>
      <c r="K13" s="183"/>
    </row>
    <row r="14" spans="2:11" s="181" customFormat="1" ht="15" x14ac:dyDescent="0.25">
      <c r="B14" s="175"/>
      <c r="C14" s="182" t="s">
        <v>710</v>
      </c>
      <c r="D14" s="177"/>
      <c r="E14" s="438" t="s">
        <v>711</v>
      </c>
      <c r="F14" s="145" t="s">
        <v>160</v>
      </c>
      <c r="G14" s="177" t="s">
        <v>699</v>
      </c>
      <c r="H14" s="438"/>
      <c r="I14" s="438"/>
      <c r="J14" s="131">
        <f>IF(Tabella16[[#This Row],[SCOPE]]="NA","",H14*I14)</f>
        <v>0</v>
      </c>
      <c r="K14" s="438"/>
    </row>
    <row r="15" spans="2:11" s="142" customFormat="1" ht="15" x14ac:dyDescent="0.25">
      <c r="B15" s="143"/>
      <c r="C15" s="182" t="s">
        <v>712</v>
      </c>
      <c r="D15" s="144"/>
      <c r="E15" s="155" t="s">
        <v>713</v>
      </c>
      <c r="F15" s="145" t="s">
        <v>160</v>
      </c>
      <c r="G15" s="144" t="s">
        <v>699</v>
      </c>
      <c r="H15" s="155"/>
      <c r="I15" s="155"/>
      <c r="J15" s="131">
        <f>IF(Tabella16[[#This Row],[SCOPE]]="NA","",H15*I15)</f>
        <v>0</v>
      </c>
      <c r="K15" s="155"/>
    </row>
    <row r="16" spans="2:11" x14ac:dyDescent="0.2">
      <c r="B16" s="139"/>
      <c r="C16" s="140"/>
      <c r="D16" s="129"/>
      <c r="E16" s="133" t="s">
        <v>211</v>
      </c>
      <c r="F16" s="141"/>
      <c r="G16" s="130"/>
      <c r="H16" s="162"/>
      <c r="I16" s="162"/>
      <c r="J16" s="162"/>
      <c r="K16" s="162"/>
    </row>
    <row r="17" spans="2:11" s="127" customFormat="1" ht="15" x14ac:dyDescent="0.2">
      <c r="B17" s="146"/>
      <c r="C17" s="1587" t="s">
        <v>714</v>
      </c>
      <c r="D17" s="144"/>
      <c r="E17" s="155" t="s">
        <v>213</v>
      </c>
      <c r="F17" s="145" t="s">
        <v>160</v>
      </c>
      <c r="G17" s="144" t="s">
        <v>699</v>
      </c>
      <c r="H17" s="155"/>
      <c r="I17" s="155"/>
      <c r="J17" s="131">
        <f>IF(Tabella16[[#This Row],[SCOPE]]="NA","",H17*I17)</f>
        <v>0</v>
      </c>
      <c r="K17" s="155"/>
    </row>
    <row r="18" spans="2:11" s="127" customFormat="1" ht="15" x14ac:dyDescent="0.2">
      <c r="B18" s="146"/>
      <c r="C18" s="1588"/>
      <c r="D18" s="144"/>
      <c r="E18" s="155" t="s">
        <v>214</v>
      </c>
      <c r="F18" s="145" t="s">
        <v>160</v>
      </c>
      <c r="G18" s="144" t="s">
        <v>699</v>
      </c>
      <c r="H18" s="155"/>
      <c r="I18" s="155"/>
      <c r="J18" s="131">
        <f>IF(Tabella16[[#This Row],[SCOPE]]="NA","",H18*I18)</f>
        <v>0</v>
      </c>
      <c r="K18" s="155"/>
    </row>
    <row r="19" spans="2:11" s="127" customFormat="1" ht="15" x14ac:dyDescent="0.2">
      <c r="B19" s="146"/>
      <c r="C19" s="1588"/>
      <c r="D19" s="144"/>
      <c r="E19" s="155" t="s">
        <v>215</v>
      </c>
      <c r="F19" s="145" t="s">
        <v>160</v>
      </c>
      <c r="G19" s="144" t="s">
        <v>699</v>
      </c>
      <c r="H19" s="155"/>
      <c r="I19" s="155"/>
      <c r="J19" s="131">
        <f>IF(Tabella16[[#This Row],[SCOPE]]="NA","",H19*I19)</f>
        <v>0</v>
      </c>
      <c r="K19" s="155"/>
    </row>
    <row r="20" spans="2:11" s="127" customFormat="1" ht="25.5" x14ac:dyDescent="0.2">
      <c r="B20" s="146"/>
      <c r="C20" s="1589"/>
      <c r="D20" s="144"/>
      <c r="E20" s="155" t="s">
        <v>216</v>
      </c>
      <c r="F20" s="145" t="s">
        <v>167</v>
      </c>
      <c r="G20" s="144" t="s">
        <v>699</v>
      </c>
      <c r="H20" s="155"/>
      <c r="I20" s="155"/>
      <c r="J20" s="131">
        <f>IF(Tabella16[[#This Row],[SCOPE]]="NA","",H20*I20)</f>
        <v>0</v>
      </c>
      <c r="K20" s="144" t="s">
        <v>217</v>
      </c>
    </row>
    <row r="23" spans="2:11" x14ac:dyDescent="0.2">
      <c r="E23" s="150" t="s">
        <v>695</v>
      </c>
    </row>
  </sheetData>
  <mergeCells count="1">
    <mergeCell ref="C17:C20"/>
  </mergeCells>
  <dataValidations count="1">
    <dataValidation type="list" allowBlank="1" showInputMessage="1" showErrorMessage="1" sqref="F7:F20" xr:uid="{ECCFF823-E40D-430A-9B41-4C207DE64E6C}">
      <formula1>"Mandatory,Optional,NA"</formula1>
    </dataValidation>
  </dataValidations>
  <pageMargins left="0.75" right="0.75" top="1" bottom="1" header="0" footer="0"/>
  <pageSetup paperSize="9" orientation="portrait" r:id="rId1"/>
  <headerFooter alignWithMargins="0">
    <oddHeader>&amp;C&amp;"Arial"&amp;8&amp;K000000INTERNAL&amp;1#</oddHeader>
  </headerFooter>
  <legacyDrawing r:id="rId2"/>
  <tableParts count="1">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43881-E868-4066-A7D0-FA2D21F9FD31}">
  <sheetPr>
    <tabColor rgb="FF00B050"/>
  </sheetPr>
  <dimension ref="B2:T32"/>
  <sheetViews>
    <sheetView zoomScale="90" zoomScaleNormal="90" workbookViewId="0">
      <selection activeCell="A31" sqref="A31"/>
    </sheetView>
  </sheetViews>
  <sheetFormatPr defaultColWidth="11.5703125" defaultRowHeight="12.75" x14ac:dyDescent="0.2"/>
  <cols>
    <col min="1" max="1" width="4.7109375" style="171" customWidth="1"/>
    <col min="2" max="2" width="15.28515625" style="171" customWidth="1"/>
    <col min="3" max="3" width="40.28515625" style="180" bestFit="1" customWidth="1"/>
    <col min="4" max="4" width="11.7109375" style="180" bestFit="1" customWidth="1"/>
    <col min="5" max="5" width="69.7109375" style="171" customWidth="1"/>
    <col min="6" max="6" width="19.7109375" style="180" bestFit="1" customWidth="1"/>
    <col min="7" max="7" width="21.7109375" style="180" customWidth="1"/>
    <col min="8" max="17" width="11.5703125" style="1109"/>
    <col min="18" max="19" width="11.5703125" style="171"/>
    <col min="20" max="20" width="41.42578125" style="171" customWidth="1"/>
    <col min="21" max="16384" width="11.5703125" style="171"/>
  </cols>
  <sheetData>
    <row r="2" spans="2:20" ht="15.75" x14ac:dyDescent="0.2">
      <c r="B2" s="1511" t="s">
        <v>715</v>
      </c>
      <c r="C2" s="1511"/>
      <c r="D2" s="1511"/>
      <c r="E2" s="1511"/>
      <c r="F2" s="1511"/>
      <c r="G2" s="1511"/>
      <c r="H2" s="1511"/>
      <c r="I2" s="1511"/>
      <c r="J2" s="1511"/>
      <c r="K2" s="1511"/>
      <c r="L2" s="1511"/>
      <c r="M2" s="1511"/>
      <c r="N2" s="1511"/>
      <c r="O2" s="1511"/>
      <c r="P2" s="1511"/>
      <c r="Q2" s="1511"/>
      <c r="R2" s="1511"/>
      <c r="S2" s="1511"/>
      <c r="T2" s="1511"/>
    </row>
    <row r="3" spans="2:20" ht="15.75" thickBot="1" x14ac:dyDescent="0.25">
      <c r="B3" s="121"/>
      <c r="C3" s="26"/>
      <c r="D3" s="26"/>
      <c r="E3" s="28"/>
      <c r="F3" s="30"/>
      <c r="G3" s="29"/>
    </row>
    <row r="4" spans="2:20" x14ac:dyDescent="0.2">
      <c r="B4" s="1540" t="s">
        <v>186</v>
      </c>
      <c r="C4" s="1540" t="s">
        <v>136</v>
      </c>
      <c r="D4" s="1540" t="s">
        <v>137</v>
      </c>
      <c r="E4" s="1540" t="s">
        <v>187</v>
      </c>
      <c r="F4" s="1546" t="s">
        <v>139</v>
      </c>
      <c r="G4" s="1524" t="s">
        <v>140</v>
      </c>
      <c r="H4" s="1524" t="s">
        <v>141</v>
      </c>
      <c r="I4" s="1528" t="s">
        <v>142</v>
      </c>
      <c r="J4" s="1528"/>
      <c r="K4" s="1528"/>
      <c r="L4" s="1528" t="s">
        <v>143</v>
      </c>
      <c r="M4" s="1528"/>
      <c r="N4" s="1528"/>
      <c r="O4" s="1528"/>
      <c r="P4" s="1528" t="s">
        <v>144</v>
      </c>
      <c r="Q4" s="1528"/>
      <c r="R4" s="1524" t="s">
        <v>145</v>
      </c>
      <c r="S4" s="1524" t="s">
        <v>146</v>
      </c>
      <c r="T4" s="1540" t="s">
        <v>147</v>
      </c>
    </row>
    <row r="5" spans="2:20" s="172" customFormat="1" ht="42.75" customHeight="1" x14ac:dyDescent="0.25">
      <c r="B5" s="1541"/>
      <c r="C5" s="1541"/>
      <c r="D5" s="1541"/>
      <c r="E5" s="1541"/>
      <c r="F5" s="1547"/>
      <c r="G5" s="1525"/>
      <c r="H5" s="1525"/>
      <c r="I5" s="983" t="s">
        <v>148</v>
      </c>
      <c r="J5" s="983" t="s">
        <v>149</v>
      </c>
      <c r="K5" s="983" t="s">
        <v>150</v>
      </c>
      <c r="L5" s="983" t="s">
        <v>148</v>
      </c>
      <c r="M5" s="983" t="s">
        <v>149</v>
      </c>
      <c r="N5" s="983" t="s">
        <v>150</v>
      </c>
      <c r="O5" s="983" t="s">
        <v>151</v>
      </c>
      <c r="P5" s="983" t="s">
        <v>150</v>
      </c>
      <c r="Q5" s="983" t="s">
        <v>152</v>
      </c>
      <c r="R5" s="1525"/>
      <c r="S5" s="1525"/>
      <c r="T5" s="1541"/>
    </row>
    <row r="6" spans="2:20" s="173" customFormat="1" ht="14.25" customHeight="1" collapsed="1" x14ac:dyDescent="0.2">
      <c r="B6" s="1542" t="s">
        <v>716</v>
      </c>
      <c r="C6" s="1543"/>
      <c r="D6" s="1543"/>
      <c r="E6" s="1543"/>
      <c r="F6" s="1590" t="s">
        <v>154</v>
      </c>
      <c r="G6" s="1590"/>
      <c r="H6" s="1590"/>
      <c r="I6" s="1590"/>
      <c r="J6" s="1590"/>
      <c r="K6" s="1590"/>
      <c r="L6" s="1590"/>
      <c r="M6" s="1590"/>
      <c r="N6" s="1590"/>
      <c r="O6" s="1590"/>
      <c r="P6" s="1590"/>
      <c r="Q6" s="1590"/>
      <c r="R6" s="1590"/>
      <c r="S6" s="863">
        <f>SUMIF(F8,"Mandatory",S8)</f>
        <v>0</v>
      </c>
      <c r="T6" s="895"/>
    </row>
    <row r="7" spans="2:20" s="173" customFormat="1" ht="14.25" customHeight="1" x14ac:dyDescent="0.2">
      <c r="B7" s="1544"/>
      <c r="C7" s="1545"/>
      <c r="D7" s="1545"/>
      <c r="E7" s="1545"/>
      <c r="F7" s="1590" t="s">
        <v>156</v>
      </c>
      <c r="G7" s="1590"/>
      <c r="H7" s="1590"/>
      <c r="I7" s="1590"/>
      <c r="J7" s="1590"/>
      <c r="K7" s="1590"/>
      <c r="L7" s="1590"/>
      <c r="M7" s="1590"/>
      <c r="N7" s="1590"/>
      <c r="O7" s="1590"/>
      <c r="P7" s="1590"/>
      <c r="Q7" s="1590"/>
      <c r="R7" s="1590"/>
      <c r="S7" s="863">
        <f>SUMIF(F8:F8,"optional",S8:S8)</f>
        <v>0</v>
      </c>
      <c r="T7" s="896"/>
    </row>
    <row r="8" spans="2:20" s="431" customFormat="1" ht="191.25" x14ac:dyDescent="0.25">
      <c r="B8" s="919"/>
      <c r="C8" s="953" t="s">
        <v>717</v>
      </c>
      <c r="D8" s="900"/>
      <c r="E8" s="901" t="s">
        <v>718</v>
      </c>
      <c r="F8" s="902" t="s">
        <v>160</v>
      </c>
      <c r="G8" s="900" t="s">
        <v>161</v>
      </c>
      <c r="H8" s="1110">
        <v>1</v>
      </c>
      <c r="I8" s="990"/>
      <c r="J8" s="990"/>
      <c r="K8" s="991">
        <f>I8*J8</f>
        <v>0</v>
      </c>
      <c r="L8" s="990"/>
      <c r="M8" s="990"/>
      <c r="N8" s="991">
        <f>L8*M8</f>
        <v>0</v>
      </c>
      <c r="O8" s="992"/>
      <c r="P8" s="990"/>
      <c r="Q8" s="992"/>
      <c r="R8" s="904"/>
      <c r="S8" s="905">
        <f>IF(F8="na","",H8*R8)</f>
        <v>0</v>
      </c>
      <c r="T8" s="935" t="s">
        <v>719</v>
      </c>
    </row>
    <row r="9" spans="2:20" s="173" customFormat="1" ht="22.5" customHeight="1" collapsed="1" x14ac:dyDescent="0.2">
      <c r="B9" s="1542" t="s">
        <v>720</v>
      </c>
      <c r="C9" s="1543"/>
      <c r="D9" s="1543"/>
      <c r="E9" s="1548"/>
      <c r="F9" s="1504" t="s">
        <v>154</v>
      </c>
      <c r="G9" s="1590"/>
      <c r="H9" s="1590"/>
      <c r="I9" s="1590"/>
      <c r="J9" s="1590"/>
      <c r="K9" s="1590"/>
      <c r="L9" s="1590"/>
      <c r="M9" s="1590"/>
      <c r="N9" s="1590"/>
      <c r="O9" s="1590"/>
      <c r="P9" s="1590"/>
      <c r="Q9" s="1590"/>
      <c r="R9" s="1590"/>
      <c r="S9" s="863">
        <f>SUMIF(F11,"Mandatory",S11)</f>
        <v>0</v>
      </c>
      <c r="T9" s="895"/>
    </row>
    <row r="10" spans="2:20" s="173" customFormat="1" ht="22.5" customHeight="1" x14ac:dyDescent="0.2">
      <c r="B10" s="1544"/>
      <c r="C10" s="1545"/>
      <c r="D10" s="1545"/>
      <c r="E10" s="1549"/>
      <c r="F10" s="1504" t="s">
        <v>156</v>
      </c>
      <c r="G10" s="1590"/>
      <c r="H10" s="1590"/>
      <c r="I10" s="1590"/>
      <c r="J10" s="1590"/>
      <c r="K10" s="1590"/>
      <c r="L10" s="1590"/>
      <c r="M10" s="1590"/>
      <c r="N10" s="1590"/>
      <c r="O10" s="1590"/>
      <c r="P10" s="1590"/>
      <c r="Q10" s="1590"/>
      <c r="R10" s="1590"/>
      <c r="S10" s="863">
        <f>SUMIF(F11:F11,"optional",S11:S11)</f>
        <v>0</v>
      </c>
      <c r="T10" s="896"/>
    </row>
    <row r="11" spans="2:20" s="431" customFormat="1" ht="82.5" customHeight="1" x14ac:dyDescent="0.25">
      <c r="B11" s="919"/>
      <c r="C11" s="953" t="s">
        <v>721</v>
      </c>
      <c r="D11" s="900"/>
      <c r="E11" s="901" t="s">
        <v>722</v>
      </c>
      <c r="F11" s="902" t="s">
        <v>160</v>
      </c>
      <c r="G11" s="900" t="s">
        <v>161</v>
      </c>
      <c r="H11" s="1110">
        <v>1</v>
      </c>
      <c r="I11" s="990"/>
      <c r="J11" s="990"/>
      <c r="K11" s="991">
        <f>I11*J11</f>
        <v>0</v>
      </c>
      <c r="L11" s="990"/>
      <c r="M11" s="990"/>
      <c r="N11" s="991">
        <f>L11*M11</f>
        <v>0</v>
      </c>
      <c r="O11" s="992"/>
      <c r="P11" s="990"/>
      <c r="Q11" s="992"/>
      <c r="R11" s="904"/>
      <c r="S11" s="905">
        <f>IF(F11="na","",H11*R11)</f>
        <v>0</v>
      </c>
      <c r="T11" s="935" t="s">
        <v>719</v>
      </c>
    </row>
    <row r="12" spans="2:20" s="173" customFormat="1" ht="15" x14ac:dyDescent="0.2">
      <c r="B12" s="1542" t="s">
        <v>723</v>
      </c>
      <c r="C12" s="1543"/>
      <c r="D12" s="1543"/>
      <c r="E12" s="1548"/>
      <c r="F12" s="1504" t="s">
        <v>154</v>
      </c>
      <c r="G12" s="1590"/>
      <c r="H12" s="1590"/>
      <c r="I12" s="1590"/>
      <c r="J12" s="1590"/>
      <c r="K12" s="1590"/>
      <c r="L12" s="1590"/>
      <c r="M12" s="1590"/>
      <c r="N12" s="1590"/>
      <c r="O12" s="1590"/>
      <c r="P12" s="1590"/>
      <c r="Q12" s="1590"/>
      <c r="R12" s="1590"/>
      <c r="S12" s="863">
        <f>SUMIF(F14,"Mandatory",S14)</f>
        <v>0</v>
      </c>
      <c r="T12" s="895"/>
    </row>
    <row r="13" spans="2:20" s="173" customFormat="1" ht="15" x14ac:dyDescent="0.2">
      <c r="B13" s="1544"/>
      <c r="C13" s="1545"/>
      <c r="D13" s="1545"/>
      <c r="E13" s="1549"/>
      <c r="F13" s="1504" t="s">
        <v>156</v>
      </c>
      <c r="G13" s="1590"/>
      <c r="H13" s="1590"/>
      <c r="I13" s="1590"/>
      <c r="J13" s="1590"/>
      <c r="K13" s="1590"/>
      <c r="L13" s="1590"/>
      <c r="M13" s="1590"/>
      <c r="N13" s="1590"/>
      <c r="O13" s="1590"/>
      <c r="P13" s="1590"/>
      <c r="Q13" s="1590"/>
      <c r="R13" s="1590"/>
      <c r="S13" s="863">
        <f>SUMIF(F14:F14,"optional",S14:S14)</f>
        <v>0</v>
      </c>
      <c r="T13" s="896"/>
    </row>
    <row r="14" spans="2:20" s="431" customFormat="1" ht="99.75" customHeight="1" x14ac:dyDescent="0.25">
      <c r="B14" s="919"/>
      <c r="C14" s="953" t="s">
        <v>724</v>
      </c>
      <c r="D14" s="900"/>
      <c r="E14" s="901" t="s">
        <v>725</v>
      </c>
      <c r="F14" s="902" t="s">
        <v>160</v>
      </c>
      <c r="G14" s="900" t="s">
        <v>161</v>
      </c>
      <c r="H14" s="1110">
        <v>1</v>
      </c>
      <c r="I14" s="990"/>
      <c r="J14" s="990"/>
      <c r="K14" s="991">
        <f>I14*J14</f>
        <v>0</v>
      </c>
      <c r="L14" s="990"/>
      <c r="M14" s="990"/>
      <c r="N14" s="991">
        <f>L14*M14</f>
        <v>0</v>
      </c>
      <c r="O14" s="992"/>
      <c r="P14" s="990"/>
      <c r="Q14" s="992"/>
      <c r="R14" s="904"/>
      <c r="S14" s="905">
        <f>IF(F14="na","",H14*R14)</f>
        <v>0</v>
      </c>
      <c r="T14" s="935" t="s">
        <v>726</v>
      </c>
    </row>
    <row r="15" spans="2:20" ht="15" x14ac:dyDescent="0.2">
      <c r="B15" s="1542" t="s">
        <v>727</v>
      </c>
      <c r="C15" s="1543"/>
      <c r="D15" s="1543"/>
      <c r="E15" s="1548"/>
      <c r="F15" s="1504" t="s">
        <v>154</v>
      </c>
      <c r="G15" s="1590"/>
      <c r="H15" s="1590"/>
      <c r="I15" s="1590"/>
      <c r="J15" s="1590"/>
      <c r="K15" s="1590"/>
      <c r="L15" s="1590"/>
      <c r="M15" s="1590"/>
      <c r="N15" s="1590"/>
      <c r="O15" s="1590"/>
      <c r="P15" s="1590"/>
      <c r="Q15" s="1590"/>
      <c r="R15" s="1590"/>
      <c r="S15" s="863">
        <f>SUMIF(F17,"Mandatory",S17)</f>
        <v>0</v>
      </c>
      <c r="T15" s="895"/>
    </row>
    <row r="16" spans="2:20" ht="15" x14ac:dyDescent="0.2">
      <c r="B16" s="1544"/>
      <c r="C16" s="1545"/>
      <c r="D16" s="1545"/>
      <c r="E16" s="1549"/>
      <c r="F16" s="1504" t="s">
        <v>156</v>
      </c>
      <c r="G16" s="1590"/>
      <c r="H16" s="1590"/>
      <c r="I16" s="1590"/>
      <c r="J16" s="1590"/>
      <c r="K16" s="1590"/>
      <c r="L16" s="1590"/>
      <c r="M16" s="1590"/>
      <c r="N16" s="1590"/>
      <c r="O16" s="1590"/>
      <c r="P16" s="1590"/>
      <c r="Q16" s="1590"/>
      <c r="R16" s="1590"/>
      <c r="S16" s="863">
        <f>SUMIF(F17:F17,"optional",S17:S17)</f>
        <v>0</v>
      </c>
      <c r="T16" s="896"/>
    </row>
    <row r="17" spans="2:20" s="431" customFormat="1" ht="114" customHeight="1" x14ac:dyDescent="0.25">
      <c r="B17" s="919"/>
      <c r="C17" s="953" t="s">
        <v>728</v>
      </c>
      <c r="D17" s="900"/>
      <c r="E17" s="901" t="s">
        <v>729</v>
      </c>
      <c r="F17" s="902" t="s">
        <v>167</v>
      </c>
      <c r="G17" s="900" t="s">
        <v>161</v>
      </c>
      <c r="H17" s="1110"/>
      <c r="I17" s="990"/>
      <c r="J17" s="990"/>
      <c r="K17" s="991">
        <f>I17*J17</f>
        <v>0</v>
      </c>
      <c r="L17" s="990"/>
      <c r="M17" s="990"/>
      <c r="N17" s="991">
        <f>L17*M17</f>
        <v>0</v>
      </c>
      <c r="O17" s="992"/>
      <c r="P17" s="990"/>
      <c r="Q17" s="992"/>
      <c r="R17" s="904"/>
      <c r="S17" s="905">
        <f>IF(F17="na","",H17*R17)</f>
        <v>0</v>
      </c>
      <c r="T17" s="935" t="s">
        <v>730</v>
      </c>
    </row>
    <row r="18" spans="2:20" ht="15" x14ac:dyDescent="0.2">
      <c r="B18" s="1542" t="s">
        <v>731</v>
      </c>
      <c r="C18" s="1543"/>
      <c r="D18" s="1543"/>
      <c r="E18" s="1548"/>
      <c r="F18" s="1504" t="s">
        <v>154</v>
      </c>
      <c r="G18" s="1590"/>
      <c r="H18" s="1590"/>
      <c r="I18" s="1590"/>
      <c r="J18" s="1590"/>
      <c r="K18" s="1590"/>
      <c r="L18" s="1590"/>
      <c r="M18" s="1590"/>
      <c r="N18" s="1590"/>
      <c r="O18" s="1590"/>
      <c r="P18" s="1590"/>
      <c r="Q18" s="1590"/>
      <c r="R18" s="1590"/>
      <c r="S18" s="863">
        <f>SUMIF(F20,"Mandatory",S20)</f>
        <v>0</v>
      </c>
      <c r="T18" s="895"/>
    </row>
    <row r="19" spans="2:20" ht="15" x14ac:dyDescent="0.2">
      <c r="B19" s="1544"/>
      <c r="C19" s="1545"/>
      <c r="D19" s="1545"/>
      <c r="E19" s="1549"/>
      <c r="F19" s="1504" t="s">
        <v>156</v>
      </c>
      <c r="G19" s="1590"/>
      <c r="H19" s="1590"/>
      <c r="I19" s="1590"/>
      <c r="J19" s="1590"/>
      <c r="K19" s="1590"/>
      <c r="L19" s="1590"/>
      <c r="M19" s="1590"/>
      <c r="N19" s="1590"/>
      <c r="O19" s="1590"/>
      <c r="P19" s="1590"/>
      <c r="Q19" s="1590"/>
      <c r="R19" s="1590"/>
      <c r="S19" s="863">
        <f>SUMIF(F20:F20,"optional",S20:S20)</f>
        <v>0</v>
      </c>
      <c r="T19" s="896"/>
    </row>
    <row r="20" spans="2:20" s="431" customFormat="1" ht="114" customHeight="1" x14ac:dyDescent="0.25">
      <c r="B20" s="919"/>
      <c r="C20" s="953" t="s">
        <v>732</v>
      </c>
      <c r="D20" s="900"/>
      <c r="E20" s="901" t="s">
        <v>733</v>
      </c>
      <c r="F20" s="902" t="s">
        <v>160</v>
      </c>
      <c r="G20" s="900" t="s">
        <v>161</v>
      </c>
      <c r="H20" s="1110">
        <v>1</v>
      </c>
      <c r="I20" s="990"/>
      <c r="J20" s="990"/>
      <c r="K20" s="991">
        <f>I20*J20</f>
        <v>0</v>
      </c>
      <c r="L20" s="990"/>
      <c r="M20" s="990"/>
      <c r="N20" s="991">
        <f>L20*M20</f>
        <v>0</v>
      </c>
      <c r="O20" s="992"/>
      <c r="P20" s="990"/>
      <c r="Q20" s="992"/>
      <c r="R20" s="904"/>
      <c r="S20" s="905">
        <f>IF(F20="na","",H20*R20)</f>
        <v>0</v>
      </c>
      <c r="T20" s="935" t="s">
        <v>719</v>
      </c>
    </row>
    <row r="21" spans="2:20" ht="15" x14ac:dyDescent="0.2">
      <c r="B21" s="1542" t="s">
        <v>734</v>
      </c>
      <c r="C21" s="1543"/>
      <c r="D21" s="1543"/>
      <c r="E21" s="1548"/>
      <c r="F21" s="1504" t="s">
        <v>154</v>
      </c>
      <c r="G21" s="1590"/>
      <c r="H21" s="1590"/>
      <c r="I21" s="1590"/>
      <c r="J21" s="1590"/>
      <c r="K21" s="1590"/>
      <c r="L21" s="1590"/>
      <c r="M21" s="1590"/>
      <c r="N21" s="1590"/>
      <c r="O21" s="1590"/>
      <c r="P21" s="1590"/>
      <c r="Q21" s="1590"/>
      <c r="R21" s="1590"/>
      <c r="S21" s="863">
        <f ca="1">SUMIF(F23:F24,"Mandatory",S23)</f>
        <v>0</v>
      </c>
      <c r="T21" s="895"/>
    </row>
    <row r="22" spans="2:20" ht="15" x14ac:dyDescent="0.2">
      <c r="B22" s="1544"/>
      <c r="C22" s="1545"/>
      <c r="D22" s="1545"/>
      <c r="E22" s="1549"/>
      <c r="F22" s="1504" t="s">
        <v>156</v>
      </c>
      <c r="G22" s="1590"/>
      <c r="H22" s="1590"/>
      <c r="I22" s="1590"/>
      <c r="J22" s="1590"/>
      <c r="K22" s="1590"/>
      <c r="L22" s="1590"/>
      <c r="M22" s="1590"/>
      <c r="N22" s="1590"/>
      <c r="O22" s="1590"/>
      <c r="P22" s="1590"/>
      <c r="Q22" s="1590"/>
      <c r="R22" s="1590"/>
      <c r="S22" s="863">
        <f>SUMIF(F23:F23,"optional",S23:S23)</f>
        <v>0</v>
      </c>
      <c r="T22" s="896"/>
    </row>
    <row r="23" spans="2:20" s="431" customFormat="1" ht="36" x14ac:dyDescent="0.25">
      <c r="B23" s="919"/>
      <c r="C23" s="937" t="s">
        <v>735</v>
      </c>
      <c r="D23" s="900"/>
      <c r="E23" s="901" t="s">
        <v>736</v>
      </c>
      <c r="F23" s="902" t="s">
        <v>160</v>
      </c>
      <c r="G23" s="900" t="s">
        <v>161</v>
      </c>
      <c r="H23" s="1110">
        <v>1</v>
      </c>
      <c r="I23" s="990"/>
      <c r="J23" s="990"/>
      <c r="K23" s="991">
        <f>I23*J23</f>
        <v>0</v>
      </c>
      <c r="L23" s="990"/>
      <c r="M23" s="990"/>
      <c r="N23" s="991">
        <f>L23*M23</f>
        <v>0</v>
      </c>
      <c r="O23" s="992"/>
      <c r="P23" s="990"/>
      <c r="Q23" s="992"/>
      <c r="R23" s="904"/>
      <c r="S23" s="905">
        <f t="shared" ref="S23:S24" si="0">IF(F23="na","",H23*R23)</f>
        <v>0</v>
      </c>
      <c r="T23" s="935" t="s">
        <v>737</v>
      </c>
    </row>
    <row r="24" spans="2:20" s="431" customFormat="1" ht="96" x14ac:dyDescent="0.25">
      <c r="B24" s="919"/>
      <c r="C24" s="937" t="s">
        <v>738</v>
      </c>
      <c r="D24" s="900"/>
      <c r="E24" s="901" t="s">
        <v>739</v>
      </c>
      <c r="F24" s="902" t="s">
        <v>160</v>
      </c>
      <c r="G24" s="900" t="s">
        <v>161</v>
      </c>
      <c r="H24" s="1110">
        <v>1</v>
      </c>
      <c r="I24" s="990"/>
      <c r="J24" s="990"/>
      <c r="K24" s="991">
        <f>I24*J24</f>
        <v>0</v>
      </c>
      <c r="L24" s="990"/>
      <c r="M24" s="990"/>
      <c r="N24" s="991">
        <f>L24*M24</f>
        <v>0</v>
      </c>
      <c r="O24" s="992"/>
      <c r="P24" s="990"/>
      <c r="Q24" s="992"/>
      <c r="R24" s="904"/>
      <c r="S24" s="905">
        <f t="shared" si="0"/>
        <v>0</v>
      </c>
      <c r="T24" s="935" t="s">
        <v>740</v>
      </c>
    </row>
    <row r="25" spans="2:20" ht="15" x14ac:dyDescent="0.2">
      <c r="B25" s="1542" t="s">
        <v>741</v>
      </c>
      <c r="C25" s="1543"/>
      <c r="D25" s="1543"/>
      <c r="E25" s="1548"/>
      <c r="F25" s="1504" t="s">
        <v>154</v>
      </c>
      <c r="G25" s="1590"/>
      <c r="H25" s="1590"/>
      <c r="I25" s="1590"/>
      <c r="J25" s="1590"/>
      <c r="K25" s="1590"/>
      <c r="L25" s="1590"/>
      <c r="M25" s="1590"/>
      <c r="N25" s="1590"/>
      <c r="O25" s="1590"/>
      <c r="P25" s="1590"/>
      <c r="Q25" s="1590"/>
      <c r="R25" s="1590"/>
      <c r="S25" s="863">
        <f>SUMIF(F27,"Mandatory",S27)</f>
        <v>0</v>
      </c>
      <c r="T25" s="895"/>
    </row>
    <row r="26" spans="2:20" ht="15" x14ac:dyDescent="0.2">
      <c r="B26" s="1544"/>
      <c r="C26" s="1545"/>
      <c r="D26" s="1545"/>
      <c r="E26" s="1549"/>
      <c r="F26" s="1504" t="s">
        <v>156</v>
      </c>
      <c r="G26" s="1590"/>
      <c r="H26" s="1590"/>
      <c r="I26" s="1590"/>
      <c r="J26" s="1590"/>
      <c r="K26" s="1590"/>
      <c r="L26" s="1590"/>
      <c r="M26" s="1590"/>
      <c r="N26" s="1590"/>
      <c r="O26" s="1590"/>
      <c r="P26" s="1590"/>
      <c r="Q26" s="1590"/>
      <c r="R26" s="1590"/>
      <c r="S26" s="863">
        <f ca="1">SUMIF(F27:F30,"optional",S27:S27)</f>
        <v>0</v>
      </c>
      <c r="T26" s="896"/>
    </row>
    <row r="27" spans="2:20" s="431" customFormat="1" ht="72" x14ac:dyDescent="0.25">
      <c r="B27" s="919"/>
      <c r="C27" s="937" t="s">
        <v>742</v>
      </c>
      <c r="D27" s="900"/>
      <c r="E27" s="901" t="s">
        <v>743</v>
      </c>
      <c r="F27" s="902" t="s">
        <v>160</v>
      </c>
      <c r="G27" s="900" t="s">
        <v>161</v>
      </c>
      <c r="H27" s="1110">
        <v>1</v>
      </c>
      <c r="I27" s="990"/>
      <c r="J27" s="990"/>
      <c r="K27" s="991">
        <f>I27*J27</f>
        <v>0</v>
      </c>
      <c r="L27" s="990"/>
      <c r="M27" s="990"/>
      <c r="N27" s="991">
        <f>L27*M27</f>
        <v>0</v>
      </c>
      <c r="O27" s="992"/>
      <c r="P27" s="990"/>
      <c r="Q27" s="992"/>
      <c r="R27" s="904"/>
      <c r="S27" s="905">
        <f>IF(F27="na","",H27*R27)</f>
        <v>0</v>
      </c>
      <c r="T27" s="935" t="s">
        <v>719</v>
      </c>
    </row>
    <row r="28" spans="2:20" s="431" customFormat="1" ht="56.25" x14ac:dyDescent="0.25">
      <c r="B28" s="919"/>
      <c r="C28" s="937" t="s">
        <v>744</v>
      </c>
      <c r="D28" s="900"/>
      <c r="E28" s="901" t="s">
        <v>745</v>
      </c>
      <c r="F28" s="902" t="s">
        <v>167</v>
      </c>
      <c r="G28" s="900" t="s">
        <v>161</v>
      </c>
      <c r="H28" s="1110"/>
      <c r="I28" s="990"/>
      <c r="J28" s="990"/>
      <c r="K28" s="991">
        <f>I28*J28</f>
        <v>0</v>
      </c>
      <c r="L28" s="990"/>
      <c r="M28" s="990"/>
      <c r="N28" s="991">
        <f>L28*M28</f>
        <v>0</v>
      </c>
      <c r="O28" s="992"/>
      <c r="P28" s="990"/>
      <c r="Q28" s="992"/>
      <c r="R28" s="904"/>
      <c r="S28" s="905">
        <f t="shared" ref="S28:S29" si="1">IF(F28="na","",H28*R28)</f>
        <v>0</v>
      </c>
      <c r="T28" s="935" t="s">
        <v>730</v>
      </c>
    </row>
    <row r="29" spans="2:20" s="431" customFormat="1" ht="56.25" x14ac:dyDescent="0.25">
      <c r="B29" s="919"/>
      <c r="C29" s="937" t="s">
        <v>746</v>
      </c>
      <c r="D29" s="900"/>
      <c r="E29" s="901" t="s">
        <v>747</v>
      </c>
      <c r="F29" s="902" t="s">
        <v>167</v>
      </c>
      <c r="G29" s="900" t="s">
        <v>748</v>
      </c>
      <c r="H29" s="1110"/>
      <c r="I29" s="990"/>
      <c r="J29" s="990"/>
      <c r="K29" s="991">
        <f>I29*J29</f>
        <v>0</v>
      </c>
      <c r="L29" s="990"/>
      <c r="M29" s="990"/>
      <c r="N29" s="991">
        <f>L29*M29</f>
        <v>0</v>
      </c>
      <c r="O29" s="992"/>
      <c r="P29" s="990"/>
      <c r="Q29" s="992"/>
      <c r="R29" s="904"/>
      <c r="S29" s="905">
        <f t="shared" si="1"/>
        <v>0</v>
      </c>
      <c r="T29" s="935" t="s">
        <v>730</v>
      </c>
    </row>
    <row r="30" spans="2:20" s="431" customFormat="1" ht="56.25" x14ac:dyDescent="0.25">
      <c r="B30" s="919"/>
      <c r="C30" s="937" t="s">
        <v>749</v>
      </c>
      <c r="D30" s="900"/>
      <c r="E30" s="901" t="s">
        <v>750</v>
      </c>
      <c r="F30" s="902" t="s">
        <v>167</v>
      </c>
      <c r="G30" s="900" t="s">
        <v>161</v>
      </c>
      <c r="H30" s="1110"/>
      <c r="I30" s="990"/>
      <c r="J30" s="990"/>
      <c r="K30" s="991">
        <f>I30*J30</f>
        <v>0</v>
      </c>
      <c r="L30" s="990"/>
      <c r="M30" s="990"/>
      <c r="N30" s="991">
        <f>L30*M30</f>
        <v>0</v>
      </c>
      <c r="O30" s="992"/>
      <c r="P30" s="990"/>
      <c r="Q30" s="992"/>
      <c r="R30" s="904"/>
      <c r="S30" s="905">
        <f>IF(F30="na","",H30*R30)</f>
        <v>0</v>
      </c>
      <c r="T30" s="935" t="s">
        <v>730</v>
      </c>
    </row>
    <row r="31" spans="2:20" ht="15" customHeight="1" x14ac:dyDescent="0.2">
      <c r="B31" s="1591" t="s">
        <v>751</v>
      </c>
      <c r="C31" s="1592"/>
      <c r="D31" s="1592"/>
      <c r="E31" s="1592"/>
      <c r="F31" s="1595" t="s">
        <v>154</v>
      </c>
      <c r="G31" s="1595"/>
      <c r="H31" s="1595"/>
      <c r="I31" s="1595"/>
      <c r="J31" s="1595"/>
      <c r="K31" s="1595"/>
      <c r="L31" s="1595"/>
      <c r="M31" s="1595"/>
      <c r="N31" s="1595"/>
      <c r="O31" s="1595"/>
      <c r="P31" s="1595"/>
      <c r="Q31" s="1595"/>
      <c r="R31" s="1595"/>
      <c r="S31" s="938">
        <f ca="1">S6+S9+S12+S15+S18+S21+S25</f>
        <v>0</v>
      </c>
      <c r="T31" s="936"/>
    </row>
    <row r="32" spans="2:20" ht="13.5" x14ac:dyDescent="0.2">
      <c r="B32" s="1593"/>
      <c r="C32" s="1594"/>
      <c r="D32" s="1594"/>
      <c r="E32" s="1594"/>
      <c r="F32" s="1595" t="s">
        <v>156</v>
      </c>
      <c r="G32" s="1595"/>
      <c r="H32" s="1595"/>
      <c r="I32" s="1595"/>
      <c r="J32" s="1595"/>
      <c r="K32" s="1595"/>
      <c r="L32" s="1595"/>
      <c r="M32" s="1595"/>
      <c r="N32" s="1595"/>
      <c r="O32" s="1595"/>
      <c r="P32" s="1595"/>
      <c r="Q32" s="1595"/>
      <c r="R32" s="1595"/>
      <c r="S32" s="938">
        <f ca="1">S7+S10+S13+S16+S19+S22+S26</f>
        <v>0</v>
      </c>
      <c r="T32" s="936"/>
    </row>
  </sheetData>
  <mergeCells count="38">
    <mergeCell ref="B31:E32"/>
    <mergeCell ref="F31:R31"/>
    <mergeCell ref="F32:R32"/>
    <mergeCell ref="F6:R6"/>
    <mergeCell ref="F7:R7"/>
    <mergeCell ref="F9:R9"/>
    <mergeCell ref="F10:R10"/>
    <mergeCell ref="F12:R12"/>
    <mergeCell ref="F13:R13"/>
    <mergeCell ref="B6:E7"/>
    <mergeCell ref="B9:E10"/>
    <mergeCell ref="B12:E13"/>
    <mergeCell ref="B15:E16"/>
    <mergeCell ref="B18:E19"/>
    <mergeCell ref="B21:E22"/>
    <mergeCell ref="F25:R25"/>
    <mergeCell ref="F26:R26"/>
    <mergeCell ref="B2:T2"/>
    <mergeCell ref="F16:R16"/>
    <mergeCell ref="F15:R15"/>
    <mergeCell ref="F18:R18"/>
    <mergeCell ref="F19:R19"/>
    <mergeCell ref="F21:R21"/>
    <mergeCell ref="F22:R22"/>
    <mergeCell ref="B25:E26"/>
    <mergeCell ref="B4:B5"/>
    <mergeCell ref="C4:C5"/>
    <mergeCell ref="D4:D5"/>
    <mergeCell ref="E4:E5"/>
    <mergeCell ref="F4:F5"/>
    <mergeCell ref="G4:G5"/>
    <mergeCell ref="H4:H5"/>
    <mergeCell ref="T4:T5"/>
    <mergeCell ref="I4:K4"/>
    <mergeCell ref="L4:O4"/>
    <mergeCell ref="P4:Q4"/>
    <mergeCell ref="R4:R5"/>
    <mergeCell ref="S4:S5"/>
  </mergeCells>
  <dataValidations count="2">
    <dataValidation type="list" allowBlank="1" showInputMessage="1" showErrorMessage="1" sqref="F8 F11 F27:G30 F17 F14 F23:F24 F20" xr:uid="{F262DA1B-5D24-47C6-8D85-F9C836261A61}">
      <formula1>"Mandatory,Optional,NA"</formula1>
    </dataValidation>
    <dataValidation type="decimal" operator="greaterThanOrEqual" allowBlank="1" showInputMessage="1" showErrorMessage="1" sqref="P8 I8:J8 L8:M8 P11 I11:J11 L11:M11 P14 I14:J14 L14:M14 P17 I17:J17 L17:M17 P20 I20:J20 L20:M20 P23:P24 I23:J24 L23:M24 P27:P30 I27:J30 L27:M30" xr:uid="{7826D49F-0408-4B31-B897-174E82B7529E}">
      <formula1>0</formula1>
    </dataValidation>
  </dataValidations>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CE70D-B3E9-404E-81C8-618197E040AA}">
  <sheetPr>
    <tabColor rgb="FFFFFF00"/>
  </sheetPr>
  <dimension ref="B2:K14"/>
  <sheetViews>
    <sheetView showGridLines="0" topLeftCell="A3" zoomScale="90" zoomScaleNormal="90" zoomScaleSheetLayoutView="90" workbookViewId="0">
      <selection activeCell="E14" sqref="E14"/>
    </sheetView>
  </sheetViews>
  <sheetFormatPr defaultColWidth="11.5703125" defaultRowHeight="12.75" x14ac:dyDescent="0.2"/>
  <cols>
    <col min="1" max="1" width="1.28515625" style="135" customWidth="1"/>
    <col min="2" max="2" width="23.42578125" style="135" customWidth="1"/>
    <col min="3" max="3" width="36" style="149" customWidth="1"/>
    <col min="4" max="4" width="16.5703125" style="149" bestFit="1" customWidth="1"/>
    <col min="5" max="5" width="94" style="135" customWidth="1"/>
    <col min="6" max="6" width="15.7109375" style="149" bestFit="1" customWidth="1"/>
    <col min="7" max="7" width="16.28515625" style="149" customWidth="1"/>
    <col min="8" max="8" width="15.7109375" style="135" bestFit="1" customWidth="1"/>
    <col min="9" max="16384" width="11.5703125" style="135"/>
  </cols>
  <sheetData>
    <row r="2" spans="2:11" ht="15.75" x14ac:dyDescent="0.2">
      <c r="B2" s="124"/>
      <c r="C2" s="20"/>
      <c r="D2" s="20"/>
      <c r="E2" s="21" t="s">
        <v>752</v>
      </c>
      <c r="F2" s="23"/>
      <c r="G2" s="22"/>
      <c r="H2" s="22"/>
      <c r="I2" s="22"/>
      <c r="J2" s="22"/>
      <c r="K2" s="22"/>
    </row>
    <row r="3" spans="2:11" ht="15.75" thickBot="1" x14ac:dyDescent="0.25">
      <c r="B3" s="121"/>
      <c r="C3" s="26"/>
      <c r="D3" s="26"/>
      <c r="E3" s="28"/>
      <c r="F3" s="30"/>
      <c r="G3" s="29"/>
      <c r="H3" s="29"/>
    </row>
    <row r="4" spans="2:11" s="93" customFormat="1" ht="24.75" customHeight="1" x14ac:dyDescent="0.25">
      <c r="B4" s="154" t="s">
        <v>186</v>
      </c>
      <c r="C4" s="32" t="s">
        <v>136</v>
      </c>
      <c r="D4" s="32" t="s">
        <v>137</v>
      </c>
      <c r="E4" s="32" t="s">
        <v>187</v>
      </c>
      <c r="F4" s="90" t="s">
        <v>139</v>
      </c>
      <c r="G4" s="33" t="s">
        <v>140</v>
      </c>
      <c r="H4" s="91" t="s">
        <v>141</v>
      </c>
      <c r="I4" s="91" t="s">
        <v>145</v>
      </c>
      <c r="J4" s="91" t="s">
        <v>146</v>
      </c>
      <c r="K4" s="170" t="s">
        <v>147</v>
      </c>
    </row>
    <row r="5" spans="2:11" s="136" customFormat="1" ht="14.25" customHeight="1" collapsed="1" x14ac:dyDescent="0.2">
      <c r="B5" s="137"/>
      <c r="C5" s="138"/>
      <c r="D5" s="128"/>
      <c r="E5" s="151" t="s">
        <v>752</v>
      </c>
      <c r="F5" s="115" t="s">
        <v>154</v>
      </c>
      <c r="G5" s="116"/>
      <c r="H5" s="117"/>
      <c r="I5" s="117"/>
      <c r="J5" s="94">
        <f>SUMIF(F7:F14,"Mandatory",J7:J14)</f>
        <v>0</v>
      </c>
      <c r="K5" s="94"/>
    </row>
    <row r="6" spans="2:11" s="136" customFormat="1" ht="14.25" customHeight="1" x14ac:dyDescent="0.2">
      <c r="B6" s="137"/>
      <c r="C6" s="138"/>
      <c r="D6" s="158"/>
      <c r="E6" s="159"/>
      <c r="F6" s="118" t="s">
        <v>156</v>
      </c>
      <c r="G6" s="119"/>
      <c r="H6" s="120"/>
      <c r="I6" s="120"/>
      <c r="J6" s="94">
        <f>SUMIF(F7:F14,"Option",J7:J14)</f>
        <v>0</v>
      </c>
      <c r="K6" s="95"/>
    </row>
    <row r="7" spans="2:11" s="315" customFormat="1" ht="25.5" x14ac:dyDescent="0.2">
      <c r="B7" s="316"/>
      <c r="C7" s="317" t="s">
        <v>753</v>
      </c>
      <c r="D7" s="318"/>
      <c r="E7" s="318" t="s">
        <v>754</v>
      </c>
      <c r="F7" s="318" t="s">
        <v>160</v>
      </c>
      <c r="G7" s="318"/>
      <c r="H7" s="318"/>
      <c r="I7" s="316"/>
      <c r="J7" s="316">
        <f>IF(Tabella16678[[#This Row],[SCOPE]]="NA","",Tabella16678[[#This Row],[Quantity]]*Tabella16678[[#This Row],[Unit Price]])</f>
        <v>0</v>
      </c>
      <c r="K7" s="316"/>
    </row>
    <row r="8" spans="2:11" ht="25.5" x14ac:dyDescent="0.2">
      <c r="B8" s="146"/>
      <c r="C8" s="255" t="s">
        <v>755</v>
      </c>
      <c r="D8" s="139"/>
      <c r="E8" s="1169" t="s">
        <v>756</v>
      </c>
      <c r="F8" s="139" t="s">
        <v>160</v>
      </c>
      <c r="G8" s="139"/>
      <c r="H8" s="139"/>
      <c r="I8" s="146"/>
      <c r="J8" s="146">
        <f>IF(F8="NA","",H8*I8)</f>
        <v>0</v>
      </c>
      <c r="K8" s="146"/>
    </row>
    <row r="9" spans="2:11" ht="25.5" x14ac:dyDescent="0.2">
      <c r="B9" s="146"/>
      <c r="C9" s="255" t="s">
        <v>248</v>
      </c>
      <c r="D9" s="139"/>
      <c r="E9" s="1169" t="s">
        <v>757</v>
      </c>
      <c r="F9" s="139" t="s">
        <v>160</v>
      </c>
      <c r="G9" s="139"/>
      <c r="H9" s="139"/>
      <c r="I9" s="146"/>
      <c r="J9" s="146">
        <f t="shared" ref="J9:J14" si="0">IF(F9="NA","",H9*I9)</f>
        <v>0</v>
      </c>
      <c r="K9" s="146"/>
    </row>
    <row r="10" spans="2:11" ht="25.5" x14ac:dyDescent="0.2">
      <c r="B10" s="146"/>
      <c r="C10" s="255" t="s">
        <v>758</v>
      </c>
      <c r="D10" s="139"/>
      <c r="E10" s="842" t="s">
        <v>759</v>
      </c>
      <c r="F10" s="139" t="s">
        <v>160</v>
      </c>
      <c r="G10" s="139"/>
      <c r="H10" s="139"/>
      <c r="I10" s="146"/>
      <c r="J10" s="146">
        <f t="shared" si="0"/>
        <v>0</v>
      </c>
      <c r="K10" s="146"/>
    </row>
    <row r="11" spans="2:11" ht="25.5" x14ac:dyDescent="0.2">
      <c r="B11" s="146"/>
      <c r="C11" s="255" t="s">
        <v>760</v>
      </c>
      <c r="D11" s="139"/>
      <c r="E11" s="139" t="s">
        <v>761</v>
      </c>
      <c r="F11" s="139" t="s">
        <v>160</v>
      </c>
      <c r="G11" s="139"/>
      <c r="H11" s="139"/>
      <c r="I11" s="146"/>
      <c r="J11" s="146">
        <f t="shared" si="0"/>
        <v>0</v>
      </c>
      <c r="K11" s="146"/>
    </row>
    <row r="12" spans="2:11" ht="25.5" x14ac:dyDescent="0.2">
      <c r="B12" s="146"/>
      <c r="C12" s="255" t="s">
        <v>762</v>
      </c>
      <c r="D12" s="139"/>
      <c r="E12" s="843" t="s">
        <v>763</v>
      </c>
      <c r="F12" s="139" t="s">
        <v>160</v>
      </c>
      <c r="G12" s="139"/>
      <c r="H12" s="139"/>
      <c r="I12" s="146"/>
      <c r="J12" s="146">
        <f t="shared" si="0"/>
        <v>0</v>
      </c>
      <c r="K12" s="146"/>
    </row>
    <row r="13" spans="2:11" ht="25.5" x14ac:dyDescent="0.2">
      <c r="B13" s="146"/>
      <c r="C13" s="840" t="s">
        <v>764</v>
      </c>
      <c r="D13" s="841"/>
      <c r="E13" s="959" t="s">
        <v>765</v>
      </c>
      <c r="F13" s="139" t="s">
        <v>160</v>
      </c>
      <c r="G13" s="139"/>
      <c r="H13" s="139"/>
      <c r="I13" s="146"/>
      <c r="J13" s="146">
        <f t="shared" si="0"/>
        <v>0</v>
      </c>
      <c r="K13" s="146"/>
    </row>
    <row r="14" spans="2:11" ht="25.5" x14ac:dyDescent="0.2">
      <c r="B14" s="146"/>
      <c r="C14" s="255" t="s">
        <v>766</v>
      </c>
      <c r="D14" s="139"/>
      <c r="E14" s="1170" t="s">
        <v>767</v>
      </c>
      <c r="F14" s="139" t="s">
        <v>160</v>
      </c>
      <c r="G14" s="139"/>
      <c r="H14" s="139"/>
      <c r="I14" s="146"/>
      <c r="J14" s="146">
        <f t="shared" si="0"/>
        <v>0</v>
      </c>
      <c r="K14" s="146"/>
    </row>
  </sheetData>
  <dataValidations count="1">
    <dataValidation type="list" allowBlank="1" showInputMessage="1" showErrorMessage="1" sqref="F5:F14" xr:uid="{3599748C-03C8-486B-A9F1-F84F17D6D1E8}">
      <formula1>"Mandatory,Optional,NA"</formula1>
    </dataValidation>
  </dataValidations>
  <pageMargins left="0.75" right="0.75" top="1" bottom="1" header="0" footer="0"/>
  <pageSetup paperSize="9" orientation="portrait" r:id="rId1"/>
  <headerFooter alignWithMargins="0">
    <oddHeader>&amp;C&amp;"Arial"&amp;8&amp;K000000INTERNAL&amp;1#</oddHeader>
  </headerFooter>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F2709-E002-4D13-B02B-2481117FF5F7}">
  <sheetPr>
    <tabColor rgb="FF00B050"/>
  </sheetPr>
  <dimension ref="B2:V249"/>
  <sheetViews>
    <sheetView topLeftCell="C1" zoomScale="70" zoomScaleNormal="70" workbookViewId="0">
      <selection activeCell="C220" sqref="C220"/>
    </sheetView>
  </sheetViews>
  <sheetFormatPr defaultColWidth="9.28515625" defaultRowHeight="15" customHeight="1" x14ac:dyDescent="0.25"/>
  <cols>
    <col min="1" max="1" width="2.28515625" style="264" customWidth="1"/>
    <col min="2" max="2" width="10.42578125" style="259" customWidth="1"/>
    <col min="3" max="3" width="42.28515625" style="541" customWidth="1"/>
    <col min="4" max="4" width="35.28515625" style="542" customWidth="1"/>
    <col min="5" max="5" width="64.7109375" style="541" customWidth="1"/>
    <col min="6" max="6" width="11.7109375" style="542" bestFit="1" customWidth="1"/>
    <col min="7" max="7" width="21.28515625" style="259" bestFit="1" customWidth="1"/>
    <col min="8" max="17" width="9.28515625" style="1104" customWidth="1"/>
    <col min="18" max="18" width="12.5703125" style="264" customWidth="1"/>
    <col min="19" max="19" width="14" style="1063" customWidth="1"/>
    <col min="20" max="20" width="39.7109375" style="284" customWidth="1"/>
    <col min="23" max="16384" width="9.28515625" style="264"/>
  </cols>
  <sheetData>
    <row r="2" spans="2:20" s="171" customFormat="1" ht="15" customHeight="1" x14ac:dyDescent="0.25">
      <c r="B2" s="124"/>
      <c r="C2" s="124"/>
      <c r="D2" s="702"/>
      <c r="E2" s="703" t="s">
        <v>335</v>
      </c>
      <c r="F2" s="703"/>
      <c r="G2" s="21"/>
      <c r="H2" s="1098"/>
      <c r="I2" s="1098"/>
      <c r="J2" s="1098"/>
      <c r="K2" s="1098"/>
      <c r="L2" s="1098"/>
      <c r="M2" s="1098"/>
      <c r="N2" s="1098"/>
      <c r="O2" s="1098"/>
      <c r="P2" s="1098"/>
      <c r="Q2" s="1098"/>
      <c r="R2" s="704"/>
      <c r="S2" s="1126"/>
      <c r="T2" s="704"/>
    </row>
    <row r="3" spans="2:20" s="259" customFormat="1" ht="15" customHeight="1" thickBot="1" x14ac:dyDescent="0.25">
      <c r="B3" s="705"/>
      <c r="C3" s="699"/>
      <c r="D3" s="700"/>
      <c r="E3" s="122"/>
      <c r="F3" s="944"/>
      <c r="G3" s="706"/>
      <c r="H3" s="1099"/>
      <c r="I3" s="1097"/>
      <c r="J3" s="1097"/>
      <c r="K3" s="1097"/>
      <c r="L3" s="1097"/>
      <c r="M3" s="1097"/>
      <c r="N3" s="1097"/>
      <c r="O3" s="1097"/>
      <c r="P3" s="1097"/>
      <c r="Q3" s="1097"/>
      <c r="R3" s="30"/>
      <c r="S3" s="17"/>
      <c r="T3" s="260"/>
    </row>
    <row r="4" spans="2:20" s="259" customFormat="1" ht="15" customHeight="1" x14ac:dyDescent="0.25">
      <c r="B4" s="1540" t="s">
        <v>186</v>
      </c>
      <c r="C4" s="1540" t="s">
        <v>136</v>
      </c>
      <c r="D4" s="1540" t="s">
        <v>137</v>
      </c>
      <c r="E4" s="1540" t="s">
        <v>187</v>
      </c>
      <c r="F4" s="1546" t="s">
        <v>139</v>
      </c>
      <c r="G4" s="1524" t="s">
        <v>140</v>
      </c>
      <c r="H4" s="1524" t="s">
        <v>141</v>
      </c>
      <c r="I4" s="1528" t="s">
        <v>142</v>
      </c>
      <c r="J4" s="1528"/>
      <c r="K4" s="1528"/>
      <c r="L4" s="1528" t="s">
        <v>143</v>
      </c>
      <c r="M4" s="1528"/>
      <c r="N4" s="1528"/>
      <c r="O4" s="1528"/>
      <c r="P4" s="1528" t="s">
        <v>144</v>
      </c>
      <c r="Q4" s="1528"/>
      <c r="R4" s="1524" t="s">
        <v>145</v>
      </c>
      <c r="S4" s="1524" t="s">
        <v>146</v>
      </c>
      <c r="T4" s="1540" t="s">
        <v>147</v>
      </c>
    </row>
    <row r="5" spans="2:20" ht="23.25" customHeight="1" x14ac:dyDescent="0.25">
      <c r="B5" s="1541"/>
      <c r="C5" s="1541"/>
      <c r="D5" s="1541"/>
      <c r="E5" s="1541"/>
      <c r="F5" s="1547"/>
      <c r="G5" s="1525"/>
      <c r="H5" s="1525"/>
      <c r="I5" s="983" t="s">
        <v>148</v>
      </c>
      <c r="J5" s="983" t="s">
        <v>149</v>
      </c>
      <c r="K5" s="983" t="s">
        <v>150</v>
      </c>
      <c r="L5" s="983" t="s">
        <v>148</v>
      </c>
      <c r="M5" s="983" t="s">
        <v>149</v>
      </c>
      <c r="N5" s="983" t="s">
        <v>150</v>
      </c>
      <c r="O5" s="983" t="s">
        <v>151</v>
      </c>
      <c r="P5" s="983" t="s">
        <v>150</v>
      </c>
      <c r="Q5" s="983" t="s">
        <v>152</v>
      </c>
      <c r="R5" s="1525"/>
      <c r="S5" s="1525"/>
      <c r="T5" s="1541"/>
    </row>
    <row r="6" spans="2:20" ht="15" customHeight="1" x14ac:dyDescent="0.25">
      <c r="B6" s="1608" t="s">
        <v>768</v>
      </c>
      <c r="C6" s="1608"/>
      <c r="D6" s="1608"/>
      <c r="E6" s="1608"/>
      <c r="F6" s="1609" t="s">
        <v>154</v>
      </c>
      <c r="G6" s="1609"/>
      <c r="H6" s="1609"/>
      <c r="I6" s="1609"/>
      <c r="J6" s="1609"/>
      <c r="K6" s="1609"/>
      <c r="L6" s="1609"/>
      <c r="M6" s="1609"/>
      <c r="N6" s="1609"/>
      <c r="O6" s="1609"/>
      <c r="P6" s="1609"/>
      <c r="Q6" s="1609"/>
      <c r="R6" s="1609"/>
      <c r="S6" s="863">
        <f>SUMIFS(S12:S47,F12:F47,"Mandatory",E12:E47,"=*Supply")</f>
        <v>0</v>
      </c>
      <c r="T6" s="1221"/>
    </row>
    <row r="7" spans="2:20" s="275" customFormat="1" ht="15" customHeight="1" x14ac:dyDescent="0.25">
      <c r="B7" s="1608"/>
      <c r="C7" s="1608"/>
      <c r="D7" s="1608"/>
      <c r="E7" s="1608"/>
      <c r="F7" s="1609" t="s">
        <v>156</v>
      </c>
      <c r="G7" s="1609"/>
      <c r="H7" s="1609"/>
      <c r="I7" s="1609"/>
      <c r="J7" s="1609"/>
      <c r="K7" s="1609"/>
      <c r="L7" s="1609"/>
      <c r="M7" s="1609"/>
      <c r="N7" s="1609"/>
      <c r="O7" s="1609"/>
      <c r="P7" s="1609"/>
      <c r="Q7" s="1609"/>
      <c r="R7" s="1609"/>
      <c r="S7" s="863">
        <f>SUMIFS(S12:S47,F12:F47,"Optional",E12:E47,"=*Supply")</f>
        <v>0</v>
      </c>
      <c r="T7" s="1221"/>
    </row>
    <row r="8" spans="2:20" ht="15" customHeight="1" x14ac:dyDescent="0.25">
      <c r="B8" s="1608" t="s">
        <v>769</v>
      </c>
      <c r="C8" s="1608"/>
      <c r="D8" s="1608"/>
      <c r="E8" s="1608"/>
      <c r="F8" s="1609" t="s">
        <v>154</v>
      </c>
      <c r="G8" s="1609"/>
      <c r="H8" s="1609"/>
      <c r="I8" s="1609"/>
      <c r="J8" s="1609"/>
      <c r="K8" s="1609"/>
      <c r="L8" s="1609"/>
      <c r="M8" s="1609"/>
      <c r="N8" s="1609"/>
      <c r="O8" s="1609"/>
      <c r="P8" s="1609"/>
      <c r="Q8" s="1609"/>
      <c r="R8" s="1609"/>
      <c r="S8" s="863">
        <f>SUMIFS(S12:S47,F12:F47,"Mandatory",E12:E47,"=*Installation*")</f>
        <v>0</v>
      </c>
      <c r="T8" s="1221"/>
    </row>
    <row r="9" spans="2:20" s="275" customFormat="1" ht="15" customHeight="1" x14ac:dyDescent="0.25">
      <c r="B9" s="1608"/>
      <c r="C9" s="1608"/>
      <c r="D9" s="1608"/>
      <c r="E9" s="1608"/>
      <c r="F9" s="1609" t="s">
        <v>156</v>
      </c>
      <c r="G9" s="1609"/>
      <c r="H9" s="1609"/>
      <c r="I9" s="1609"/>
      <c r="J9" s="1609"/>
      <c r="K9" s="1609"/>
      <c r="L9" s="1609"/>
      <c r="M9" s="1609"/>
      <c r="N9" s="1609"/>
      <c r="O9" s="1609"/>
      <c r="P9" s="1609"/>
      <c r="Q9" s="1609"/>
      <c r="R9" s="1609"/>
      <c r="S9" s="863">
        <f>SUMIFS(S12:S47,F12:F47,"Optional",E12:E47,"=*Installation*")</f>
        <v>0</v>
      </c>
      <c r="T9" s="1221"/>
    </row>
    <row r="10" spans="2:20" ht="15" customHeight="1" x14ac:dyDescent="0.25">
      <c r="B10" s="1608" t="s">
        <v>770</v>
      </c>
      <c r="C10" s="1608"/>
      <c r="D10" s="1608"/>
      <c r="E10" s="1608"/>
      <c r="F10" s="1609" t="s">
        <v>154</v>
      </c>
      <c r="G10" s="1609"/>
      <c r="H10" s="1609"/>
      <c r="I10" s="1609"/>
      <c r="J10" s="1609"/>
      <c r="K10" s="1609"/>
      <c r="L10" s="1609"/>
      <c r="M10" s="1609"/>
      <c r="N10" s="1609"/>
      <c r="O10" s="1609"/>
      <c r="P10" s="1609"/>
      <c r="Q10" s="1609"/>
      <c r="R10" s="1609"/>
      <c r="S10" s="863">
        <f>SUMIFS(S12:S47,F12:F47,"Mandatory",E12:E47,"=*Test")</f>
        <v>0</v>
      </c>
      <c r="T10" s="1221"/>
    </row>
    <row r="11" spans="2:20" s="275" customFormat="1" ht="15" customHeight="1" x14ac:dyDescent="0.25">
      <c r="B11" s="1608"/>
      <c r="C11" s="1608"/>
      <c r="D11" s="1608"/>
      <c r="E11" s="1608"/>
      <c r="F11" s="1609" t="s">
        <v>156</v>
      </c>
      <c r="G11" s="1609"/>
      <c r="H11" s="1609"/>
      <c r="I11" s="1609"/>
      <c r="J11" s="1609"/>
      <c r="K11" s="1609"/>
      <c r="L11" s="1609"/>
      <c r="M11" s="1609"/>
      <c r="N11" s="1609"/>
      <c r="O11" s="1609"/>
      <c r="P11" s="1609"/>
      <c r="Q11" s="1609"/>
      <c r="R11" s="1609"/>
      <c r="S11" s="863">
        <f>SUMIFS(S12:S47,F12:F47,"Optional",E12:E47,"=*Test")</f>
        <v>0</v>
      </c>
      <c r="T11" s="1221"/>
    </row>
    <row r="12" spans="2:20" s="431" customFormat="1" ht="18" customHeight="1" x14ac:dyDescent="0.25">
      <c r="B12" s="945"/>
      <c r="C12" s="928"/>
      <c r="D12" s="946" t="s">
        <v>341</v>
      </c>
      <c r="E12" s="928" t="s">
        <v>342</v>
      </c>
      <c r="F12" s="947"/>
      <c r="G12" s="947"/>
      <c r="H12" s="1100"/>
      <c r="I12" s="1100"/>
      <c r="J12" s="1100"/>
      <c r="K12" s="1100"/>
      <c r="L12" s="1100"/>
      <c r="M12" s="1100"/>
      <c r="N12" s="1100"/>
      <c r="O12" s="1100"/>
      <c r="P12" s="1100"/>
      <c r="Q12" s="1100"/>
      <c r="R12" s="947"/>
      <c r="S12" s="1127"/>
      <c r="T12" s="948"/>
    </row>
    <row r="13" spans="2:20" s="431" customFormat="1" ht="89.25" x14ac:dyDescent="0.25">
      <c r="B13" s="919"/>
      <c r="C13" s="98" t="str">
        <f>CONCATENATE('Reference documents'!B15,"
PPP.PVP.CBL CABLESPPP.
PVP.CBL.01 POWER MV (with all sub-section)
PPP.PSS.ENG.02.003.02 MV Cables
PPP.PVP.DIN.07.008 Grounding Method MV Cables")</f>
        <v>GRE.EEC.S.21.IT.P.18371.00.127.00 Technical Specification
PPP.PVP.CBL CABLESPPP.
PVP.CBL.01 POWER MV (with all sub-section)
PPP.PSS.ENG.02.003.02 MV Cables
PPP.PVP.DIN.07.008 Grounding Method MV Cables</v>
      </c>
      <c r="D13" s="900" t="s">
        <v>343</v>
      </c>
      <c r="E13" s="901" t="s">
        <v>344</v>
      </c>
      <c r="F13" s="902" t="s">
        <v>160</v>
      </c>
      <c r="G13" s="900" t="s">
        <v>345</v>
      </c>
      <c r="H13" s="1101">
        <v>0</v>
      </c>
      <c r="I13" s="1290"/>
      <c r="J13" s="1290"/>
      <c r="K13" s="1297">
        <f t="shared" ref="K13:K30" si="0">I13*J13</f>
        <v>0</v>
      </c>
      <c r="L13" s="1290"/>
      <c r="M13" s="1290"/>
      <c r="N13" s="1297">
        <f t="shared" ref="N13:N30" si="1">L13*M13</f>
        <v>0</v>
      </c>
      <c r="O13" s="1298"/>
      <c r="P13" s="1290"/>
      <c r="Q13" s="1298"/>
      <c r="R13" s="1291">
        <f t="shared" ref="R13:R30" si="2">P13+N13+K13</f>
        <v>0</v>
      </c>
      <c r="S13" s="1292">
        <f t="shared" ref="S13:S30" si="3">IF(F13="na","",H13*R13)</f>
        <v>0</v>
      </c>
      <c r="T13" s="935"/>
    </row>
    <row r="14" spans="2:20" s="431" customFormat="1" ht="102" x14ac:dyDescent="0.25">
      <c r="B14" s="919"/>
      <c r="C14" s="98" t="str">
        <f>CONCATENATE('Reference documents'!B15,":
PPP.PVP.DIN.05 TRENCHES AND WORKS ON CABLES
- CONSTRUCTION TECHNICAL SPECIFICATIONS
- VENDOR INSTALLATION PROCEDURE SPECIFICATIONS")</f>
        <v>GRE.EEC.S.21.IT.P.18371.00.127.00 Technical Specification:
PPP.PVP.DIN.05 TRENCHES AND WORKS ON CABLES
- CONSTRUCTION TECHNICAL SPECIFICATIONS
- VENDOR INSTALLATION PROCEDURE SPECIFICATIONS</v>
      </c>
      <c r="D14" s="900" t="s">
        <v>346</v>
      </c>
      <c r="E14" s="901" t="s">
        <v>347</v>
      </c>
      <c r="F14" s="902" t="s">
        <v>160</v>
      </c>
      <c r="G14" s="900" t="s">
        <v>345</v>
      </c>
      <c r="H14" s="1101">
        <v>0</v>
      </c>
      <c r="I14" s="1290"/>
      <c r="J14" s="1290"/>
      <c r="K14" s="1297">
        <f t="shared" si="0"/>
        <v>0</v>
      </c>
      <c r="L14" s="1290"/>
      <c r="M14" s="1290"/>
      <c r="N14" s="1297">
        <f t="shared" si="1"/>
        <v>0</v>
      </c>
      <c r="O14" s="1298"/>
      <c r="P14" s="1290"/>
      <c r="Q14" s="1298"/>
      <c r="R14" s="1291">
        <f t="shared" si="2"/>
        <v>0</v>
      </c>
      <c r="S14" s="1292">
        <f t="shared" si="3"/>
        <v>0</v>
      </c>
      <c r="T14" s="935"/>
    </row>
    <row r="15" spans="2:20" s="431" customFormat="1" ht="102" x14ac:dyDescent="0.25">
      <c r="B15" s="919"/>
      <c r="C15" s="98" t="str">
        <f>CONCATENATE('Reference documents'!B15,":
PPP.PVP.CBL CABLES
PPP.PVP.CBL.01 POWER MV (with all sub-section)
PPP.PSS.ENG.02.003.02 MV Cables
PPP.PVP.DIN.07.008 Grounding Method MV Cables")</f>
        <v>GRE.EEC.S.21.IT.P.18371.00.127.00 Technical Specification:
PPP.PVP.CBL CABLES
PPP.PVP.CBL.01 POWER MV (with all sub-section)
PPP.PSS.ENG.02.003.02 MV Cables
PPP.PVP.DIN.07.008 Grounding Method MV Cables</v>
      </c>
      <c r="D15" s="900" t="s">
        <v>348</v>
      </c>
      <c r="E15" s="901" t="s">
        <v>349</v>
      </c>
      <c r="F15" s="902" t="s">
        <v>160</v>
      </c>
      <c r="G15" s="900" t="s">
        <v>345</v>
      </c>
      <c r="H15" s="1101">
        <v>0</v>
      </c>
      <c r="I15" s="1290"/>
      <c r="J15" s="1290"/>
      <c r="K15" s="1297">
        <f t="shared" si="0"/>
        <v>0</v>
      </c>
      <c r="L15" s="1290"/>
      <c r="M15" s="1290"/>
      <c r="N15" s="1297">
        <f t="shared" si="1"/>
        <v>0</v>
      </c>
      <c r="O15" s="1298"/>
      <c r="P15" s="1290"/>
      <c r="Q15" s="1298"/>
      <c r="R15" s="1291">
        <f t="shared" si="2"/>
        <v>0</v>
      </c>
      <c r="S15" s="1292">
        <f t="shared" si="3"/>
        <v>0</v>
      </c>
      <c r="T15" s="935"/>
    </row>
    <row r="16" spans="2:20" s="431" customFormat="1" ht="102" x14ac:dyDescent="0.25">
      <c r="B16" s="919"/>
      <c r="C16" s="98" t="str">
        <f>CONCATENATE('Reference documents'!B15,":
PPP.PVP.DIN.05 TRENCHES AND WORKS ON CABLES
- CONSTRUCTION TECHNICAL SPECIFICATIONS
- VENDOR INSTALLATION PROCEDURE SPECIFICATIONS")</f>
        <v>GRE.EEC.S.21.IT.P.18371.00.127.00 Technical Specification:
PPP.PVP.DIN.05 TRENCHES AND WORKS ON CABLES
- CONSTRUCTION TECHNICAL SPECIFICATIONS
- VENDOR INSTALLATION PROCEDURE SPECIFICATIONS</v>
      </c>
      <c r="D16" s="900" t="s">
        <v>350</v>
      </c>
      <c r="E16" s="901" t="s">
        <v>351</v>
      </c>
      <c r="F16" s="902" t="s">
        <v>160</v>
      </c>
      <c r="G16" s="900" t="s">
        <v>345</v>
      </c>
      <c r="H16" s="1101">
        <v>0</v>
      </c>
      <c r="I16" s="1290"/>
      <c r="J16" s="1290"/>
      <c r="K16" s="1297">
        <f t="shared" si="0"/>
        <v>0</v>
      </c>
      <c r="L16" s="1290"/>
      <c r="M16" s="1290"/>
      <c r="N16" s="1297">
        <f t="shared" si="1"/>
        <v>0</v>
      </c>
      <c r="O16" s="1298"/>
      <c r="P16" s="1290"/>
      <c r="Q16" s="1298"/>
      <c r="R16" s="1291">
        <f t="shared" si="2"/>
        <v>0</v>
      </c>
      <c r="S16" s="1292">
        <f t="shared" si="3"/>
        <v>0</v>
      </c>
      <c r="T16" s="935"/>
    </row>
    <row r="17" spans="2:20" s="431" customFormat="1" ht="102" x14ac:dyDescent="0.25">
      <c r="B17" s="919"/>
      <c r="C17" s="98" t="str">
        <f>CONCATENATE('Reference documents'!B15,":
PPP.PVP.CBL CABLES
PPP.PVP.CBL.01 POWER MV (with all sub-section)
PPP.PSS.ENG.02.003.02 MV Cables
PPP.PVP.DIN.07.008 Grounding Method MV Cables2)")</f>
        <v>GRE.EEC.S.21.IT.P.18371.00.127.00 Technical Specification:
PPP.PVP.CBL CABLES
PPP.PVP.CBL.01 POWER MV (with all sub-section)
PPP.PSS.ENG.02.003.02 MV Cables
PPP.PVP.DIN.07.008 Grounding Method MV Cables2)</v>
      </c>
      <c r="D17" s="900" t="s">
        <v>352</v>
      </c>
      <c r="E17" s="901" t="s">
        <v>353</v>
      </c>
      <c r="F17" s="902" t="s">
        <v>160</v>
      </c>
      <c r="G17" s="900" t="s">
        <v>345</v>
      </c>
      <c r="H17" s="1101">
        <v>0</v>
      </c>
      <c r="I17" s="1290"/>
      <c r="J17" s="1290"/>
      <c r="K17" s="1297">
        <f t="shared" si="0"/>
        <v>0</v>
      </c>
      <c r="L17" s="1290"/>
      <c r="M17" s="1290"/>
      <c r="N17" s="1297">
        <f t="shared" si="1"/>
        <v>0</v>
      </c>
      <c r="O17" s="1298"/>
      <c r="P17" s="1290"/>
      <c r="Q17" s="1298"/>
      <c r="R17" s="1291">
        <f t="shared" si="2"/>
        <v>0</v>
      </c>
      <c r="S17" s="1292">
        <f t="shared" si="3"/>
        <v>0</v>
      </c>
      <c r="T17" s="935"/>
    </row>
    <row r="18" spans="2:20" s="431" customFormat="1" ht="102" x14ac:dyDescent="0.25">
      <c r="B18" s="919"/>
      <c r="C18" s="98" t="str">
        <f>CONCATENATE('Reference documents'!B15," :
PPP.PVP.DIN.05 TRENCHES AND WORKS ON CABLES
- CONSTRUCTION TECHNICAL SPECIFICATIONS
- VENDOR INSTALLATION PROCEDURE SPECIFICATIONS")</f>
        <v>GRE.EEC.S.21.IT.P.18371.00.127.00 Technical Specification :
PPP.PVP.DIN.05 TRENCHES AND WORKS ON CABLES
- CONSTRUCTION TECHNICAL SPECIFICATIONS
- VENDOR INSTALLATION PROCEDURE SPECIFICATIONS</v>
      </c>
      <c r="D18" s="900" t="s">
        <v>354</v>
      </c>
      <c r="E18" s="901" t="s">
        <v>355</v>
      </c>
      <c r="F18" s="902" t="s">
        <v>160</v>
      </c>
      <c r="G18" s="900" t="s">
        <v>345</v>
      </c>
      <c r="H18" s="1101">
        <v>0</v>
      </c>
      <c r="I18" s="1290"/>
      <c r="J18" s="1290"/>
      <c r="K18" s="1297">
        <f t="shared" si="0"/>
        <v>0</v>
      </c>
      <c r="L18" s="1290"/>
      <c r="M18" s="1290"/>
      <c r="N18" s="1297">
        <f t="shared" si="1"/>
        <v>0</v>
      </c>
      <c r="O18" s="1298"/>
      <c r="P18" s="1290"/>
      <c r="Q18" s="1298"/>
      <c r="R18" s="1291">
        <f t="shared" si="2"/>
        <v>0</v>
      </c>
      <c r="S18" s="1292">
        <f t="shared" si="3"/>
        <v>0</v>
      </c>
      <c r="T18" s="935"/>
    </row>
    <row r="19" spans="2:20" s="431" customFormat="1" ht="102" x14ac:dyDescent="0.25">
      <c r="B19" s="919"/>
      <c r="C19" s="98" t="str">
        <f>CONCATENATE('Reference documents'!B15," :
PPP.PVP.CBL CABLES
PPP.PVP.CBL.01 POWER MV (with all sub-section)
PPP.PSS.ENG.02.003.02 MV Cables
PPP.PVP.DIN.07.008 Grounding Method MV Cables")</f>
        <v>GRE.EEC.S.21.IT.P.18371.00.127.00 Technical Specification :
PPP.PVP.CBL CABLES
PPP.PVP.CBL.01 POWER MV (with all sub-section)
PPP.PSS.ENG.02.003.02 MV Cables
PPP.PVP.DIN.07.008 Grounding Method MV Cables</v>
      </c>
      <c r="D19" s="900" t="s">
        <v>356</v>
      </c>
      <c r="E19" s="901" t="s">
        <v>357</v>
      </c>
      <c r="F19" s="902" t="s">
        <v>160</v>
      </c>
      <c r="G19" s="900" t="s">
        <v>345</v>
      </c>
      <c r="H19" s="1101">
        <v>0</v>
      </c>
      <c r="I19" s="1290"/>
      <c r="J19" s="1290"/>
      <c r="K19" s="1297">
        <f t="shared" si="0"/>
        <v>0</v>
      </c>
      <c r="L19" s="1290"/>
      <c r="M19" s="1290"/>
      <c r="N19" s="1297">
        <f t="shared" si="1"/>
        <v>0</v>
      </c>
      <c r="O19" s="1298"/>
      <c r="P19" s="1290"/>
      <c r="Q19" s="1298"/>
      <c r="R19" s="1291">
        <f t="shared" si="2"/>
        <v>0</v>
      </c>
      <c r="S19" s="1292">
        <f t="shared" si="3"/>
        <v>0</v>
      </c>
      <c r="T19" s="935"/>
    </row>
    <row r="20" spans="2:20" s="431" customFormat="1" ht="102" x14ac:dyDescent="0.25">
      <c r="B20" s="919"/>
      <c r="C20" s="98" t="str">
        <f>CONCATENATE('Reference documents'!B15," :
PPP.PVP.DIN.05 TRENCHES AND WORKS ON CABLES
- CONSTRUCTION TECHNICAL SPECIFICATIONS
- VENDOR INSTALLATION PROCEDURE SPECIFICATIONS")</f>
        <v>GRE.EEC.S.21.IT.P.18371.00.127.00 Technical Specification :
PPP.PVP.DIN.05 TRENCHES AND WORKS ON CABLES
- CONSTRUCTION TECHNICAL SPECIFICATIONS
- VENDOR INSTALLATION PROCEDURE SPECIFICATIONS</v>
      </c>
      <c r="D20" s="900" t="s">
        <v>358</v>
      </c>
      <c r="E20" s="901" t="s">
        <v>359</v>
      </c>
      <c r="F20" s="902" t="s">
        <v>160</v>
      </c>
      <c r="G20" s="900" t="s">
        <v>345</v>
      </c>
      <c r="H20" s="1101">
        <v>0</v>
      </c>
      <c r="I20" s="1290"/>
      <c r="J20" s="1290"/>
      <c r="K20" s="1297">
        <f t="shared" si="0"/>
        <v>0</v>
      </c>
      <c r="L20" s="1290"/>
      <c r="M20" s="1290"/>
      <c r="N20" s="1297">
        <f t="shared" si="1"/>
        <v>0</v>
      </c>
      <c r="O20" s="1298"/>
      <c r="P20" s="1290"/>
      <c r="Q20" s="1298"/>
      <c r="R20" s="1291">
        <f t="shared" si="2"/>
        <v>0</v>
      </c>
      <c r="S20" s="1292">
        <f t="shared" si="3"/>
        <v>0</v>
      </c>
      <c r="T20" s="935"/>
    </row>
    <row r="21" spans="2:20" s="431" customFormat="1" ht="102" x14ac:dyDescent="0.25">
      <c r="B21" s="919"/>
      <c r="C21" s="98" t="str">
        <f>CONCATENATE('Reference documents'!B15," :
PPP.PVP.CBL CABLES
PPP.PVP.CBL.01 POWER MV (with all sub-section)
PPP.PSS.ENG.02.003.02 MV Cables
PPP.PVP.DIN.07.008 Grounding Method MV Cables")</f>
        <v>GRE.EEC.S.21.IT.P.18371.00.127.00 Technical Specification :
PPP.PVP.CBL CABLES
PPP.PVP.CBL.01 POWER MV (with all sub-section)
PPP.PSS.ENG.02.003.02 MV Cables
PPP.PVP.DIN.07.008 Grounding Method MV Cables</v>
      </c>
      <c r="D21" s="900" t="s">
        <v>360</v>
      </c>
      <c r="E21" s="901" t="s">
        <v>361</v>
      </c>
      <c r="F21" s="902" t="s">
        <v>160</v>
      </c>
      <c r="G21" s="900" t="s">
        <v>345</v>
      </c>
      <c r="H21" s="1101">
        <v>0</v>
      </c>
      <c r="I21" s="1290"/>
      <c r="J21" s="1290"/>
      <c r="K21" s="1297">
        <f t="shared" si="0"/>
        <v>0</v>
      </c>
      <c r="L21" s="1290"/>
      <c r="M21" s="1290"/>
      <c r="N21" s="1297">
        <f t="shared" si="1"/>
        <v>0</v>
      </c>
      <c r="O21" s="1298"/>
      <c r="P21" s="1290"/>
      <c r="Q21" s="1298"/>
      <c r="R21" s="1291">
        <f t="shared" si="2"/>
        <v>0</v>
      </c>
      <c r="S21" s="1292">
        <f t="shared" si="3"/>
        <v>0</v>
      </c>
      <c r="T21" s="935"/>
    </row>
    <row r="22" spans="2:20" s="431" customFormat="1" ht="102" x14ac:dyDescent="0.25">
      <c r="B22" s="919"/>
      <c r="C22" s="98" t="str">
        <f>CONCATENATE('Reference documents'!B15," :
PPP.PVP.DIN.05 TRENCHES AND WORKS ON CABLES
- CONSTRUCTION TECHNICAL SPECIFICATIONS
- VENDOR INSTALLATION PROCEDURE SPECIFICATIONS")</f>
        <v>GRE.EEC.S.21.IT.P.18371.00.127.00 Technical Specification :
PPP.PVP.DIN.05 TRENCHES AND WORKS ON CABLES
- CONSTRUCTION TECHNICAL SPECIFICATIONS
- VENDOR INSTALLATION PROCEDURE SPECIFICATIONS</v>
      </c>
      <c r="D22" s="900" t="s">
        <v>362</v>
      </c>
      <c r="E22" s="901" t="s">
        <v>363</v>
      </c>
      <c r="F22" s="902" t="s">
        <v>160</v>
      </c>
      <c r="G22" s="900" t="s">
        <v>345</v>
      </c>
      <c r="H22" s="1101">
        <v>0</v>
      </c>
      <c r="I22" s="1290"/>
      <c r="J22" s="1290"/>
      <c r="K22" s="1297">
        <f t="shared" si="0"/>
        <v>0</v>
      </c>
      <c r="L22" s="1290"/>
      <c r="M22" s="1290"/>
      <c r="N22" s="1297">
        <f t="shared" si="1"/>
        <v>0</v>
      </c>
      <c r="O22" s="1298"/>
      <c r="P22" s="1290"/>
      <c r="Q22" s="1298"/>
      <c r="R22" s="1291">
        <f t="shared" si="2"/>
        <v>0</v>
      </c>
      <c r="S22" s="1292">
        <f t="shared" si="3"/>
        <v>0</v>
      </c>
      <c r="T22" s="935"/>
    </row>
    <row r="23" spans="2:20" s="431" customFormat="1" ht="102" x14ac:dyDescent="0.25">
      <c r="B23" s="919"/>
      <c r="C23" s="98" t="str">
        <f>CONCATENATE('Reference documents'!B15," :
PPP.PVP.CBL CABLES
PPP.PVP.CBL.01 POWER MV (with all sub-section)
PPP.PSS.ENG.02.003.02 MV Cables
PPP.PVP.DIN.07.008 Grounding Method MV Cables")</f>
        <v>GRE.EEC.S.21.IT.P.18371.00.127.00 Technical Specification :
PPP.PVP.CBL CABLES
PPP.PVP.CBL.01 POWER MV (with all sub-section)
PPP.PSS.ENG.02.003.02 MV Cables
PPP.PVP.DIN.07.008 Grounding Method MV Cables</v>
      </c>
      <c r="D23" s="900" t="s">
        <v>364</v>
      </c>
      <c r="E23" s="901" t="s">
        <v>365</v>
      </c>
      <c r="F23" s="902" t="s">
        <v>160</v>
      </c>
      <c r="G23" s="900" t="s">
        <v>345</v>
      </c>
      <c r="H23" s="1101">
        <v>0</v>
      </c>
      <c r="I23" s="1290"/>
      <c r="J23" s="1290"/>
      <c r="K23" s="1297">
        <f t="shared" si="0"/>
        <v>0</v>
      </c>
      <c r="L23" s="1290"/>
      <c r="M23" s="1290"/>
      <c r="N23" s="1297">
        <f t="shared" si="1"/>
        <v>0</v>
      </c>
      <c r="O23" s="1298"/>
      <c r="P23" s="1290"/>
      <c r="Q23" s="1298"/>
      <c r="R23" s="1291">
        <f t="shared" si="2"/>
        <v>0</v>
      </c>
      <c r="S23" s="1292">
        <f t="shared" si="3"/>
        <v>0</v>
      </c>
      <c r="T23" s="935"/>
    </row>
    <row r="24" spans="2:20" s="431" customFormat="1" ht="102" x14ac:dyDescent="0.25">
      <c r="B24" s="919"/>
      <c r="C24" s="98" t="str">
        <f>CONCATENATE('Reference documents'!B15," :
PPP.PVP.DIN.05 TRENCHES AND WORKS ON CABLES
- CONSTRUCTION TECHNICAL SPECIFICATIONS
- VENDOR INSTALLATION PROCEDURE SPECIFICATIONS")</f>
        <v>GRE.EEC.S.21.IT.P.18371.00.127.00 Technical Specification :
PPP.PVP.DIN.05 TRENCHES AND WORKS ON CABLES
- CONSTRUCTION TECHNICAL SPECIFICATIONS
- VENDOR INSTALLATION PROCEDURE SPECIFICATIONS</v>
      </c>
      <c r="D24" s="900" t="s">
        <v>366</v>
      </c>
      <c r="E24" s="901" t="s">
        <v>367</v>
      </c>
      <c r="F24" s="902" t="s">
        <v>160</v>
      </c>
      <c r="G24" s="900" t="s">
        <v>345</v>
      </c>
      <c r="H24" s="1101">
        <v>0</v>
      </c>
      <c r="I24" s="1290"/>
      <c r="J24" s="1290"/>
      <c r="K24" s="1297">
        <f t="shared" si="0"/>
        <v>0</v>
      </c>
      <c r="L24" s="1290"/>
      <c r="M24" s="1290"/>
      <c r="N24" s="1297">
        <f t="shared" si="1"/>
        <v>0</v>
      </c>
      <c r="O24" s="1298"/>
      <c r="P24" s="1290"/>
      <c r="Q24" s="1298"/>
      <c r="R24" s="1291">
        <f t="shared" si="2"/>
        <v>0</v>
      </c>
      <c r="S24" s="1292">
        <f t="shared" si="3"/>
        <v>0</v>
      </c>
      <c r="T24" s="935"/>
    </row>
    <row r="25" spans="2:20" s="431" customFormat="1" ht="102" x14ac:dyDescent="0.25">
      <c r="B25" s="919"/>
      <c r="C25" s="98" t="str">
        <f>CONCATENATE('Reference documents'!B15," :
PPP.PVP.CBL CABLES
PPP.PVP.CBL.01 POWER MV (with all sub-section)
PPP.PSS.ENG.02.003.02 MV Cables
PPP.PVP.DIN.07.008 Grounding Method MV Cables")</f>
        <v>GRE.EEC.S.21.IT.P.18371.00.127.00 Technical Specification :
PPP.PVP.CBL CABLES
PPP.PVP.CBL.01 POWER MV (with all sub-section)
PPP.PSS.ENG.02.003.02 MV Cables
PPP.PVP.DIN.07.008 Grounding Method MV Cables</v>
      </c>
      <c r="D25" s="900" t="s">
        <v>368</v>
      </c>
      <c r="E25" s="901" t="s">
        <v>369</v>
      </c>
      <c r="F25" s="902" t="s">
        <v>160</v>
      </c>
      <c r="G25" s="900" t="s">
        <v>345</v>
      </c>
      <c r="H25" s="1101">
        <v>0</v>
      </c>
      <c r="I25" s="1290"/>
      <c r="J25" s="1290"/>
      <c r="K25" s="1297">
        <f t="shared" si="0"/>
        <v>0</v>
      </c>
      <c r="L25" s="1290"/>
      <c r="M25" s="1290"/>
      <c r="N25" s="1297">
        <f t="shared" si="1"/>
        <v>0</v>
      </c>
      <c r="O25" s="1298"/>
      <c r="P25" s="1290"/>
      <c r="Q25" s="1298"/>
      <c r="R25" s="1291">
        <f t="shared" si="2"/>
        <v>0</v>
      </c>
      <c r="S25" s="1292">
        <f t="shared" si="3"/>
        <v>0</v>
      </c>
      <c r="T25" s="935"/>
    </row>
    <row r="26" spans="2:20" s="431" customFormat="1" ht="102" x14ac:dyDescent="0.25">
      <c r="B26" s="919"/>
      <c r="C26" s="98" t="str">
        <f>CONCATENATE('Reference documents'!B15," :
PPP.PVP.DIN.05 TRENCHES AND WORKS ON CABLES
- CONSTRUCTION TECHNICAL SPECIFICATIONS
- VENDOR INSTALLATION PROCEDURE SPECIFICATIONS")</f>
        <v>GRE.EEC.S.21.IT.P.18371.00.127.00 Technical Specification :
PPP.PVP.DIN.05 TRENCHES AND WORKS ON CABLES
- CONSTRUCTION TECHNICAL SPECIFICATIONS
- VENDOR INSTALLATION PROCEDURE SPECIFICATIONS</v>
      </c>
      <c r="D26" s="900" t="s">
        <v>370</v>
      </c>
      <c r="E26" s="901" t="s">
        <v>371</v>
      </c>
      <c r="F26" s="902" t="s">
        <v>160</v>
      </c>
      <c r="G26" s="900" t="s">
        <v>345</v>
      </c>
      <c r="H26" s="1101">
        <v>0</v>
      </c>
      <c r="I26" s="1290"/>
      <c r="J26" s="1290"/>
      <c r="K26" s="1297">
        <f t="shared" si="0"/>
        <v>0</v>
      </c>
      <c r="L26" s="1290"/>
      <c r="M26" s="1290"/>
      <c r="N26" s="1297">
        <f t="shared" si="1"/>
        <v>0</v>
      </c>
      <c r="O26" s="1298"/>
      <c r="P26" s="1290"/>
      <c r="Q26" s="1298"/>
      <c r="R26" s="1291">
        <f t="shared" si="2"/>
        <v>0</v>
      </c>
      <c r="S26" s="1292">
        <f t="shared" si="3"/>
        <v>0</v>
      </c>
      <c r="T26" s="935"/>
    </row>
    <row r="27" spans="2:20" s="431" customFormat="1" ht="102" x14ac:dyDescent="0.25">
      <c r="B27" s="919"/>
      <c r="C27" s="98" t="str">
        <f>CONCATENATE('Reference documents'!B15," :
PPP.PVP.CBL CABLES
PPP.PVP.CBL.01 POWER MV (with all sub-section)
PPP.PSS.ENG.02.003.02 MV Cables
PPP.PVP.DIN.07.008 Grounding Method MV Cables")</f>
        <v>GRE.EEC.S.21.IT.P.18371.00.127.00 Technical Specification :
PPP.PVP.CBL CABLES
PPP.PVP.CBL.01 POWER MV (with all sub-section)
PPP.PSS.ENG.02.003.02 MV Cables
PPP.PVP.DIN.07.008 Grounding Method MV Cables</v>
      </c>
      <c r="D27" s="900" t="s">
        <v>372</v>
      </c>
      <c r="E27" s="901" t="s">
        <v>373</v>
      </c>
      <c r="F27" s="902" t="s">
        <v>160</v>
      </c>
      <c r="G27" s="900" t="s">
        <v>345</v>
      </c>
      <c r="H27" s="1101">
        <v>0</v>
      </c>
      <c r="I27" s="1290"/>
      <c r="J27" s="1290"/>
      <c r="K27" s="1297">
        <f t="shared" si="0"/>
        <v>0</v>
      </c>
      <c r="L27" s="1290"/>
      <c r="M27" s="1290"/>
      <c r="N27" s="1297">
        <f t="shared" si="1"/>
        <v>0</v>
      </c>
      <c r="O27" s="1298"/>
      <c r="P27" s="1290"/>
      <c r="Q27" s="1298"/>
      <c r="R27" s="1291">
        <f t="shared" si="2"/>
        <v>0</v>
      </c>
      <c r="S27" s="1292">
        <f t="shared" si="3"/>
        <v>0</v>
      </c>
      <c r="T27" s="935"/>
    </row>
    <row r="28" spans="2:20" s="431" customFormat="1" ht="102" x14ac:dyDescent="0.25">
      <c r="B28" s="919"/>
      <c r="C28" s="98" t="str">
        <f>CONCATENATE('Reference documents'!B15," :
PPP.PVP.DIN.05 TRENCHES AND WORKS ON CABLES
- CONSTRUCTION TECHNICAL SPECIFICATIONS
- VENDOR INSTALLATION PROCEDURE SPECIFICATIONS")</f>
        <v>GRE.EEC.S.21.IT.P.18371.00.127.00 Technical Specification :
PPP.PVP.DIN.05 TRENCHES AND WORKS ON CABLES
- CONSTRUCTION TECHNICAL SPECIFICATIONS
- VENDOR INSTALLATION PROCEDURE SPECIFICATIONS</v>
      </c>
      <c r="D28" s="900" t="s">
        <v>374</v>
      </c>
      <c r="E28" s="901" t="s">
        <v>375</v>
      </c>
      <c r="F28" s="902" t="s">
        <v>160</v>
      </c>
      <c r="G28" s="900" t="s">
        <v>345</v>
      </c>
      <c r="H28" s="1101">
        <v>0</v>
      </c>
      <c r="I28" s="1290"/>
      <c r="J28" s="1290"/>
      <c r="K28" s="1297">
        <f t="shared" si="0"/>
        <v>0</v>
      </c>
      <c r="L28" s="1290"/>
      <c r="M28" s="1290"/>
      <c r="N28" s="1297">
        <f t="shared" si="1"/>
        <v>0</v>
      </c>
      <c r="O28" s="1298"/>
      <c r="P28" s="1290"/>
      <c r="Q28" s="1298"/>
      <c r="R28" s="1291">
        <f t="shared" si="2"/>
        <v>0</v>
      </c>
      <c r="S28" s="1292">
        <f t="shared" si="3"/>
        <v>0</v>
      </c>
      <c r="T28" s="935"/>
    </row>
    <row r="29" spans="2:20" s="431" customFormat="1" ht="102" x14ac:dyDescent="0.25">
      <c r="B29" s="919"/>
      <c r="C29" s="98" t="str">
        <f>CONCATENATE('Reference documents'!B15," :
PPP.PVP.CBL CABLES
PPP.PVP.CBL.01 POWER MV (with all sub-section)
PPP.PSS.ENG.02.003.02 MV Cables
PPP.PVP.DIN.07.008 Grounding Method MV Cables")</f>
        <v>GRE.EEC.S.21.IT.P.18371.00.127.00 Technical Specification :
PPP.PVP.CBL CABLES
PPP.PVP.CBL.01 POWER MV (with all sub-section)
PPP.PSS.ENG.02.003.02 MV Cables
PPP.PVP.DIN.07.008 Grounding Method MV Cables</v>
      </c>
      <c r="D29" s="900" t="s">
        <v>376</v>
      </c>
      <c r="E29" s="901" t="s">
        <v>377</v>
      </c>
      <c r="F29" s="902" t="s">
        <v>160</v>
      </c>
      <c r="G29" s="900" t="s">
        <v>345</v>
      </c>
      <c r="H29" s="1101">
        <v>0</v>
      </c>
      <c r="I29" s="1290"/>
      <c r="J29" s="1290"/>
      <c r="K29" s="1297">
        <f t="shared" si="0"/>
        <v>0</v>
      </c>
      <c r="L29" s="1290"/>
      <c r="M29" s="1290"/>
      <c r="N29" s="1297">
        <f t="shared" si="1"/>
        <v>0</v>
      </c>
      <c r="O29" s="1298"/>
      <c r="P29" s="1290"/>
      <c r="Q29" s="1298"/>
      <c r="R29" s="1291">
        <f t="shared" si="2"/>
        <v>0</v>
      </c>
      <c r="S29" s="1292">
        <f t="shared" si="3"/>
        <v>0</v>
      </c>
      <c r="T29" s="935"/>
    </row>
    <row r="30" spans="2:20" s="431" customFormat="1" ht="102" x14ac:dyDescent="0.25">
      <c r="B30" s="919"/>
      <c r="C30" s="98" t="str">
        <f>CONCATENATE('Reference documents'!B15," :
PPP.PVP.DIN.05 TRENCHES AND WORKS ON CABLES
- CONSTRUCTION TECHNICAL SPECIFICATIONS
- VENDOR INSTALLATION PROCEDURE SPECIFICATIONS")</f>
        <v>GRE.EEC.S.21.IT.P.18371.00.127.00 Technical Specification :
PPP.PVP.DIN.05 TRENCHES AND WORKS ON CABLES
- CONSTRUCTION TECHNICAL SPECIFICATIONS
- VENDOR INSTALLATION PROCEDURE SPECIFICATIONS</v>
      </c>
      <c r="D30" s="900" t="s">
        <v>378</v>
      </c>
      <c r="E30" s="901" t="s">
        <v>379</v>
      </c>
      <c r="F30" s="902" t="s">
        <v>160</v>
      </c>
      <c r="G30" s="900" t="s">
        <v>345</v>
      </c>
      <c r="H30" s="1101">
        <v>0</v>
      </c>
      <c r="I30" s="1290"/>
      <c r="J30" s="1290"/>
      <c r="K30" s="1297">
        <f t="shared" si="0"/>
        <v>0</v>
      </c>
      <c r="L30" s="1290"/>
      <c r="M30" s="1290"/>
      <c r="N30" s="1297">
        <f t="shared" si="1"/>
        <v>0</v>
      </c>
      <c r="O30" s="1298"/>
      <c r="P30" s="1290"/>
      <c r="Q30" s="1298"/>
      <c r="R30" s="1291">
        <f t="shared" si="2"/>
        <v>0</v>
      </c>
      <c r="S30" s="1292">
        <f t="shared" si="3"/>
        <v>0</v>
      </c>
      <c r="T30" s="935"/>
    </row>
    <row r="31" spans="2:20" s="431" customFormat="1" ht="18" customHeight="1" x14ac:dyDescent="0.25">
      <c r="B31" s="945"/>
      <c r="C31" s="928"/>
      <c r="D31" s="946" t="s">
        <v>380</v>
      </c>
      <c r="E31" s="928" t="s">
        <v>381</v>
      </c>
      <c r="F31" s="947"/>
      <c r="G31" s="947"/>
      <c r="H31" s="1100"/>
      <c r="I31" s="1100"/>
      <c r="J31" s="1100"/>
      <c r="K31" s="1100"/>
      <c r="L31" s="1100"/>
      <c r="M31" s="1100"/>
      <c r="N31" s="1100"/>
      <c r="O31" s="1100"/>
      <c r="P31" s="1100"/>
      <c r="Q31" s="1100"/>
      <c r="R31" s="947"/>
      <c r="S31" s="1127"/>
      <c r="T31" s="948"/>
    </row>
    <row r="32" spans="2:20" s="431" customFormat="1" ht="63.75" x14ac:dyDescent="0.25">
      <c r="B32" s="919"/>
      <c r="C32" s="98" t="str">
        <f>CONCATENATE('Reference documents'!B15," 
PPP.PVP.CBL.01.002.01 Terminal
PPP.PVP.DIN.07.008 Grounding Method MV Cables")</f>
        <v>GRE.EEC.S.21.IT.P.18371.00.127.00 Technical Specification 
PPP.PVP.CBL.01.002.01 Terminal
PPP.PVP.DIN.07.008 Grounding Method MV Cables</v>
      </c>
      <c r="D32" s="900" t="s">
        <v>382</v>
      </c>
      <c r="E32" s="901" t="s">
        <v>383</v>
      </c>
      <c r="F32" s="902" t="s">
        <v>160</v>
      </c>
      <c r="G32" s="900" t="s">
        <v>141</v>
      </c>
      <c r="H32" s="1101">
        <v>0</v>
      </c>
      <c r="I32" s="1290"/>
      <c r="J32" s="1290"/>
      <c r="K32" s="1297">
        <f t="shared" ref="K32:K34" si="4">I32*J32</f>
        <v>0</v>
      </c>
      <c r="L32" s="1290"/>
      <c r="M32" s="1290"/>
      <c r="N32" s="1297">
        <f t="shared" ref="N32:N34" si="5">L32*M32</f>
        <v>0</v>
      </c>
      <c r="O32" s="1298"/>
      <c r="P32" s="1290"/>
      <c r="Q32" s="1298"/>
      <c r="R32" s="1291">
        <f t="shared" ref="R32:R34" si="6">P32+N32+K32</f>
        <v>0</v>
      </c>
      <c r="S32" s="1292">
        <f t="shared" ref="S32:S34" si="7">IF(F32="na","",H32*R32)</f>
        <v>0</v>
      </c>
      <c r="T32" s="935"/>
    </row>
    <row r="33" spans="2:20" s="431" customFormat="1" ht="63.75" x14ac:dyDescent="0.25">
      <c r="B33" s="919"/>
      <c r="C33" s="98" t="str">
        <f>CONCATENATE('Reference documents'!B15," 
PPP.PVP.CBL.01.002.01 Terminal
PPP.PVP.DIN.07.008 Grounding Method MV Cables")</f>
        <v>GRE.EEC.S.21.IT.P.18371.00.127.00 Technical Specification 
PPP.PVP.CBL.01.002.01 Terminal
PPP.PVP.DIN.07.008 Grounding Method MV Cables</v>
      </c>
      <c r="D33" s="900" t="s">
        <v>384</v>
      </c>
      <c r="E33" s="901" t="s">
        <v>385</v>
      </c>
      <c r="F33" s="902" t="s">
        <v>160</v>
      </c>
      <c r="G33" s="900" t="s">
        <v>141</v>
      </c>
      <c r="H33" s="1101">
        <v>0</v>
      </c>
      <c r="I33" s="1290"/>
      <c r="J33" s="1290"/>
      <c r="K33" s="1297">
        <f t="shared" si="4"/>
        <v>0</v>
      </c>
      <c r="L33" s="1290"/>
      <c r="M33" s="1290"/>
      <c r="N33" s="1297">
        <f t="shared" si="5"/>
        <v>0</v>
      </c>
      <c r="O33" s="1298"/>
      <c r="P33" s="1290"/>
      <c r="Q33" s="1298"/>
      <c r="R33" s="1291">
        <f t="shared" si="6"/>
        <v>0</v>
      </c>
      <c r="S33" s="1292">
        <f t="shared" si="7"/>
        <v>0</v>
      </c>
      <c r="T33" s="935"/>
    </row>
    <row r="34" spans="2:20" s="431" customFormat="1" ht="105" customHeight="1" x14ac:dyDescent="0.25">
      <c r="B34" s="919"/>
      <c r="C34" s="98" t="str">
        <f>CONCATENATE('Reference documents'!B15," :
PPP.PVP.CBL.01.002.01 Terminal
PPP.PVP.DIN.05 TRENCHES AND WORKS ON CABLES
PPP.PVP.DIN.07.008 Grounding Method MV Cables
- CONSTRUCTION TECHNICAL SPECIFICATIONS
- VENDOR INSTALLATION PROCEDURE CERTIFICATION")</f>
        <v>GRE.EEC.S.21.IT.P.18371.00.127.00 Technical Specification :
PPP.PVP.CBL.01.002.01 Terminal
PPP.PVP.DIN.05 TRENCHES AND WORKS ON CABLES
PPP.PVP.DIN.07.008 Grounding Method MV Cables
- CONSTRUCTION TECHNICAL SPECIFICATIONS
- VENDOR INSTALLATION PROCEDURE CERTIFICATION</v>
      </c>
      <c r="D34" s="900" t="s">
        <v>386</v>
      </c>
      <c r="E34" s="901" t="s">
        <v>387</v>
      </c>
      <c r="F34" s="902" t="s">
        <v>160</v>
      </c>
      <c r="G34" s="900" t="s">
        <v>141</v>
      </c>
      <c r="H34" s="1101">
        <v>0</v>
      </c>
      <c r="I34" s="1290"/>
      <c r="J34" s="1290"/>
      <c r="K34" s="1297">
        <f t="shared" si="4"/>
        <v>0</v>
      </c>
      <c r="L34" s="1290"/>
      <c r="M34" s="1290"/>
      <c r="N34" s="1297">
        <f t="shared" si="5"/>
        <v>0</v>
      </c>
      <c r="O34" s="1298"/>
      <c r="P34" s="1290"/>
      <c r="Q34" s="1298"/>
      <c r="R34" s="1291">
        <f t="shared" si="6"/>
        <v>0</v>
      </c>
      <c r="S34" s="1292">
        <f t="shared" si="7"/>
        <v>0</v>
      </c>
      <c r="T34" s="935"/>
    </row>
    <row r="35" spans="2:20" s="431" customFormat="1" ht="18" customHeight="1" x14ac:dyDescent="0.25">
      <c r="B35" s="945"/>
      <c r="C35" s="928"/>
      <c r="D35" s="946" t="s">
        <v>388</v>
      </c>
      <c r="E35" s="928" t="s">
        <v>389</v>
      </c>
      <c r="F35" s="947"/>
      <c r="G35" s="947"/>
      <c r="H35" s="1100"/>
      <c r="I35" s="1100"/>
      <c r="J35" s="1100"/>
      <c r="K35" s="1100"/>
      <c r="L35" s="1100"/>
      <c r="M35" s="1100"/>
      <c r="N35" s="1100"/>
      <c r="O35" s="1100"/>
      <c r="P35" s="1100"/>
      <c r="Q35" s="1100"/>
      <c r="R35" s="947"/>
      <c r="S35" s="1127"/>
      <c r="T35" s="948"/>
    </row>
    <row r="36" spans="2:20" s="431" customFormat="1" ht="89.25" x14ac:dyDescent="0.25">
      <c r="B36" s="919"/>
      <c r="C36" s="98" t="str">
        <f>CONCATENATE('Reference documents'!B15," :
PPP.PVP.CBL.01.002.02 Cable Joint
PPP.PVP.CBL.01.002.03 MV Y Connection Boxes
PPP.PVP.DIN.07.008 Grounding Method MV Cables")</f>
        <v>GRE.EEC.S.21.IT.P.18371.00.127.00 Technical Specification :
PPP.PVP.CBL.01.002.02 Cable Joint
PPP.PVP.CBL.01.002.03 MV Y Connection Boxes
PPP.PVP.DIN.07.008 Grounding Method MV Cables</v>
      </c>
      <c r="D36" s="900" t="s">
        <v>390</v>
      </c>
      <c r="E36" s="901" t="s">
        <v>391</v>
      </c>
      <c r="F36" s="902" t="s">
        <v>160</v>
      </c>
      <c r="G36" s="900" t="s">
        <v>141</v>
      </c>
      <c r="H36" s="1101">
        <v>0</v>
      </c>
      <c r="I36" s="1290"/>
      <c r="J36" s="1290"/>
      <c r="K36" s="1297">
        <f t="shared" ref="K36:K45" si="8">I36*J36</f>
        <v>0</v>
      </c>
      <c r="L36" s="1290"/>
      <c r="M36" s="1290"/>
      <c r="N36" s="1297">
        <f t="shared" ref="N36:N45" si="9">L36*M36</f>
        <v>0</v>
      </c>
      <c r="O36" s="1298"/>
      <c r="P36" s="1290"/>
      <c r="Q36" s="1298"/>
      <c r="R36" s="1291">
        <f t="shared" ref="R36:R45" si="10">P36+N36+K36</f>
        <v>0</v>
      </c>
      <c r="S36" s="1292">
        <f t="shared" ref="S36:S45" si="11">IF(F36="na","",H36*R36)</f>
        <v>0</v>
      </c>
      <c r="T36" s="935"/>
    </row>
    <row r="37" spans="2:20" s="431" customFormat="1" ht="89.25" x14ac:dyDescent="0.25">
      <c r="B37" s="919"/>
      <c r="C37" s="98" t="str">
        <f>CONCATENATE('Reference documents'!B15," :
PPP.PVP.CBL.01.002.02 Cable Joint
PPP.PVP.CBL.01.002.03 MV Y Connection Boxes
PPP.PVP.DIN.07.008 Grounding Method MV Cables")</f>
        <v>GRE.EEC.S.21.IT.P.18371.00.127.00 Technical Specification :
PPP.PVP.CBL.01.002.02 Cable Joint
PPP.PVP.CBL.01.002.03 MV Y Connection Boxes
PPP.PVP.DIN.07.008 Grounding Method MV Cables</v>
      </c>
      <c r="D37" s="900" t="s">
        <v>392</v>
      </c>
      <c r="E37" s="901" t="s">
        <v>393</v>
      </c>
      <c r="F37" s="902" t="s">
        <v>160</v>
      </c>
      <c r="G37" s="900" t="s">
        <v>141</v>
      </c>
      <c r="H37" s="1101">
        <v>0</v>
      </c>
      <c r="I37" s="1290"/>
      <c r="J37" s="1290"/>
      <c r="K37" s="1297">
        <f t="shared" si="8"/>
        <v>0</v>
      </c>
      <c r="L37" s="1290"/>
      <c r="M37" s="1290"/>
      <c r="N37" s="1297">
        <f t="shared" si="9"/>
        <v>0</v>
      </c>
      <c r="O37" s="1298"/>
      <c r="P37" s="1290"/>
      <c r="Q37" s="1298"/>
      <c r="R37" s="1291">
        <f t="shared" si="10"/>
        <v>0</v>
      </c>
      <c r="S37" s="1292">
        <f t="shared" si="11"/>
        <v>0</v>
      </c>
      <c r="T37" s="935"/>
    </row>
    <row r="38" spans="2:20" s="431" customFormat="1" ht="89.25" x14ac:dyDescent="0.25">
      <c r="B38" s="919"/>
      <c r="C38" s="98" t="str">
        <f>CONCATENATE('Reference documents'!B15," :
PPP.PVP.CBL.01.002.02 Cable Joint
PPP.PVP.CBL.01.002.03 MV Y Connection Boxes
PPP.PVP.DIN.07.008 Grounding Method MV Cables")</f>
        <v>GRE.EEC.S.21.IT.P.18371.00.127.00 Technical Specification :
PPP.PVP.CBL.01.002.02 Cable Joint
PPP.PVP.CBL.01.002.03 MV Y Connection Boxes
PPP.PVP.DIN.07.008 Grounding Method MV Cables</v>
      </c>
      <c r="D38" s="900" t="s">
        <v>394</v>
      </c>
      <c r="E38" s="901" t="s">
        <v>395</v>
      </c>
      <c r="F38" s="902" t="s">
        <v>160</v>
      </c>
      <c r="G38" s="900" t="s">
        <v>141</v>
      </c>
      <c r="H38" s="1101">
        <v>0</v>
      </c>
      <c r="I38" s="1290"/>
      <c r="J38" s="1290"/>
      <c r="K38" s="1297">
        <f t="shared" si="8"/>
        <v>0</v>
      </c>
      <c r="L38" s="1290"/>
      <c r="M38" s="1290"/>
      <c r="N38" s="1297">
        <f t="shared" si="9"/>
        <v>0</v>
      </c>
      <c r="O38" s="1298"/>
      <c r="P38" s="1290"/>
      <c r="Q38" s="1298"/>
      <c r="R38" s="1291">
        <f t="shared" si="10"/>
        <v>0</v>
      </c>
      <c r="S38" s="1292">
        <f t="shared" si="11"/>
        <v>0</v>
      </c>
      <c r="T38" s="935"/>
    </row>
    <row r="39" spans="2:20" s="431" customFormat="1" ht="89.25" x14ac:dyDescent="0.25">
      <c r="B39" s="919"/>
      <c r="C39" s="98" t="str">
        <f>CONCATENATE('Reference documents'!B15," :
PPP.PVP.CBL.01.002.02 Cable Joint
PPP.PVP.CBL.01.002.03 MV Y Connection Boxes
PPP.PVP.DIN.07.008 Grounding Method MV Cables")</f>
        <v>GRE.EEC.S.21.IT.P.18371.00.127.00 Technical Specification :
PPP.PVP.CBL.01.002.02 Cable Joint
PPP.PVP.CBL.01.002.03 MV Y Connection Boxes
PPP.PVP.DIN.07.008 Grounding Method MV Cables</v>
      </c>
      <c r="D39" s="900" t="s">
        <v>396</v>
      </c>
      <c r="E39" s="901" t="s">
        <v>397</v>
      </c>
      <c r="F39" s="902" t="s">
        <v>160</v>
      </c>
      <c r="G39" s="900" t="s">
        <v>141</v>
      </c>
      <c r="H39" s="1101">
        <v>0</v>
      </c>
      <c r="I39" s="1290"/>
      <c r="J39" s="1290"/>
      <c r="K39" s="1297">
        <f t="shared" si="8"/>
        <v>0</v>
      </c>
      <c r="L39" s="1290"/>
      <c r="M39" s="1290"/>
      <c r="N39" s="1297">
        <f t="shared" si="9"/>
        <v>0</v>
      </c>
      <c r="O39" s="1298"/>
      <c r="P39" s="1290"/>
      <c r="Q39" s="1298"/>
      <c r="R39" s="1291">
        <f t="shared" si="10"/>
        <v>0</v>
      </c>
      <c r="S39" s="1292">
        <f t="shared" si="11"/>
        <v>0</v>
      </c>
      <c r="T39" s="935"/>
    </row>
    <row r="40" spans="2:20" s="431" customFormat="1" ht="89.25" x14ac:dyDescent="0.25">
      <c r="B40" s="919"/>
      <c r="C40" s="98" t="str">
        <f>CONCATENATE('Reference documents'!B15," :
PPP.PVP.CBL.01.002.02 Cable Joint
PPP.PVP.CBL.01.002.03 MV Y Connection Boxes
PPP.PVP.DIN.07.008 Grounding Method MV Cables")</f>
        <v>GRE.EEC.S.21.IT.P.18371.00.127.00 Technical Specification :
PPP.PVP.CBL.01.002.02 Cable Joint
PPP.PVP.CBL.01.002.03 MV Y Connection Boxes
PPP.PVP.DIN.07.008 Grounding Method MV Cables</v>
      </c>
      <c r="D40" s="900" t="s">
        <v>398</v>
      </c>
      <c r="E40" s="901" t="s">
        <v>399</v>
      </c>
      <c r="F40" s="902" t="s">
        <v>160</v>
      </c>
      <c r="G40" s="900" t="s">
        <v>141</v>
      </c>
      <c r="H40" s="1101">
        <v>0</v>
      </c>
      <c r="I40" s="1290"/>
      <c r="J40" s="1290"/>
      <c r="K40" s="1297">
        <f t="shared" si="8"/>
        <v>0</v>
      </c>
      <c r="L40" s="1290"/>
      <c r="M40" s="1290"/>
      <c r="N40" s="1297">
        <f t="shared" si="9"/>
        <v>0</v>
      </c>
      <c r="O40" s="1298"/>
      <c r="P40" s="1290"/>
      <c r="Q40" s="1298"/>
      <c r="R40" s="1291">
        <f t="shared" si="10"/>
        <v>0</v>
      </c>
      <c r="S40" s="1292">
        <f t="shared" si="11"/>
        <v>0</v>
      </c>
      <c r="T40" s="935"/>
    </row>
    <row r="41" spans="2:20" s="431" customFormat="1" ht="89.25" x14ac:dyDescent="0.25">
      <c r="B41" s="919"/>
      <c r="C41" s="98" t="str">
        <f>CONCATENATE('Reference documents'!B15," :
PPP.PVP.CBL.01.002.02 Cable Joint
PPP.PVP.CBL.01.002.03 MV Y Connection Boxes
PPP.PVP.DIN.07.008 Grounding Method MV Cables")</f>
        <v>GRE.EEC.S.21.IT.P.18371.00.127.00 Technical Specification :
PPP.PVP.CBL.01.002.02 Cable Joint
PPP.PVP.CBL.01.002.03 MV Y Connection Boxes
PPP.PVP.DIN.07.008 Grounding Method MV Cables</v>
      </c>
      <c r="D41" s="900" t="s">
        <v>400</v>
      </c>
      <c r="E41" s="901" t="s">
        <v>401</v>
      </c>
      <c r="F41" s="902" t="s">
        <v>160</v>
      </c>
      <c r="G41" s="900" t="s">
        <v>141</v>
      </c>
      <c r="H41" s="1101">
        <v>0</v>
      </c>
      <c r="I41" s="1290"/>
      <c r="J41" s="1290"/>
      <c r="K41" s="1297">
        <f t="shared" si="8"/>
        <v>0</v>
      </c>
      <c r="L41" s="1290"/>
      <c r="M41" s="1290"/>
      <c r="N41" s="1297">
        <f t="shared" si="9"/>
        <v>0</v>
      </c>
      <c r="O41" s="1298"/>
      <c r="P41" s="1290"/>
      <c r="Q41" s="1298"/>
      <c r="R41" s="1291">
        <f t="shared" si="10"/>
        <v>0</v>
      </c>
      <c r="S41" s="1292">
        <f t="shared" si="11"/>
        <v>0</v>
      </c>
      <c r="T41" s="935"/>
    </row>
    <row r="42" spans="2:20" s="431" customFormat="1" ht="89.25" x14ac:dyDescent="0.25">
      <c r="B42" s="919"/>
      <c r="C42" s="98" t="str">
        <f>CONCATENATE('Reference documents'!B15," :
PPP.PVP.CBL.01.002.02 Cable Joint
PPP.PVP.CBL.01.002.03 MV Y Connection Boxes
PPP.PVP.DIN.07.008 Grounding Method MV Cables")</f>
        <v>GRE.EEC.S.21.IT.P.18371.00.127.00 Technical Specification :
PPP.PVP.CBL.01.002.02 Cable Joint
PPP.PVP.CBL.01.002.03 MV Y Connection Boxes
PPP.PVP.DIN.07.008 Grounding Method MV Cables</v>
      </c>
      <c r="D42" s="900" t="s">
        <v>402</v>
      </c>
      <c r="E42" s="901" t="s">
        <v>403</v>
      </c>
      <c r="F42" s="902" t="s">
        <v>160</v>
      </c>
      <c r="G42" s="900" t="s">
        <v>141</v>
      </c>
      <c r="H42" s="1101">
        <v>0</v>
      </c>
      <c r="I42" s="1290"/>
      <c r="J42" s="1290"/>
      <c r="K42" s="1297">
        <f t="shared" si="8"/>
        <v>0</v>
      </c>
      <c r="L42" s="1290"/>
      <c r="M42" s="1290"/>
      <c r="N42" s="1297">
        <f t="shared" si="9"/>
        <v>0</v>
      </c>
      <c r="O42" s="1298"/>
      <c r="P42" s="1290"/>
      <c r="Q42" s="1298"/>
      <c r="R42" s="1291">
        <f t="shared" si="10"/>
        <v>0</v>
      </c>
      <c r="S42" s="1292">
        <f t="shared" si="11"/>
        <v>0</v>
      </c>
      <c r="T42" s="935"/>
    </row>
    <row r="43" spans="2:20" s="431" customFormat="1" ht="89.25" x14ac:dyDescent="0.25">
      <c r="B43" s="919"/>
      <c r="C43" s="98" t="str">
        <f>CONCATENATE('Reference documents'!B15," :
PPP.PVP.CBL.01.002.02 Cable Joint
PPP.PVP.CBL.01.002.03 MV Y Connection Boxes
PPP.PVP.DIN.07.008 Grounding Method MV Cables")</f>
        <v>GRE.EEC.S.21.IT.P.18371.00.127.00 Technical Specification :
PPP.PVP.CBL.01.002.02 Cable Joint
PPP.PVP.CBL.01.002.03 MV Y Connection Boxes
PPP.PVP.DIN.07.008 Grounding Method MV Cables</v>
      </c>
      <c r="D43" s="900" t="s">
        <v>404</v>
      </c>
      <c r="E43" s="901" t="s">
        <v>405</v>
      </c>
      <c r="F43" s="902" t="s">
        <v>160</v>
      </c>
      <c r="G43" s="900" t="s">
        <v>141</v>
      </c>
      <c r="H43" s="1101">
        <v>0</v>
      </c>
      <c r="I43" s="1290"/>
      <c r="J43" s="1290"/>
      <c r="K43" s="1297">
        <f t="shared" si="8"/>
        <v>0</v>
      </c>
      <c r="L43" s="1290"/>
      <c r="M43" s="1290"/>
      <c r="N43" s="1297">
        <f t="shared" si="9"/>
        <v>0</v>
      </c>
      <c r="O43" s="1298"/>
      <c r="P43" s="1290"/>
      <c r="Q43" s="1298"/>
      <c r="R43" s="1291">
        <f t="shared" si="10"/>
        <v>0</v>
      </c>
      <c r="S43" s="1292">
        <f t="shared" si="11"/>
        <v>0</v>
      </c>
      <c r="T43" s="935"/>
    </row>
    <row r="44" spans="2:20" s="431" customFormat="1" ht="89.25" x14ac:dyDescent="0.25">
      <c r="B44" s="919"/>
      <c r="C44" s="98" t="str">
        <f>CONCATENATE('Reference documents'!B15," :
PPP.PVP.CBL.01.002.02 Cable Joint
PPP.PVP.CBL.01.002.03 MV Y Connection Boxes
PPP.PVP.DIN.07.008 Grounding Method MV Cables")</f>
        <v>GRE.EEC.S.21.IT.P.18371.00.127.00 Technical Specification :
PPP.PVP.CBL.01.002.02 Cable Joint
PPP.PVP.CBL.01.002.03 MV Y Connection Boxes
PPP.PVP.DIN.07.008 Grounding Method MV Cables</v>
      </c>
      <c r="D44" s="900" t="s">
        <v>406</v>
      </c>
      <c r="E44" s="901" t="s">
        <v>407</v>
      </c>
      <c r="F44" s="902" t="s">
        <v>160</v>
      </c>
      <c r="G44" s="900" t="s">
        <v>141</v>
      </c>
      <c r="H44" s="1101">
        <v>0</v>
      </c>
      <c r="I44" s="1290"/>
      <c r="J44" s="1290"/>
      <c r="K44" s="1297">
        <f t="shared" si="8"/>
        <v>0</v>
      </c>
      <c r="L44" s="1290"/>
      <c r="M44" s="1290"/>
      <c r="N44" s="1297">
        <f t="shared" si="9"/>
        <v>0</v>
      </c>
      <c r="O44" s="1298"/>
      <c r="P44" s="1290"/>
      <c r="Q44" s="1298"/>
      <c r="R44" s="1291">
        <f t="shared" si="10"/>
        <v>0</v>
      </c>
      <c r="S44" s="1292">
        <f t="shared" si="11"/>
        <v>0</v>
      </c>
      <c r="T44" s="935"/>
    </row>
    <row r="45" spans="2:20" s="431" customFormat="1" ht="89.25" x14ac:dyDescent="0.25">
      <c r="B45" s="919"/>
      <c r="C45" s="98" t="str">
        <f>CONCATENATE('Reference documents'!B15," :
PPP.PVP.CBL.01.002.02 Cable Joint
PPP.PVP.CBL.01.002.03 MV Y Connection Boxes
PPP.PVP.DIN.07.008 Grounding Method MV Cables")</f>
        <v>GRE.EEC.S.21.IT.P.18371.00.127.00 Technical Specification :
PPP.PVP.CBL.01.002.02 Cable Joint
PPP.PVP.CBL.01.002.03 MV Y Connection Boxes
PPP.PVP.DIN.07.008 Grounding Method MV Cables</v>
      </c>
      <c r="D45" s="900" t="s">
        <v>408</v>
      </c>
      <c r="E45" s="901" t="s">
        <v>409</v>
      </c>
      <c r="F45" s="902" t="s">
        <v>160</v>
      </c>
      <c r="G45" s="900" t="s">
        <v>141</v>
      </c>
      <c r="H45" s="1101">
        <v>0</v>
      </c>
      <c r="I45" s="1290"/>
      <c r="J45" s="1290"/>
      <c r="K45" s="1297">
        <f t="shared" si="8"/>
        <v>0</v>
      </c>
      <c r="L45" s="1290"/>
      <c r="M45" s="1290"/>
      <c r="N45" s="1297">
        <f t="shared" si="9"/>
        <v>0</v>
      </c>
      <c r="O45" s="1298"/>
      <c r="P45" s="1290"/>
      <c r="Q45" s="1298"/>
      <c r="R45" s="1291">
        <f t="shared" si="10"/>
        <v>0</v>
      </c>
      <c r="S45" s="1292">
        <f t="shared" si="11"/>
        <v>0</v>
      </c>
      <c r="T45" s="935"/>
    </row>
    <row r="46" spans="2:20" s="431" customFormat="1" ht="18" customHeight="1" x14ac:dyDescent="0.25">
      <c r="B46" s="945"/>
      <c r="C46" s="928"/>
      <c r="D46" s="946"/>
      <c r="E46" s="928" t="s">
        <v>771</v>
      </c>
      <c r="F46" s="947"/>
      <c r="G46" s="947"/>
      <c r="H46" s="1100"/>
      <c r="I46" s="1100"/>
      <c r="J46" s="1100"/>
      <c r="K46" s="1100"/>
      <c r="L46" s="1100"/>
      <c r="M46" s="1100"/>
      <c r="N46" s="1100"/>
      <c r="O46" s="1100"/>
      <c r="P46" s="1100"/>
      <c r="Q46" s="1100"/>
      <c r="R46" s="947"/>
      <c r="S46" s="1127"/>
      <c r="T46" s="948"/>
    </row>
    <row r="47" spans="2:20" s="431" customFormat="1" ht="76.5" x14ac:dyDescent="0.25">
      <c r="B47" s="919"/>
      <c r="C47" s="98" t="str">
        <f>CONCATENATE('Reference documents'!B15," :
PPP.PVP.CBL.01.001 AC Cables (sub-section named tests)
EGP.EEC.S.45.XX.P.00000.00.021.12 GRE.EEC.Q.45.XX.P.00000.00.078.04")</f>
        <v>GRE.EEC.S.21.IT.P.18371.00.127.00 Technical Specification :
PPP.PVP.CBL.01.001 AC Cables (sub-section named tests)
EGP.EEC.S.45.XX.P.00000.00.021.12 GRE.EEC.Q.45.XX.P.00000.00.078.04</v>
      </c>
      <c r="D47" s="1222" t="s">
        <v>772</v>
      </c>
      <c r="E47" s="901" t="s">
        <v>773</v>
      </c>
      <c r="F47" s="902" t="s">
        <v>160</v>
      </c>
      <c r="G47" s="1222" t="s">
        <v>774</v>
      </c>
      <c r="H47" s="1101">
        <v>0</v>
      </c>
      <c r="I47" s="1290"/>
      <c r="J47" s="1290"/>
      <c r="K47" s="1297">
        <f t="shared" ref="K47" si="12">I47*J47</f>
        <v>0</v>
      </c>
      <c r="L47" s="1290"/>
      <c r="M47" s="1290"/>
      <c r="N47" s="1297">
        <f t="shared" ref="N47" si="13">L47*M47</f>
        <v>0</v>
      </c>
      <c r="O47" s="1298"/>
      <c r="P47" s="1290"/>
      <c r="Q47" s="1298"/>
      <c r="R47" s="1291">
        <f t="shared" ref="R47" si="14">P47+N47+K47</f>
        <v>0</v>
      </c>
      <c r="S47" s="1292">
        <f t="shared" ref="S47" si="15">IF(F47="na","",H47*R47)</f>
        <v>0</v>
      </c>
      <c r="T47" s="935"/>
    </row>
    <row r="48" spans="2:20" ht="15" customHeight="1" x14ac:dyDescent="0.25">
      <c r="B48" s="1608" t="s">
        <v>775</v>
      </c>
      <c r="C48" s="1608"/>
      <c r="D48" s="1608"/>
      <c r="E48" s="1608"/>
      <c r="F48" s="1609" t="s">
        <v>154</v>
      </c>
      <c r="G48" s="1609"/>
      <c r="H48" s="1609"/>
      <c r="I48" s="1609"/>
      <c r="J48" s="1609"/>
      <c r="K48" s="1609"/>
      <c r="L48" s="1609"/>
      <c r="M48" s="1609"/>
      <c r="N48" s="1609"/>
      <c r="O48" s="1609"/>
      <c r="P48" s="1609"/>
      <c r="Q48" s="1609"/>
      <c r="R48" s="1609"/>
      <c r="S48" s="863">
        <f>SUMIFS(S54:S87,F54:F87,"Mandatory",E54:E87,"=*Supply")</f>
        <v>0</v>
      </c>
      <c r="T48" s="1221"/>
    </row>
    <row r="49" spans="2:20" ht="15" customHeight="1" x14ac:dyDescent="0.25">
      <c r="B49" s="1608"/>
      <c r="C49" s="1608"/>
      <c r="D49" s="1608"/>
      <c r="E49" s="1608"/>
      <c r="F49" s="1609" t="s">
        <v>156</v>
      </c>
      <c r="G49" s="1609"/>
      <c r="H49" s="1609"/>
      <c r="I49" s="1609"/>
      <c r="J49" s="1609"/>
      <c r="K49" s="1609"/>
      <c r="L49" s="1609"/>
      <c r="M49" s="1609"/>
      <c r="N49" s="1609"/>
      <c r="O49" s="1609"/>
      <c r="P49" s="1609"/>
      <c r="Q49" s="1609"/>
      <c r="R49" s="1609"/>
      <c r="S49" s="863">
        <f>SUMIFS(S54:S87,F54:F87,"Optional",E54:E87,"=*Supply")</f>
        <v>0</v>
      </c>
      <c r="T49" s="1221"/>
    </row>
    <row r="50" spans="2:20" ht="15" customHeight="1" x14ac:dyDescent="0.25">
      <c r="B50" s="1608" t="s">
        <v>776</v>
      </c>
      <c r="C50" s="1608"/>
      <c r="D50" s="1608"/>
      <c r="E50" s="1608"/>
      <c r="F50" s="1609" t="s">
        <v>154</v>
      </c>
      <c r="G50" s="1609"/>
      <c r="H50" s="1609"/>
      <c r="I50" s="1609"/>
      <c r="J50" s="1609"/>
      <c r="K50" s="1609"/>
      <c r="L50" s="1609"/>
      <c r="M50" s="1609"/>
      <c r="N50" s="1609"/>
      <c r="O50" s="1609"/>
      <c r="P50" s="1609"/>
      <c r="Q50" s="1609"/>
      <c r="R50" s="1609"/>
      <c r="S50" s="863">
        <f>SUMIFS(S54:S87,F54:F87,"Mandatory",E54:E87,"=*Installation*")</f>
        <v>0</v>
      </c>
      <c r="T50" s="1221"/>
    </row>
    <row r="51" spans="2:20" ht="15" customHeight="1" x14ac:dyDescent="0.25">
      <c r="B51" s="1608"/>
      <c r="C51" s="1608"/>
      <c r="D51" s="1608"/>
      <c r="E51" s="1608"/>
      <c r="F51" s="1609" t="s">
        <v>156</v>
      </c>
      <c r="G51" s="1609"/>
      <c r="H51" s="1609"/>
      <c r="I51" s="1609"/>
      <c r="J51" s="1609"/>
      <c r="K51" s="1609"/>
      <c r="L51" s="1609"/>
      <c r="M51" s="1609"/>
      <c r="N51" s="1609"/>
      <c r="O51" s="1609"/>
      <c r="P51" s="1609"/>
      <c r="Q51" s="1609"/>
      <c r="R51" s="1609"/>
      <c r="S51" s="863">
        <f>SUMIFS(S54:S87,F54:F87,"Optional",E54:E87,"=*Installation*")</f>
        <v>0</v>
      </c>
      <c r="T51" s="1221"/>
    </row>
    <row r="52" spans="2:20" ht="15" customHeight="1" x14ac:dyDescent="0.25">
      <c r="B52" s="1608" t="s">
        <v>777</v>
      </c>
      <c r="C52" s="1608"/>
      <c r="D52" s="1608"/>
      <c r="E52" s="1608"/>
      <c r="F52" s="1609" t="s">
        <v>154</v>
      </c>
      <c r="G52" s="1609"/>
      <c r="H52" s="1609"/>
      <c r="I52" s="1609"/>
      <c r="J52" s="1609"/>
      <c r="K52" s="1609"/>
      <c r="L52" s="1609"/>
      <c r="M52" s="1609"/>
      <c r="N52" s="1609"/>
      <c r="O52" s="1609"/>
      <c r="P52" s="1609"/>
      <c r="Q52" s="1609"/>
      <c r="R52" s="1609"/>
      <c r="S52" s="863">
        <f>SUMIFS(S54:S87,F54:F87,"Mandatory",E54:E87,"=*Test")</f>
        <v>0</v>
      </c>
      <c r="T52" s="1221"/>
    </row>
    <row r="53" spans="2:20" ht="15" customHeight="1" x14ac:dyDescent="0.25">
      <c r="B53" s="1608"/>
      <c r="C53" s="1608"/>
      <c r="D53" s="1608"/>
      <c r="E53" s="1608"/>
      <c r="F53" s="1609" t="s">
        <v>156</v>
      </c>
      <c r="G53" s="1609"/>
      <c r="H53" s="1609"/>
      <c r="I53" s="1609"/>
      <c r="J53" s="1609"/>
      <c r="K53" s="1609"/>
      <c r="L53" s="1609"/>
      <c r="M53" s="1609"/>
      <c r="N53" s="1609"/>
      <c r="O53" s="1609"/>
      <c r="P53" s="1609"/>
      <c r="Q53" s="1609"/>
      <c r="R53" s="1609"/>
      <c r="S53" s="863">
        <f>SUMIFS(S54:S87,F54:F87,"Optional",E54:E87,"=*Test")</f>
        <v>0</v>
      </c>
      <c r="T53" s="1221"/>
    </row>
    <row r="54" spans="2:20" s="431" customFormat="1" ht="18" customHeight="1" x14ac:dyDescent="0.25">
      <c r="B54" s="945"/>
      <c r="C54" s="928"/>
      <c r="D54" s="946" t="s">
        <v>411</v>
      </c>
      <c r="E54" s="928" t="s">
        <v>412</v>
      </c>
      <c r="F54" s="947"/>
      <c r="G54" s="947"/>
      <c r="H54" s="1100"/>
      <c r="I54" s="1100"/>
      <c r="J54" s="1100"/>
      <c r="K54" s="1100"/>
      <c r="L54" s="1100"/>
      <c r="M54" s="1100"/>
      <c r="N54" s="1100"/>
      <c r="O54" s="1100"/>
      <c r="P54" s="1100"/>
      <c r="Q54" s="1100"/>
      <c r="R54" s="947"/>
      <c r="S54" s="1127"/>
      <c r="T54" s="948"/>
    </row>
    <row r="55" spans="2:20" s="431" customFormat="1" ht="21.75" customHeight="1" x14ac:dyDescent="0.25">
      <c r="B55" s="919"/>
      <c r="C55" s="1610" t="str">
        <f>CONCATENATE('Reference documents'!B15," :
PPP.EQP.PVM.03.003 Cables
PPP.PVP.FPP.01.004.01 Cables
PPP.PVP.FPP.02.002.01 Cables
PPP.PVP.CBL.02.003 Solar Cables")</f>
        <v>GRE.EEC.S.21.IT.P.18371.00.127.00 Technical Specification :
PPP.EQP.PVM.03.003 Cables
PPP.PVP.FPP.01.004.01 Cables
PPP.PVP.FPP.02.002.01 Cables
PPP.PVP.CBL.02.003 Solar Cables</v>
      </c>
      <c r="D55" s="900" t="s">
        <v>413</v>
      </c>
      <c r="E55" s="901" t="s">
        <v>414</v>
      </c>
      <c r="F55" s="902" t="s">
        <v>160</v>
      </c>
      <c r="G55" s="900" t="s">
        <v>345</v>
      </c>
      <c r="H55" s="1101">
        <v>0</v>
      </c>
      <c r="I55" s="1290"/>
      <c r="J55" s="1290"/>
      <c r="K55" s="1297">
        <f t="shared" ref="K55:K62" si="16">I55*J55</f>
        <v>0</v>
      </c>
      <c r="L55" s="1290"/>
      <c r="M55" s="1290"/>
      <c r="N55" s="1297">
        <f t="shared" ref="N55:N62" si="17">L55*M55</f>
        <v>0</v>
      </c>
      <c r="O55" s="1298"/>
      <c r="P55" s="1290"/>
      <c r="Q55" s="1298"/>
      <c r="R55" s="1291">
        <f t="shared" ref="R55:R62" si="18">P55+N55+K55</f>
        <v>0</v>
      </c>
      <c r="S55" s="1292">
        <f t="shared" ref="S55:S62" si="19">IF(F55="na","",H55*R55)</f>
        <v>0</v>
      </c>
      <c r="T55" s="935"/>
    </row>
    <row r="56" spans="2:20" s="431" customFormat="1" ht="20.25" customHeight="1" x14ac:dyDescent="0.25">
      <c r="B56" s="919"/>
      <c r="C56" s="1611"/>
      <c r="D56" s="900" t="s">
        <v>415</v>
      </c>
      <c r="E56" s="901" t="s">
        <v>416</v>
      </c>
      <c r="F56" s="902" t="s">
        <v>160</v>
      </c>
      <c r="G56" s="900" t="s">
        <v>345</v>
      </c>
      <c r="H56" s="1101">
        <v>0</v>
      </c>
      <c r="I56" s="1290"/>
      <c r="J56" s="1290"/>
      <c r="K56" s="1297">
        <f t="shared" si="16"/>
        <v>0</v>
      </c>
      <c r="L56" s="1290"/>
      <c r="M56" s="1290"/>
      <c r="N56" s="1297">
        <f t="shared" si="17"/>
        <v>0</v>
      </c>
      <c r="O56" s="1298"/>
      <c r="P56" s="1290"/>
      <c r="Q56" s="1298"/>
      <c r="R56" s="1291">
        <f t="shared" si="18"/>
        <v>0</v>
      </c>
      <c r="S56" s="1292">
        <f t="shared" si="19"/>
        <v>0</v>
      </c>
      <c r="T56" s="935"/>
    </row>
    <row r="57" spans="2:20" s="431" customFormat="1" ht="20.25" customHeight="1" x14ac:dyDescent="0.25">
      <c r="B57" s="919"/>
      <c r="C57" s="1612"/>
      <c r="D57" s="900" t="s">
        <v>417</v>
      </c>
      <c r="E57" s="901" t="s">
        <v>418</v>
      </c>
      <c r="F57" s="902" t="s">
        <v>160</v>
      </c>
      <c r="G57" s="900" t="s">
        <v>345</v>
      </c>
      <c r="H57" s="1101">
        <v>0</v>
      </c>
      <c r="I57" s="1290"/>
      <c r="J57" s="1290"/>
      <c r="K57" s="1297">
        <f t="shared" si="16"/>
        <v>0</v>
      </c>
      <c r="L57" s="1290"/>
      <c r="M57" s="1290"/>
      <c r="N57" s="1297">
        <f t="shared" si="17"/>
        <v>0</v>
      </c>
      <c r="O57" s="1298"/>
      <c r="P57" s="1290"/>
      <c r="Q57" s="1298"/>
      <c r="R57" s="1291">
        <f t="shared" si="18"/>
        <v>0</v>
      </c>
      <c r="S57" s="1292">
        <f t="shared" si="19"/>
        <v>0</v>
      </c>
      <c r="T57" s="935"/>
    </row>
    <row r="58" spans="2:20" s="431" customFormat="1" ht="89.25" x14ac:dyDescent="0.25">
      <c r="B58" s="919"/>
      <c r="C58" s="98" t="str">
        <f>CONCATENATE('Reference documents'!B15," :
PPP.PVP.OAT.01.003 Solar Cable Fixing
PPP.PVP.DIN.05 TRENCHES AND WORKS ON CABLES
 CONSTRUCTION TECHNICAL SPECIFICATIONS")</f>
        <v>GRE.EEC.S.21.IT.P.18371.00.127.00 Technical Specification :
PPP.PVP.OAT.01.003 Solar Cable Fixing
PPP.PVP.DIN.05 TRENCHES AND WORKS ON CABLES
 CONSTRUCTION TECHNICAL SPECIFICATIONS</v>
      </c>
      <c r="D58" s="900" t="s">
        <v>419</v>
      </c>
      <c r="E58" s="901" t="s">
        <v>420</v>
      </c>
      <c r="F58" s="902" t="s">
        <v>160</v>
      </c>
      <c r="G58" s="900" t="s">
        <v>345</v>
      </c>
      <c r="H58" s="1101">
        <v>0</v>
      </c>
      <c r="I58" s="1290"/>
      <c r="J58" s="1290"/>
      <c r="K58" s="1297">
        <f t="shared" si="16"/>
        <v>0</v>
      </c>
      <c r="L58" s="1290"/>
      <c r="M58" s="1290"/>
      <c r="N58" s="1297">
        <f t="shared" si="17"/>
        <v>0</v>
      </c>
      <c r="O58" s="1298"/>
      <c r="P58" s="1290"/>
      <c r="Q58" s="1298"/>
      <c r="R58" s="1291">
        <f t="shared" si="18"/>
        <v>0</v>
      </c>
      <c r="S58" s="1292">
        <f t="shared" si="19"/>
        <v>0</v>
      </c>
      <c r="T58" s="935"/>
    </row>
    <row r="59" spans="2:20" s="431" customFormat="1" ht="19.5" customHeight="1" x14ac:dyDescent="0.25">
      <c r="B59" s="919"/>
      <c r="C59" s="1613" t="str">
        <f>CONCATENATE('Reference documents'!B15," :
PPP.EQP.PVM.03.003 Cables
PPP.PVP.FPP.01.004.01 Cables
PPP.PVP.FPP.02.002.01 Cables
PPP.PVP.CBL.02.003 Solar Cables")</f>
        <v>GRE.EEC.S.21.IT.P.18371.00.127.00 Technical Specification :
PPP.EQP.PVM.03.003 Cables
PPP.PVP.FPP.01.004.01 Cables
PPP.PVP.FPP.02.002.01 Cables
PPP.PVP.CBL.02.003 Solar Cables</v>
      </c>
      <c r="D59" s="900" t="s">
        <v>421</v>
      </c>
      <c r="E59" s="901" t="s">
        <v>422</v>
      </c>
      <c r="F59" s="902" t="s">
        <v>160</v>
      </c>
      <c r="G59" s="900" t="s">
        <v>345</v>
      </c>
      <c r="H59" s="1101">
        <v>0</v>
      </c>
      <c r="I59" s="1290"/>
      <c r="J59" s="1290"/>
      <c r="K59" s="1297">
        <f t="shared" si="16"/>
        <v>0</v>
      </c>
      <c r="L59" s="1290"/>
      <c r="M59" s="1290"/>
      <c r="N59" s="1297">
        <f t="shared" si="17"/>
        <v>0</v>
      </c>
      <c r="O59" s="1298"/>
      <c r="P59" s="1290"/>
      <c r="Q59" s="1298"/>
      <c r="R59" s="1291">
        <f t="shared" si="18"/>
        <v>0</v>
      </c>
      <c r="S59" s="1292">
        <f t="shared" si="19"/>
        <v>0</v>
      </c>
      <c r="T59" s="1122" t="s">
        <v>423</v>
      </c>
    </row>
    <row r="60" spans="2:20" s="431" customFormat="1" ht="21" customHeight="1" x14ac:dyDescent="0.25">
      <c r="B60" s="919"/>
      <c r="C60" s="1611"/>
      <c r="D60" s="900" t="s">
        <v>424</v>
      </c>
      <c r="E60" s="901" t="s">
        <v>425</v>
      </c>
      <c r="F60" s="902" t="s">
        <v>160</v>
      </c>
      <c r="G60" s="900" t="s">
        <v>345</v>
      </c>
      <c r="H60" s="1101">
        <v>0</v>
      </c>
      <c r="I60" s="1290"/>
      <c r="J60" s="1290"/>
      <c r="K60" s="1297">
        <f t="shared" si="16"/>
        <v>0</v>
      </c>
      <c r="L60" s="1290"/>
      <c r="M60" s="1290"/>
      <c r="N60" s="1297">
        <f t="shared" si="17"/>
        <v>0</v>
      </c>
      <c r="O60" s="1298"/>
      <c r="P60" s="1290"/>
      <c r="Q60" s="1298"/>
      <c r="R60" s="1291">
        <f t="shared" si="18"/>
        <v>0</v>
      </c>
      <c r="S60" s="1292">
        <f t="shared" si="19"/>
        <v>0</v>
      </c>
      <c r="T60" s="1122" t="s">
        <v>423</v>
      </c>
    </row>
    <row r="61" spans="2:20" s="431" customFormat="1" ht="21" customHeight="1" x14ac:dyDescent="0.25">
      <c r="B61" s="919"/>
      <c r="C61" s="1612"/>
      <c r="D61" s="900" t="s">
        <v>426</v>
      </c>
      <c r="E61" s="901" t="s">
        <v>427</v>
      </c>
      <c r="F61" s="902" t="s">
        <v>160</v>
      </c>
      <c r="G61" s="900" t="s">
        <v>345</v>
      </c>
      <c r="H61" s="1101">
        <v>0</v>
      </c>
      <c r="I61" s="1290"/>
      <c r="J61" s="1290"/>
      <c r="K61" s="1297">
        <f t="shared" si="16"/>
        <v>0</v>
      </c>
      <c r="L61" s="1290"/>
      <c r="M61" s="1290"/>
      <c r="N61" s="1297">
        <f t="shared" si="17"/>
        <v>0</v>
      </c>
      <c r="O61" s="1298"/>
      <c r="P61" s="1290"/>
      <c r="Q61" s="1298"/>
      <c r="R61" s="1291">
        <f t="shared" si="18"/>
        <v>0</v>
      </c>
      <c r="S61" s="1292">
        <f t="shared" si="19"/>
        <v>0</v>
      </c>
      <c r="T61" s="1122" t="s">
        <v>423</v>
      </c>
    </row>
    <row r="62" spans="2:20" s="431" customFormat="1" ht="89.25" x14ac:dyDescent="0.25">
      <c r="B62" s="919"/>
      <c r="C62" s="98" t="str">
        <f>CONCATENATE('Reference documents'!B15," :
PPP.PVP.OAT.01.003 Solar Cable Fixing
PPP.PVP.DIN.05 TRENCHES AND WORKS ON CABLES
 CONSTRUCTION TECHNICAL SPECIFICATIONS")</f>
        <v>GRE.EEC.S.21.IT.P.18371.00.127.00 Technical Specification :
PPP.PVP.OAT.01.003 Solar Cable Fixing
PPP.PVP.DIN.05 TRENCHES AND WORKS ON CABLES
 CONSTRUCTION TECHNICAL SPECIFICATIONS</v>
      </c>
      <c r="D62" s="900" t="s">
        <v>428</v>
      </c>
      <c r="E62" s="901" t="s">
        <v>429</v>
      </c>
      <c r="F62" s="902" t="s">
        <v>160</v>
      </c>
      <c r="G62" s="900" t="s">
        <v>345</v>
      </c>
      <c r="H62" s="1101">
        <v>0</v>
      </c>
      <c r="I62" s="1290"/>
      <c r="J62" s="1290"/>
      <c r="K62" s="1297">
        <f t="shared" si="16"/>
        <v>0</v>
      </c>
      <c r="L62" s="1290"/>
      <c r="M62" s="1290"/>
      <c r="N62" s="1297">
        <f t="shared" si="17"/>
        <v>0</v>
      </c>
      <c r="O62" s="1298"/>
      <c r="P62" s="1290"/>
      <c r="Q62" s="1298"/>
      <c r="R62" s="1291">
        <f t="shared" si="18"/>
        <v>0</v>
      </c>
      <c r="S62" s="1292">
        <f t="shared" si="19"/>
        <v>0</v>
      </c>
      <c r="T62" s="935" t="s">
        <v>430</v>
      </c>
    </row>
    <row r="63" spans="2:20" s="431" customFormat="1" ht="18" customHeight="1" x14ac:dyDescent="0.25">
      <c r="B63" s="945"/>
      <c r="C63" s="928"/>
      <c r="D63" s="946" t="s">
        <v>431</v>
      </c>
      <c r="E63" s="928" t="s">
        <v>432</v>
      </c>
      <c r="F63" s="947"/>
      <c r="G63" s="947"/>
      <c r="H63" s="1100"/>
      <c r="I63" s="1100"/>
      <c r="J63" s="1100"/>
      <c r="K63" s="1100"/>
      <c r="L63" s="1100"/>
      <c r="M63" s="1100"/>
      <c r="N63" s="1100"/>
      <c r="O63" s="1100"/>
      <c r="P63" s="1100"/>
      <c r="Q63" s="1100"/>
      <c r="R63" s="947"/>
      <c r="S63" s="1127"/>
      <c r="T63" s="948"/>
    </row>
    <row r="64" spans="2:20" s="431" customFormat="1" ht="55.5" customHeight="1" x14ac:dyDescent="0.25">
      <c r="B64" s="919"/>
      <c r="C64" s="1610" t="str">
        <f>CONCATENATE('Reference documents'!B15," :
PPP.EQP.PVM.03.002 Connectors
PPP.PVP.FPP.01.004.05 DC YX Connector
PPP.PVP.FPP.01.005 DC Fast Connectors
PPP.PVP.DIN.05 TRENCHES AND WORKS ON CABLES
- CONSTRUCTION TECHNICAL SPECIFICATIONS
- VENDOR INSTALLATION PROCEDURE CERTIFICATION")</f>
        <v>GRE.EEC.S.21.IT.P.18371.00.127.00 Technical Specification :
PPP.EQP.PVM.03.002 Connectors
PPP.PVP.FPP.01.004.05 DC YX Connector
PPP.PVP.FPP.01.005 DC Fast Connectors
PPP.PVP.DIN.05 TRENCHES AND WORKS ON CABLES
- CONSTRUCTION TECHNICAL SPECIFICATIONS
- VENDOR INSTALLATION PROCEDURE CERTIFICATION</v>
      </c>
      <c r="D64" s="900" t="s">
        <v>433</v>
      </c>
      <c r="E64" s="901" t="s">
        <v>434</v>
      </c>
      <c r="F64" s="902" t="s">
        <v>160</v>
      </c>
      <c r="G64" s="900" t="s">
        <v>141</v>
      </c>
      <c r="H64" s="1101">
        <v>0</v>
      </c>
      <c r="I64" s="1290"/>
      <c r="J64" s="1290"/>
      <c r="K64" s="1297">
        <f t="shared" ref="K64:K65" si="20">I64*J64</f>
        <v>0</v>
      </c>
      <c r="L64" s="1290"/>
      <c r="M64" s="1290"/>
      <c r="N64" s="1297">
        <f t="shared" ref="N64:N65" si="21">L64*M64</f>
        <v>0</v>
      </c>
      <c r="O64" s="1298"/>
      <c r="P64" s="1290"/>
      <c r="Q64" s="1298"/>
      <c r="R64" s="1291">
        <f t="shared" ref="R64:R65" si="22">P64+N64+K64</f>
        <v>0</v>
      </c>
      <c r="S64" s="1292">
        <f t="shared" ref="S64:S65" si="23">IF(F64="na","",H64*R64)</f>
        <v>0</v>
      </c>
      <c r="T64" s="935"/>
    </row>
    <row r="65" spans="2:20" s="431" customFormat="1" ht="54.75" customHeight="1" x14ac:dyDescent="0.25">
      <c r="B65" s="919"/>
      <c r="C65" s="1614"/>
      <c r="D65" s="900" t="s">
        <v>435</v>
      </c>
      <c r="E65" s="901" t="s">
        <v>436</v>
      </c>
      <c r="F65" s="902" t="s">
        <v>160</v>
      </c>
      <c r="G65" s="900" t="s">
        <v>141</v>
      </c>
      <c r="H65" s="1101">
        <v>0</v>
      </c>
      <c r="I65" s="1290"/>
      <c r="J65" s="1290"/>
      <c r="K65" s="1297">
        <f t="shared" si="20"/>
        <v>0</v>
      </c>
      <c r="L65" s="1290"/>
      <c r="M65" s="1290"/>
      <c r="N65" s="1297">
        <f t="shared" si="21"/>
        <v>0</v>
      </c>
      <c r="O65" s="1298"/>
      <c r="P65" s="1290"/>
      <c r="Q65" s="1298"/>
      <c r="R65" s="1291">
        <f t="shared" si="22"/>
        <v>0</v>
      </c>
      <c r="S65" s="1292">
        <f t="shared" si="23"/>
        <v>0</v>
      </c>
      <c r="T65" s="935"/>
    </row>
    <row r="66" spans="2:20" s="431" customFormat="1" ht="18" customHeight="1" x14ac:dyDescent="0.25">
      <c r="B66" s="945"/>
      <c r="C66" s="928"/>
      <c r="D66" s="946"/>
      <c r="E66" s="928" t="s">
        <v>778</v>
      </c>
      <c r="F66" s="947"/>
      <c r="G66" s="947"/>
      <c r="H66" s="1100"/>
      <c r="I66" s="1100"/>
      <c r="J66" s="1100"/>
      <c r="K66" s="1100"/>
      <c r="L66" s="1100"/>
      <c r="M66" s="1100"/>
      <c r="N66" s="1100"/>
      <c r="O66" s="1100"/>
      <c r="P66" s="1100"/>
      <c r="Q66" s="1100"/>
      <c r="R66" s="947"/>
      <c r="S66" s="1127"/>
      <c r="T66" s="948"/>
    </row>
    <row r="67" spans="2:20" s="431" customFormat="1" ht="29.25" customHeight="1" x14ac:dyDescent="0.25">
      <c r="B67" s="919"/>
      <c r="C67" s="1284" t="s">
        <v>248</v>
      </c>
      <c r="D67" s="1222" t="s">
        <v>779</v>
      </c>
      <c r="E67" s="901" t="s">
        <v>780</v>
      </c>
      <c r="F67" s="902" t="s">
        <v>160</v>
      </c>
      <c r="G67" s="1222" t="s">
        <v>781</v>
      </c>
      <c r="H67" s="1101">
        <v>0</v>
      </c>
      <c r="I67" s="1290"/>
      <c r="J67" s="1290"/>
      <c r="K67" s="1297">
        <f t="shared" ref="K67" si="24">I67*J67</f>
        <v>0</v>
      </c>
      <c r="L67" s="1290"/>
      <c r="M67" s="1290"/>
      <c r="N67" s="1297">
        <f t="shared" ref="N67" si="25">L67*M67</f>
        <v>0</v>
      </c>
      <c r="O67" s="1298"/>
      <c r="P67" s="1290"/>
      <c r="Q67" s="1298"/>
      <c r="R67" s="1291">
        <f t="shared" ref="R67" si="26">P67+N67+K67</f>
        <v>0</v>
      </c>
      <c r="S67" s="1292">
        <f t="shared" ref="S67" si="27">IF(F67="na","",H67*R67)</f>
        <v>0</v>
      </c>
      <c r="T67" s="935"/>
    </row>
    <row r="68" spans="2:20" s="431" customFormat="1" ht="18" customHeight="1" x14ac:dyDescent="0.25">
      <c r="B68" s="945"/>
      <c r="C68" s="928"/>
      <c r="D68" s="946" t="s">
        <v>437</v>
      </c>
      <c r="E68" s="928" t="s">
        <v>438</v>
      </c>
      <c r="F68" s="947"/>
      <c r="G68" s="947"/>
      <c r="H68" s="1100"/>
      <c r="I68" s="1100"/>
      <c r="J68" s="1100"/>
      <c r="K68" s="1100"/>
      <c r="L68" s="1100"/>
      <c r="M68" s="1100"/>
      <c r="N68" s="1100"/>
      <c r="O68" s="1100"/>
      <c r="P68" s="1100"/>
      <c r="Q68" s="1100"/>
      <c r="R68" s="947"/>
      <c r="S68" s="1127"/>
      <c r="T68" s="948"/>
    </row>
    <row r="69" spans="2:20" s="431" customFormat="1" ht="31.5" customHeight="1" x14ac:dyDescent="0.25">
      <c r="B69" s="919"/>
      <c r="C69" s="1610" t="str">
        <f>CONCATENATE('Reference documents'!B15," :
PPP.PVP.FPP.01.004.01 Cables
PPP.PVP.CBL CABLES
PPP.PVP.CBL.02.001 Power LV DC and AC
PPP.PSS.ENG.02.003 Cable Sizing
PPP.PSS.ENG.02.003.01 LV Cables")</f>
        <v>GRE.EEC.S.21.IT.P.18371.00.127.00 Technical Specification :
PPP.PVP.FPP.01.004.01 Cables
PPP.PVP.CBL CABLES
PPP.PVP.CBL.02.001 Power LV DC and AC
PPP.PSS.ENG.02.003 Cable Sizing
PPP.PSS.ENG.02.003.01 LV Cables</v>
      </c>
      <c r="D69" s="900" t="s">
        <v>439</v>
      </c>
      <c r="E69" s="901" t="s">
        <v>440</v>
      </c>
      <c r="F69" s="902" t="s">
        <v>160</v>
      </c>
      <c r="G69" s="900" t="s">
        <v>345</v>
      </c>
      <c r="H69" s="1101">
        <v>0</v>
      </c>
      <c r="I69" s="1290"/>
      <c r="J69" s="1290"/>
      <c r="K69" s="1297">
        <f t="shared" ref="K69:K74" si="28">I69*J69</f>
        <v>0</v>
      </c>
      <c r="L69" s="1290"/>
      <c r="M69" s="1290"/>
      <c r="N69" s="1297">
        <f t="shared" ref="N69:N74" si="29">L69*M69</f>
        <v>0</v>
      </c>
      <c r="O69" s="1298"/>
      <c r="P69" s="1290"/>
      <c r="Q69" s="1298"/>
      <c r="R69" s="1291">
        <f t="shared" ref="R69:R74" si="30">P69+N69+K69</f>
        <v>0</v>
      </c>
      <c r="S69" s="1292">
        <f t="shared" ref="S69:S74" si="31">IF(F69="na","",H69*R69)</f>
        <v>0</v>
      </c>
      <c r="T69" s="1122" t="s">
        <v>782</v>
      </c>
    </row>
    <row r="70" spans="2:20" s="431" customFormat="1" ht="23.25" customHeight="1" x14ac:dyDescent="0.25">
      <c r="B70" s="919"/>
      <c r="C70" s="1611"/>
      <c r="D70" s="900" t="s">
        <v>441</v>
      </c>
      <c r="E70" s="901" t="s">
        <v>442</v>
      </c>
      <c r="F70" s="902" t="s">
        <v>160</v>
      </c>
      <c r="G70" s="900" t="s">
        <v>345</v>
      </c>
      <c r="H70" s="1101">
        <v>0</v>
      </c>
      <c r="I70" s="1290"/>
      <c r="J70" s="1290"/>
      <c r="K70" s="1297">
        <f t="shared" si="28"/>
        <v>0</v>
      </c>
      <c r="L70" s="1290"/>
      <c r="M70" s="1290"/>
      <c r="N70" s="1297">
        <f t="shared" si="29"/>
        <v>0</v>
      </c>
      <c r="O70" s="1298"/>
      <c r="P70" s="1290"/>
      <c r="Q70" s="1298"/>
      <c r="R70" s="1291">
        <f t="shared" si="30"/>
        <v>0</v>
      </c>
      <c r="S70" s="1292">
        <f t="shared" si="31"/>
        <v>0</v>
      </c>
      <c r="T70" s="1122" t="s">
        <v>782</v>
      </c>
    </row>
    <row r="71" spans="2:20" s="431" customFormat="1" ht="24.75" customHeight="1" x14ac:dyDescent="0.25">
      <c r="B71" s="919"/>
      <c r="C71" s="1612"/>
      <c r="D71" s="900" t="s">
        <v>443</v>
      </c>
      <c r="E71" s="901" t="s">
        <v>444</v>
      </c>
      <c r="F71" s="902" t="s">
        <v>160</v>
      </c>
      <c r="G71" s="900" t="s">
        <v>345</v>
      </c>
      <c r="H71" s="1101">
        <v>0</v>
      </c>
      <c r="I71" s="1290"/>
      <c r="J71" s="1290"/>
      <c r="K71" s="1297">
        <f t="shared" si="28"/>
        <v>0</v>
      </c>
      <c r="L71" s="1290"/>
      <c r="M71" s="1290"/>
      <c r="N71" s="1297">
        <f t="shared" si="29"/>
        <v>0</v>
      </c>
      <c r="O71" s="1298"/>
      <c r="P71" s="1290"/>
      <c r="Q71" s="1298"/>
      <c r="R71" s="1291">
        <f t="shared" si="30"/>
        <v>0</v>
      </c>
      <c r="S71" s="1292">
        <f t="shared" si="31"/>
        <v>0</v>
      </c>
      <c r="T71" s="1122" t="s">
        <v>782</v>
      </c>
    </row>
    <row r="72" spans="2:20" s="431" customFormat="1" ht="89.25" x14ac:dyDescent="0.25">
      <c r="B72" s="919"/>
      <c r="C72" s="98" t="str">
        <f>CONCATENATE('Reference documents'!B15," :
PPP.PVP.OAT.01.003 Solar Cable Fixing
PPP.PVP.DIN.05 TRENCHES AND WORKS ON CABLES
 CONSTRUCTION TECHNICAL SPECIFICATIONS")</f>
        <v>GRE.EEC.S.21.IT.P.18371.00.127.00 Technical Specification :
PPP.PVP.OAT.01.003 Solar Cable Fixing
PPP.PVP.DIN.05 TRENCHES AND WORKS ON CABLES
 CONSTRUCTION TECHNICAL SPECIFICATIONS</v>
      </c>
      <c r="D72" s="900" t="s">
        <v>445</v>
      </c>
      <c r="E72" s="901" t="s">
        <v>446</v>
      </c>
      <c r="F72" s="902" t="s">
        <v>160</v>
      </c>
      <c r="G72" s="900" t="s">
        <v>345</v>
      </c>
      <c r="H72" s="1101">
        <v>0</v>
      </c>
      <c r="I72" s="1290"/>
      <c r="J72" s="1290"/>
      <c r="K72" s="1297">
        <f t="shared" si="28"/>
        <v>0</v>
      </c>
      <c r="L72" s="1290"/>
      <c r="M72" s="1290"/>
      <c r="N72" s="1297">
        <f t="shared" si="29"/>
        <v>0</v>
      </c>
      <c r="O72" s="1298"/>
      <c r="P72" s="1290"/>
      <c r="Q72" s="1298"/>
      <c r="R72" s="1291">
        <f t="shared" si="30"/>
        <v>0</v>
      </c>
      <c r="S72" s="1292">
        <f t="shared" si="31"/>
        <v>0</v>
      </c>
      <c r="T72" s="935" t="s">
        <v>447</v>
      </c>
    </row>
    <row r="73" spans="2:20" s="431" customFormat="1" ht="84" customHeight="1" x14ac:dyDescent="0.25">
      <c r="B73" s="919"/>
      <c r="C73" s="98" t="str">
        <f>CONCATENATE('Reference documents'!B15," :
PPP.PVP.FPP.01.004.01 Cables
PPP.PVP.CBL CABLES
PPP.PVP.CBL.02.001 Power LV DC and AC
PPP.PSS.ENG.02.003 Cable Sizing
PPP.PSS.ENG.02.003.01 LV Cables")</f>
        <v>GRE.EEC.S.21.IT.P.18371.00.127.00 Technical Specification :
PPP.PVP.FPP.01.004.01 Cables
PPP.PVP.CBL CABLES
PPP.PVP.CBL.02.001 Power LV DC and AC
PPP.PSS.ENG.02.003 Cable Sizing
PPP.PSS.ENG.02.003.01 LV Cables</v>
      </c>
      <c r="D73" s="900" t="s">
        <v>448</v>
      </c>
      <c r="E73" s="901" t="s">
        <v>449</v>
      </c>
      <c r="F73" s="902" t="s">
        <v>160</v>
      </c>
      <c r="G73" s="900" t="s">
        <v>345</v>
      </c>
      <c r="H73" s="1101">
        <v>0</v>
      </c>
      <c r="I73" s="1290"/>
      <c r="J73" s="1290"/>
      <c r="K73" s="1297">
        <f t="shared" si="28"/>
        <v>0</v>
      </c>
      <c r="L73" s="1290"/>
      <c r="M73" s="1290"/>
      <c r="N73" s="1297">
        <f t="shared" si="29"/>
        <v>0</v>
      </c>
      <c r="O73" s="1298"/>
      <c r="P73" s="1290"/>
      <c r="Q73" s="1298"/>
      <c r="R73" s="1291">
        <f t="shared" si="30"/>
        <v>0</v>
      </c>
      <c r="S73" s="1292">
        <f t="shared" si="31"/>
        <v>0</v>
      </c>
      <c r="T73" s="935" t="s">
        <v>450</v>
      </c>
    </row>
    <row r="74" spans="2:20" s="431" customFormat="1" ht="89.25" x14ac:dyDescent="0.25">
      <c r="B74" s="919"/>
      <c r="C74" s="98" t="str">
        <f>CONCATENATE('Reference documents'!B15," :
PPP.PVP.OAT.01.003 Solar Cable Fixing
PPP.PVP.DIN.05 TRENCHES AND WORKS ON CABLES
 CONSTRUCTION TECHNICAL SPECIFICATIONS")</f>
        <v>GRE.EEC.S.21.IT.P.18371.00.127.00 Technical Specification :
PPP.PVP.OAT.01.003 Solar Cable Fixing
PPP.PVP.DIN.05 TRENCHES AND WORKS ON CABLES
 CONSTRUCTION TECHNICAL SPECIFICATIONS</v>
      </c>
      <c r="D74" s="900" t="s">
        <v>451</v>
      </c>
      <c r="E74" s="901" t="s">
        <v>452</v>
      </c>
      <c r="F74" s="902" t="s">
        <v>160</v>
      </c>
      <c r="G74" s="900" t="s">
        <v>345</v>
      </c>
      <c r="H74" s="1101">
        <v>0</v>
      </c>
      <c r="I74" s="1290"/>
      <c r="J74" s="1290"/>
      <c r="K74" s="1297">
        <f t="shared" si="28"/>
        <v>0</v>
      </c>
      <c r="L74" s="1290"/>
      <c r="M74" s="1290"/>
      <c r="N74" s="1297">
        <f t="shared" si="29"/>
        <v>0</v>
      </c>
      <c r="O74" s="1298"/>
      <c r="P74" s="1290"/>
      <c r="Q74" s="1298"/>
      <c r="R74" s="1291">
        <f t="shared" si="30"/>
        <v>0</v>
      </c>
      <c r="S74" s="1292">
        <f t="shared" si="31"/>
        <v>0</v>
      </c>
      <c r="T74" s="935"/>
    </row>
    <row r="75" spans="2:20" s="431" customFormat="1" ht="18" customHeight="1" x14ac:dyDescent="0.25">
      <c r="B75" s="945"/>
      <c r="C75" s="928"/>
      <c r="D75" s="946" t="s">
        <v>453</v>
      </c>
      <c r="E75" s="928" t="s">
        <v>454</v>
      </c>
      <c r="F75" s="947"/>
      <c r="G75" s="947"/>
      <c r="H75" s="1100"/>
      <c r="I75" s="1100"/>
      <c r="J75" s="1100"/>
      <c r="K75" s="1100"/>
      <c r="L75" s="1100"/>
      <c r="M75" s="1100"/>
      <c r="N75" s="1100"/>
      <c r="O75" s="1100"/>
      <c r="P75" s="1100"/>
      <c r="Q75" s="1100"/>
      <c r="R75" s="947"/>
      <c r="S75" s="1127"/>
      <c r="T75" s="948"/>
    </row>
    <row r="76" spans="2:20" s="431" customFormat="1" ht="81" customHeight="1" x14ac:dyDescent="0.25">
      <c r="B76" s="919"/>
      <c r="C76" s="98" t="str">
        <f>CONCATENATE('Reference documents'!B15," :
PPP.PVP.CBL.02.004.02 Barrel Connectors for Aluminium Cables
PPP.PVP.WRK.04 ELECTRICAL FIELD BOX ACTIVITIES
Refer to specific auxiliary equipment installation manual")</f>
        <v>GRE.EEC.S.21.IT.P.18371.00.127.00 Technical Specification :
PPP.PVP.CBL.02.004.02 Barrel Connectors for Aluminium Cables
PPP.PVP.WRK.04 ELECTRICAL FIELD BOX ACTIVITIES
Refer to specific auxiliary equipment installation manual</v>
      </c>
      <c r="D76" s="900" t="s">
        <v>455</v>
      </c>
      <c r="E76" s="901" t="s">
        <v>456</v>
      </c>
      <c r="F76" s="902" t="s">
        <v>160</v>
      </c>
      <c r="G76" s="900" t="s">
        <v>141</v>
      </c>
      <c r="H76" s="1101">
        <v>0</v>
      </c>
      <c r="I76" s="1290"/>
      <c r="J76" s="1290"/>
      <c r="K76" s="1297">
        <f t="shared" ref="K76:K77" si="32">I76*J76</f>
        <v>0</v>
      </c>
      <c r="L76" s="1290"/>
      <c r="M76" s="1290"/>
      <c r="N76" s="1297">
        <f t="shared" ref="N76:N77" si="33">L76*M76</f>
        <v>0</v>
      </c>
      <c r="O76" s="1298"/>
      <c r="P76" s="1290"/>
      <c r="Q76" s="1298"/>
      <c r="R76" s="1291">
        <f t="shared" ref="R76:R77" si="34">P76+N76+K76</f>
        <v>0</v>
      </c>
      <c r="S76" s="1292">
        <f t="shared" ref="S76:S77" si="35">IF(F76="na","",H76*R76)</f>
        <v>0</v>
      </c>
      <c r="T76" s="935" t="s">
        <v>457</v>
      </c>
    </row>
    <row r="77" spans="2:20" s="431" customFormat="1" ht="102" x14ac:dyDescent="0.25">
      <c r="B77" s="919"/>
      <c r="C77" s="98" t="str">
        <f>CONCATENATE('Reference documents'!B15," :
PPP.PVP.CBL CABLES
PPP.PVP.CBL.02.002 Auxiliary Cables
- CONSTRUCTION TECHNICAL SPECIFICATIONS
- VENDOR INSTALLATION PROCEDURE SPECIFICATIONS")</f>
        <v>GRE.EEC.S.21.IT.P.18371.00.127.00 Technical Specification :
PPP.PVP.CBL CABLES
PPP.PVP.CBL.02.002 Auxiliary Cables
- CONSTRUCTION TECHNICAL SPECIFICATIONS
- VENDOR INSTALLATION PROCEDURE SPECIFICATIONS</v>
      </c>
      <c r="D77" s="900" t="s">
        <v>458</v>
      </c>
      <c r="E77" s="901" t="s">
        <v>459</v>
      </c>
      <c r="F77" s="902" t="s">
        <v>160</v>
      </c>
      <c r="G77" s="900" t="s">
        <v>141</v>
      </c>
      <c r="H77" s="1101">
        <v>0</v>
      </c>
      <c r="I77" s="1290"/>
      <c r="J77" s="1290"/>
      <c r="K77" s="1297">
        <f t="shared" si="32"/>
        <v>0</v>
      </c>
      <c r="L77" s="1290"/>
      <c r="M77" s="1290"/>
      <c r="N77" s="1297">
        <f t="shared" si="33"/>
        <v>0</v>
      </c>
      <c r="O77" s="1298"/>
      <c r="P77" s="1290"/>
      <c r="Q77" s="1298"/>
      <c r="R77" s="1291">
        <f t="shared" si="34"/>
        <v>0</v>
      </c>
      <c r="S77" s="1292">
        <f t="shared" si="35"/>
        <v>0</v>
      </c>
      <c r="T77" s="935"/>
    </row>
    <row r="78" spans="2:20" s="431" customFormat="1" ht="18" customHeight="1" x14ac:dyDescent="0.25">
      <c r="B78" s="945"/>
      <c r="C78" s="928"/>
      <c r="D78" s="946"/>
      <c r="E78" s="928" t="s">
        <v>783</v>
      </c>
      <c r="F78" s="947"/>
      <c r="G78" s="947"/>
      <c r="H78" s="1100"/>
      <c r="I78" s="1100"/>
      <c r="J78" s="1100"/>
      <c r="K78" s="1100"/>
      <c r="L78" s="1100"/>
      <c r="M78" s="1100"/>
      <c r="N78" s="1100"/>
      <c r="O78" s="1100"/>
      <c r="P78" s="1100"/>
      <c r="Q78" s="1100"/>
      <c r="R78" s="947"/>
      <c r="S78" s="1127"/>
      <c r="T78" s="948"/>
    </row>
    <row r="79" spans="2:20" s="431" customFormat="1" ht="25.5" x14ac:dyDescent="0.25">
      <c r="B79" s="919"/>
      <c r="C79" s="1286" t="s">
        <v>248</v>
      </c>
      <c r="D79" s="1222" t="s">
        <v>784</v>
      </c>
      <c r="E79" s="901" t="s">
        <v>785</v>
      </c>
      <c r="F79" s="902" t="s">
        <v>160</v>
      </c>
      <c r="G79" s="1222" t="s">
        <v>786</v>
      </c>
      <c r="H79" s="1101">
        <v>0</v>
      </c>
      <c r="I79" s="1290"/>
      <c r="J79" s="1290"/>
      <c r="K79" s="1297">
        <f t="shared" ref="K79" si="36">I79*J79</f>
        <v>0</v>
      </c>
      <c r="L79" s="1290"/>
      <c r="M79" s="1290"/>
      <c r="N79" s="1297">
        <f t="shared" ref="N79" si="37">L79*M79</f>
        <v>0</v>
      </c>
      <c r="O79" s="1298"/>
      <c r="P79" s="1290"/>
      <c r="Q79" s="1298"/>
      <c r="R79" s="1291">
        <f t="shared" ref="R79" si="38">P79+N79+K79</f>
        <v>0</v>
      </c>
      <c r="S79" s="1292">
        <f t="shared" ref="S79" si="39">IF(F79="na","",H79*R79)</f>
        <v>0</v>
      </c>
      <c r="T79" s="935"/>
    </row>
    <row r="80" spans="2:20" s="431" customFormat="1" ht="18" customHeight="1" x14ac:dyDescent="0.25">
      <c r="B80" s="945"/>
      <c r="C80" s="928"/>
      <c r="D80" s="946" t="s">
        <v>460</v>
      </c>
      <c r="E80" s="928" t="s">
        <v>461</v>
      </c>
      <c r="F80" s="947"/>
      <c r="G80" s="947"/>
      <c r="H80" s="1100"/>
      <c r="I80" s="1100"/>
      <c r="J80" s="1100"/>
      <c r="K80" s="1100"/>
      <c r="L80" s="1100"/>
      <c r="M80" s="1100"/>
      <c r="N80" s="1100"/>
      <c r="O80" s="1100"/>
      <c r="P80" s="1100"/>
      <c r="Q80" s="1100"/>
      <c r="R80" s="947"/>
      <c r="S80" s="1127"/>
      <c r="T80" s="948"/>
    </row>
    <row r="81" spans="2:20" s="431" customFormat="1" ht="73.5" customHeight="1" x14ac:dyDescent="0.25">
      <c r="B81" s="919"/>
      <c r="C81" s="1351" t="str">
        <f>CONCATENATE('Reference documents'!B15," :
PPP.PVP.CBL.02.004.02 Barrel Connectors for Aluminium Cables
PPP.PVP.WRK.04 ELECTRICAL FIELD BOX ACTIVITIES
Refer to specific auxiliary equipment installation manual")</f>
        <v>GRE.EEC.S.21.IT.P.18371.00.127.00 Technical Specification :
PPP.PVP.CBL.02.004.02 Barrel Connectors for Aluminium Cables
PPP.PVP.WRK.04 ELECTRICAL FIELD BOX ACTIVITIES
Refer to specific auxiliary equipment installation manual</v>
      </c>
      <c r="D81" s="900" t="s">
        <v>462</v>
      </c>
      <c r="E81" s="901" t="s">
        <v>463</v>
      </c>
      <c r="F81" s="902" t="s">
        <v>160</v>
      </c>
      <c r="G81" s="900" t="s">
        <v>464</v>
      </c>
      <c r="H81" s="1101">
        <v>0</v>
      </c>
      <c r="I81" s="1290"/>
      <c r="J81" s="1290"/>
      <c r="K81" s="1297">
        <f t="shared" ref="K81:K82" si="40">I81*J81</f>
        <v>0</v>
      </c>
      <c r="L81" s="1290"/>
      <c r="M81" s="1290"/>
      <c r="N81" s="1297">
        <f t="shared" ref="N81:N82" si="41">L81*M81</f>
        <v>0</v>
      </c>
      <c r="O81" s="1298"/>
      <c r="P81" s="1290"/>
      <c r="Q81" s="1298"/>
      <c r="R81" s="1291">
        <f t="shared" ref="R81:R82" si="42">P81+N81+K81</f>
        <v>0</v>
      </c>
      <c r="S81" s="1292">
        <f t="shared" ref="S81:S82" si="43">IF(F81="na","",H81*R81)</f>
        <v>0</v>
      </c>
      <c r="T81" s="935"/>
    </row>
    <row r="82" spans="2:20" s="431" customFormat="1" ht="89.25" x14ac:dyDescent="0.25">
      <c r="B82" s="919"/>
      <c r="C82" s="1351" t="str">
        <f>CONCATENATE('Reference documents'!B15," :
PPP.PVP.CBL CABLES
PPP.PVP.CBL.02.002 Auxiliary Cables
- CONSTRUCTION TECHNICAL SPECIFICATIONS
- VENDOR INSTALLATION PROCEDURE SPECIFICATIONS")</f>
        <v>GRE.EEC.S.21.IT.P.18371.00.127.00 Technical Specification :
PPP.PVP.CBL CABLES
PPP.PVP.CBL.02.002 Auxiliary Cables
- CONSTRUCTION TECHNICAL SPECIFICATIONS
- VENDOR INSTALLATION PROCEDURE SPECIFICATIONS</v>
      </c>
      <c r="D82" s="900" t="s">
        <v>465</v>
      </c>
      <c r="E82" s="901" t="s">
        <v>466</v>
      </c>
      <c r="F82" s="902" t="s">
        <v>160</v>
      </c>
      <c r="G82" s="900" t="s">
        <v>464</v>
      </c>
      <c r="H82" s="1101">
        <v>0</v>
      </c>
      <c r="I82" s="1290"/>
      <c r="J82" s="1290"/>
      <c r="K82" s="1297">
        <f t="shared" si="40"/>
        <v>0</v>
      </c>
      <c r="L82" s="1290"/>
      <c r="M82" s="1290"/>
      <c r="N82" s="1297">
        <f t="shared" si="41"/>
        <v>0</v>
      </c>
      <c r="O82" s="1298"/>
      <c r="P82" s="1290"/>
      <c r="Q82" s="1298"/>
      <c r="R82" s="1291">
        <f t="shared" si="42"/>
        <v>0</v>
      </c>
      <c r="S82" s="1292">
        <f t="shared" si="43"/>
        <v>0</v>
      </c>
      <c r="T82" s="935"/>
    </row>
    <row r="83" spans="2:20" s="431" customFormat="1" ht="18" customHeight="1" x14ac:dyDescent="0.25">
      <c r="B83" s="945"/>
      <c r="C83" s="928"/>
      <c r="D83" s="946" t="s">
        <v>467</v>
      </c>
      <c r="E83" s="928" t="s">
        <v>468</v>
      </c>
      <c r="F83" s="947"/>
      <c r="G83" s="947"/>
      <c r="H83" s="1100"/>
      <c r="I83" s="1100"/>
      <c r="J83" s="1100"/>
      <c r="K83" s="1100"/>
      <c r="L83" s="1100"/>
      <c r="M83" s="1100"/>
      <c r="N83" s="1100"/>
      <c r="O83" s="1100"/>
      <c r="P83" s="1100"/>
      <c r="Q83" s="1100"/>
      <c r="R83" s="947"/>
      <c r="S83" s="1127"/>
      <c r="T83" s="948"/>
    </row>
    <row r="84" spans="2:20" s="431" customFormat="1" ht="51" x14ac:dyDescent="0.25">
      <c r="B84" s="919"/>
      <c r="C84" s="1351" t="str">
        <f>CONCATENATE('Reference documents'!B15," :
PPP.PVP.CBL CABLES
PPP.PVP.CBL.02.002 Auxiliary Cables")</f>
        <v>GRE.EEC.S.21.IT.P.18371.00.127.00 Technical Specification :
PPP.PVP.CBL CABLES
PPP.PVP.CBL.02.002 Auxiliary Cables</v>
      </c>
      <c r="D84" s="900" t="s">
        <v>469</v>
      </c>
      <c r="E84" s="901" t="s">
        <v>470</v>
      </c>
      <c r="F84" s="902" t="s">
        <v>160</v>
      </c>
      <c r="G84" s="900" t="s">
        <v>464</v>
      </c>
      <c r="H84" s="1101">
        <v>0</v>
      </c>
      <c r="I84" s="1290"/>
      <c r="J84" s="1290"/>
      <c r="K84" s="1297">
        <f t="shared" ref="K84:K85" si="44">I84*J84</f>
        <v>0</v>
      </c>
      <c r="L84" s="1290"/>
      <c r="M84" s="1290"/>
      <c r="N84" s="1297">
        <f t="shared" ref="N84:N85" si="45">L84*M84</f>
        <v>0</v>
      </c>
      <c r="O84" s="1298"/>
      <c r="P84" s="1290"/>
      <c r="Q84" s="1298"/>
      <c r="R84" s="1291">
        <f t="shared" ref="R84:R85" si="46">P84+N84+K84</f>
        <v>0</v>
      </c>
      <c r="S84" s="1292">
        <f t="shared" ref="S84:S85" si="47">IF(F84="na","",H84*R84)</f>
        <v>0</v>
      </c>
      <c r="T84" s="935"/>
    </row>
    <row r="85" spans="2:20" s="431" customFormat="1" ht="89.25" x14ac:dyDescent="0.25">
      <c r="B85" s="919"/>
      <c r="C85" s="1351" t="str">
        <f>CONCATENATE('Reference documents'!B15," 
PPP.PVP.CBL CABLES
PPP.PVP.CBL.02.002 Auxiliary Cables
- CONSTRUCTION TECHNICAL SPECIFICATIONS
- VENDOR INSTALLATION PROCEDURE SPECIFICATIONS")</f>
        <v>GRE.EEC.S.21.IT.P.18371.00.127.00 Technical Specification 
PPP.PVP.CBL CABLES
PPP.PVP.CBL.02.002 Auxiliary Cables
- CONSTRUCTION TECHNICAL SPECIFICATIONS
- VENDOR INSTALLATION PROCEDURE SPECIFICATIONS</v>
      </c>
      <c r="D85" s="900" t="s">
        <v>471</v>
      </c>
      <c r="E85" s="901" t="s">
        <v>472</v>
      </c>
      <c r="F85" s="902" t="s">
        <v>160</v>
      </c>
      <c r="G85" s="900" t="s">
        <v>464</v>
      </c>
      <c r="H85" s="1101">
        <v>0</v>
      </c>
      <c r="I85" s="1290"/>
      <c r="J85" s="1290"/>
      <c r="K85" s="1297">
        <f t="shared" si="44"/>
        <v>0</v>
      </c>
      <c r="L85" s="1290"/>
      <c r="M85" s="1290"/>
      <c r="N85" s="1297">
        <f t="shared" si="45"/>
        <v>0</v>
      </c>
      <c r="O85" s="1298"/>
      <c r="P85" s="1290"/>
      <c r="Q85" s="1298"/>
      <c r="R85" s="1291">
        <f t="shared" si="46"/>
        <v>0</v>
      </c>
      <c r="S85" s="1292">
        <f t="shared" si="47"/>
        <v>0</v>
      </c>
      <c r="T85" s="935"/>
    </row>
    <row r="86" spans="2:20" s="431" customFormat="1" ht="18" customHeight="1" x14ac:dyDescent="0.25">
      <c r="B86" s="945"/>
      <c r="C86" s="928"/>
      <c r="D86" s="946"/>
      <c r="E86" s="928" t="s">
        <v>787</v>
      </c>
      <c r="F86" s="947"/>
      <c r="G86" s="947"/>
      <c r="H86" s="1100"/>
      <c r="I86" s="1100"/>
      <c r="J86" s="1100"/>
      <c r="K86" s="1100"/>
      <c r="L86" s="1100"/>
      <c r="M86" s="1100"/>
      <c r="N86" s="1100"/>
      <c r="O86" s="1100"/>
      <c r="P86" s="1100"/>
      <c r="Q86" s="1100"/>
      <c r="R86" s="947"/>
      <c r="S86" s="1127"/>
      <c r="T86" s="948"/>
    </row>
    <row r="87" spans="2:20" s="431" customFormat="1" ht="76.5" x14ac:dyDescent="0.25">
      <c r="B87" s="919"/>
      <c r="C87" s="1351" t="str">
        <f>CONCATENATE('Reference documents'!B15," :
PPP.PVP.CBL.01.001 AC Cables (sub-section named tests)
EGP.EEC.S.45.XX.P.00000.00.021.12 GRE.EEC.Q.45.XX.P.00000.00.078.04")</f>
        <v>GRE.EEC.S.21.IT.P.18371.00.127.00 Technical Specification :
PPP.PVP.CBL.01.001 AC Cables (sub-section named tests)
EGP.EEC.S.45.XX.P.00000.00.021.12 GRE.EEC.Q.45.XX.P.00000.00.078.04</v>
      </c>
      <c r="D87" s="1222" t="s">
        <v>788</v>
      </c>
      <c r="E87" s="901" t="s">
        <v>789</v>
      </c>
      <c r="F87" s="902" t="s">
        <v>160</v>
      </c>
      <c r="G87" s="1222" t="s">
        <v>786</v>
      </c>
      <c r="H87" s="1101">
        <v>0</v>
      </c>
      <c r="I87" s="1290"/>
      <c r="J87" s="1290"/>
      <c r="K87" s="1297">
        <f t="shared" ref="K87" si="48">I87*J87</f>
        <v>0</v>
      </c>
      <c r="L87" s="1290"/>
      <c r="M87" s="1290"/>
      <c r="N87" s="1297">
        <f t="shared" ref="N87" si="49">L87*M87</f>
        <v>0</v>
      </c>
      <c r="O87" s="1298"/>
      <c r="P87" s="1290"/>
      <c r="Q87" s="1298"/>
      <c r="R87" s="1291">
        <f t="shared" ref="R87" si="50">P87+N87+K87</f>
        <v>0</v>
      </c>
      <c r="S87" s="1292">
        <f t="shared" ref="S87" si="51">IF(F87="na","",H87*R87)</f>
        <v>0</v>
      </c>
      <c r="T87" s="935"/>
    </row>
    <row r="88" spans="2:20" ht="15" customHeight="1" x14ac:dyDescent="0.25">
      <c r="B88" s="1608" t="s">
        <v>790</v>
      </c>
      <c r="C88" s="1608"/>
      <c r="D88" s="1608"/>
      <c r="E88" s="1608"/>
      <c r="F88" s="1609" t="s">
        <v>154</v>
      </c>
      <c r="G88" s="1609"/>
      <c r="H88" s="1609"/>
      <c r="I88" s="1609"/>
      <c r="J88" s="1609"/>
      <c r="K88" s="1609"/>
      <c r="L88" s="1609"/>
      <c r="M88" s="1609"/>
      <c r="N88" s="1609"/>
      <c r="O88" s="1609"/>
      <c r="P88" s="1609"/>
      <c r="Q88" s="1609"/>
      <c r="R88" s="1609"/>
      <c r="S88" s="863">
        <f>SUMIFS(S94:S114,F94:F114,"Mandatory",E94:E114,"=*Supply")</f>
        <v>0</v>
      </c>
      <c r="T88" s="1221"/>
    </row>
    <row r="89" spans="2:20" ht="15" customHeight="1" x14ac:dyDescent="0.25">
      <c r="B89" s="1608"/>
      <c r="C89" s="1608"/>
      <c r="D89" s="1608"/>
      <c r="E89" s="1608"/>
      <c r="F89" s="1609" t="s">
        <v>156</v>
      </c>
      <c r="G89" s="1609"/>
      <c r="H89" s="1609"/>
      <c r="I89" s="1609"/>
      <c r="J89" s="1609"/>
      <c r="K89" s="1609"/>
      <c r="L89" s="1609"/>
      <c r="M89" s="1609"/>
      <c r="N89" s="1609"/>
      <c r="O89" s="1609"/>
      <c r="P89" s="1609"/>
      <c r="Q89" s="1609"/>
      <c r="R89" s="1609"/>
      <c r="S89" s="863">
        <f>SUMIFS(S94:S114,F94:F114,"Optional",E94:E114,"=*Supply")</f>
        <v>0</v>
      </c>
      <c r="T89" s="1221"/>
    </row>
    <row r="90" spans="2:20" ht="15" customHeight="1" x14ac:dyDescent="0.25">
      <c r="B90" s="1608" t="s">
        <v>791</v>
      </c>
      <c r="C90" s="1608"/>
      <c r="D90" s="1608"/>
      <c r="E90" s="1608"/>
      <c r="F90" s="1609" t="s">
        <v>154</v>
      </c>
      <c r="G90" s="1609"/>
      <c r="H90" s="1609"/>
      <c r="I90" s="1609"/>
      <c r="J90" s="1609"/>
      <c r="K90" s="1609"/>
      <c r="L90" s="1609"/>
      <c r="M90" s="1609"/>
      <c r="N90" s="1609"/>
      <c r="O90" s="1609"/>
      <c r="P90" s="1609"/>
      <c r="Q90" s="1609"/>
      <c r="R90" s="1609"/>
      <c r="S90" s="863">
        <f>SUMIFS(S94:S114,F94:F114,"Mandatory",E94:E114,"=*Installation*")</f>
        <v>0</v>
      </c>
      <c r="T90" s="1221"/>
    </row>
    <row r="91" spans="2:20" ht="15" customHeight="1" x14ac:dyDescent="0.25">
      <c r="B91" s="1608"/>
      <c r="C91" s="1608"/>
      <c r="D91" s="1608"/>
      <c r="E91" s="1608"/>
      <c r="F91" s="1609" t="s">
        <v>156</v>
      </c>
      <c r="G91" s="1609"/>
      <c r="H91" s="1609"/>
      <c r="I91" s="1609"/>
      <c r="J91" s="1609"/>
      <c r="K91" s="1609"/>
      <c r="L91" s="1609"/>
      <c r="M91" s="1609"/>
      <c r="N91" s="1609"/>
      <c r="O91" s="1609"/>
      <c r="P91" s="1609"/>
      <c r="Q91" s="1609"/>
      <c r="R91" s="1609"/>
      <c r="S91" s="863">
        <f>SUMIFS(S94:S114,F94:F114,"Optional",E94:E114,"=*Installation*")</f>
        <v>0</v>
      </c>
      <c r="T91" s="1221"/>
    </row>
    <row r="92" spans="2:20" ht="15" customHeight="1" x14ac:dyDescent="0.25">
      <c r="B92" s="1608" t="s">
        <v>792</v>
      </c>
      <c r="C92" s="1608"/>
      <c r="D92" s="1608"/>
      <c r="E92" s="1608"/>
      <c r="F92" s="1609" t="s">
        <v>154</v>
      </c>
      <c r="G92" s="1609"/>
      <c r="H92" s="1609"/>
      <c r="I92" s="1609"/>
      <c r="J92" s="1609"/>
      <c r="K92" s="1609"/>
      <c r="L92" s="1609"/>
      <c r="M92" s="1609"/>
      <c r="N92" s="1609"/>
      <c r="O92" s="1609"/>
      <c r="P92" s="1609"/>
      <c r="Q92" s="1609"/>
      <c r="R92" s="1609"/>
      <c r="S92" s="863">
        <f>SUMIFS(S94:S114,F94:F114,"Mandatory",E94:E114,"=*Test")</f>
        <v>0</v>
      </c>
      <c r="T92" s="1221"/>
    </row>
    <row r="93" spans="2:20" ht="15" customHeight="1" x14ac:dyDescent="0.25">
      <c r="B93" s="1608"/>
      <c r="C93" s="1608"/>
      <c r="D93" s="1608"/>
      <c r="E93" s="1608"/>
      <c r="F93" s="1609" t="s">
        <v>156</v>
      </c>
      <c r="G93" s="1609"/>
      <c r="H93" s="1609"/>
      <c r="I93" s="1609"/>
      <c r="J93" s="1609"/>
      <c r="K93" s="1609"/>
      <c r="L93" s="1609"/>
      <c r="M93" s="1609"/>
      <c r="N93" s="1609"/>
      <c r="O93" s="1609"/>
      <c r="P93" s="1609"/>
      <c r="Q93" s="1609"/>
      <c r="R93" s="1609"/>
      <c r="S93" s="863">
        <f>SUMIFS(S94:S114,F94:F114,"Optional",E94:E114,"=*Test")</f>
        <v>0</v>
      </c>
      <c r="T93" s="1221"/>
    </row>
    <row r="94" spans="2:20" s="431" customFormat="1" ht="18" customHeight="1" x14ac:dyDescent="0.25">
      <c r="B94" s="945"/>
      <c r="C94" s="928"/>
      <c r="D94" s="946" t="s">
        <v>474</v>
      </c>
      <c r="E94" s="928" t="s">
        <v>475</v>
      </c>
      <c r="F94" s="947"/>
      <c r="G94" s="947"/>
      <c r="H94" s="1100"/>
      <c r="I94" s="1100"/>
      <c r="J94" s="1100"/>
      <c r="K94" s="1100"/>
      <c r="L94" s="1100"/>
      <c r="M94" s="1100"/>
      <c r="N94" s="1100"/>
      <c r="O94" s="1100"/>
      <c r="P94" s="1100"/>
      <c r="Q94" s="1100"/>
      <c r="R94" s="947"/>
      <c r="S94" s="1127"/>
      <c r="T94" s="948"/>
    </row>
    <row r="95" spans="2:20" s="431" customFormat="1" ht="51" x14ac:dyDescent="0.25">
      <c r="B95" s="919"/>
      <c r="C95" s="1351" t="str">
        <f>CONCATENATE('Reference documents'!B15," :
PPP.PVP.CBL.03 SIGNAL-DATA CABLE (with all sub-sections)")</f>
        <v>GRE.EEC.S.21.IT.P.18371.00.127.00 Technical Specification :
PPP.PVP.CBL.03 SIGNAL-DATA CABLE (with all sub-sections)</v>
      </c>
      <c r="D95" s="900" t="s">
        <v>476</v>
      </c>
      <c r="E95" s="901" t="s">
        <v>477</v>
      </c>
      <c r="F95" s="902" t="s">
        <v>160</v>
      </c>
      <c r="G95" s="900" t="s">
        <v>345</v>
      </c>
      <c r="H95" s="1101">
        <v>0</v>
      </c>
      <c r="I95" s="1290"/>
      <c r="J95" s="1290"/>
      <c r="K95" s="1297">
        <f t="shared" ref="K95:K99" si="52">I95*J95</f>
        <v>0</v>
      </c>
      <c r="L95" s="1290"/>
      <c r="M95" s="1290"/>
      <c r="N95" s="1297">
        <f t="shared" ref="N95:N99" si="53">L95*M95</f>
        <v>0</v>
      </c>
      <c r="O95" s="1298"/>
      <c r="P95" s="1290"/>
      <c r="Q95" s="1298"/>
      <c r="R95" s="1291">
        <f t="shared" ref="R95:R99" si="54">P95+N95+K95</f>
        <v>0</v>
      </c>
      <c r="S95" s="1292">
        <f t="shared" ref="S95:S99" si="55">IF(F95="na","",H95*R95)</f>
        <v>0</v>
      </c>
      <c r="T95" s="935"/>
    </row>
    <row r="96" spans="2:20" s="431" customFormat="1" ht="89.25" x14ac:dyDescent="0.25">
      <c r="B96" s="919"/>
      <c r="C96" s="1351" t="str">
        <f>CONCATENATE('Reference documents'!B15," :
PPP.PVP.CBL.03 SIGNAL-DATA CABLE (with all sub-sections)
- CONSTRUCTION TECHNICAL SPECIFICATIONS
- VENDOR INSTALLATION PROCEDURE SPECIFICATIONS")</f>
        <v>GRE.EEC.S.21.IT.P.18371.00.127.00 Technical Specification :
PPP.PVP.CBL.03 SIGNAL-DATA CABLE (with all sub-sections)
- CONSTRUCTION TECHNICAL SPECIFICATIONS
- VENDOR INSTALLATION PROCEDURE SPECIFICATIONS</v>
      </c>
      <c r="D96" s="900" t="s">
        <v>478</v>
      </c>
      <c r="E96" s="901" t="s">
        <v>479</v>
      </c>
      <c r="F96" s="902" t="s">
        <v>160</v>
      </c>
      <c r="G96" s="900" t="s">
        <v>345</v>
      </c>
      <c r="H96" s="1101">
        <v>0</v>
      </c>
      <c r="I96" s="1290"/>
      <c r="J96" s="1290"/>
      <c r="K96" s="1297">
        <f t="shared" si="52"/>
        <v>0</v>
      </c>
      <c r="L96" s="1290"/>
      <c r="M96" s="1290"/>
      <c r="N96" s="1297">
        <f t="shared" si="53"/>
        <v>0</v>
      </c>
      <c r="O96" s="1298"/>
      <c r="P96" s="1290"/>
      <c r="Q96" s="1298"/>
      <c r="R96" s="1291">
        <f t="shared" si="54"/>
        <v>0</v>
      </c>
      <c r="S96" s="1292">
        <f t="shared" si="55"/>
        <v>0</v>
      </c>
      <c r="T96" s="935"/>
    </row>
    <row r="97" spans="2:20" s="431" customFormat="1" ht="51" x14ac:dyDescent="0.25">
      <c r="B97" s="919"/>
      <c r="C97" s="1351" t="str">
        <f>CONCATENATE('Reference documents'!B15," :
PPP.PVP.CBL.03 SIGNAL-DATA CABLE (with all sub-sections)")</f>
        <v>GRE.EEC.S.21.IT.P.18371.00.127.00 Technical Specification :
PPP.PVP.CBL.03 SIGNAL-DATA CABLE (with all sub-sections)</v>
      </c>
      <c r="D97" s="900" t="s">
        <v>480</v>
      </c>
      <c r="E97" s="901" t="s">
        <v>481</v>
      </c>
      <c r="F97" s="902" t="s">
        <v>160</v>
      </c>
      <c r="G97" s="900" t="s">
        <v>345</v>
      </c>
      <c r="H97" s="1101">
        <v>0</v>
      </c>
      <c r="I97" s="1290"/>
      <c r="J97" s="1290"/>
      <c r="K97" s="1297">
        <f t="shared" si="52"/>
        <v>0</v>
      </c>
      <c r="L97" s="1290"/>
      <c r="M97" s="1290"/>
      <c r="N97" s="1297">
        <f t="shared" si="53"/>
        <v>0</v>
      </c>
      <c r="O97" s="1298"/>
      <c r="P97" s="1290"/>
      <c r="Q97" s="1298"/>
      <c r="R97" s="1291">
        <f t="shared" si="54"/>
        <v>0</v>
      </c>
      <c r="S97" s="1292">
        <f t="shared" si="55"/>
        <v>0</v>
      </c>
      <c r="T97" s="935"/>
    </row>
    <row r="98" spans="2:20" s="431" customFormat="1" ht="51" x14ac:dyDescent="0.25">
      <c r="B98" s="919"/>
      <c r="C98" s="1351" t="str">
        <f>CONCATENATE('Reference documents'!B15," :
PPP.PVP.CBL.03 SIGNAL-DATA CABLE (with all sub-sections)")</f>
        <v>GRE.EEC.S.21.IT.P.18371.00.127.00 Technical Specification :
PPP.PVP.CBL.03 SIGNAL-DATA CABLE (with all sub-sections)</v>
      </c>
      <c r="D98" s="900" t="s">
        <v>482</v>
      </c>
      <c r="E98" s="901" t="s">
        <v>483</v>
      </c>
      <c r="F98" s="902" t="s">
        <v>160</v>
      </c>
      <c r="G98" s="900" t="s">
        <v>345</v>
      </c>
      <c r="H98" s="1101">
        <v>0</v>
      </c>
      <c r="I98" s="1290"/>
      <c r="J98" s="1290"/>
      <c r="K98" s="1297">
        <f t="shared" si="52"/>
        <v>0</v>
      </c>
      <c r="L98" s="1290"/>
      <c r="M98" s="1290"/>
      <c r="N98" s="1297">
        <f t="shared" si="53"/>
        <v>0</v>
      </c>
      <c r="O98" s="1298"/>
      <c r="P98" s="1290"/>
      <c r="Q98" s="1298"/>
      <c r="R98" s="1291">
        <f t="shared" si="54"/>
        <v>0</v>
      </c>
      <c r="S98" s="1292">
        <f t="shared" si="55"/>
        <v>0</v>
      </c>
      <c r="T98" s="935"/>
    </row>
    <row r="99" spans="2:20" s="431" customFormat="1" ht="89.25" x14ac:dyDescent="0.25">
      <c r="B99" s="919"/>
      <c r="C99" s="1351" t="str">
        <f>CONCATENATE('Reference documents'!B15," :
PPP.PVP.CBL.03 SIGNAL-DATA CABLE (with all sub-sections)
- CONSTRUCTION TECHNICAL SPECIFICATIONS
- VENDOR INSTALLATION PROCEDURE SPECIFICATIONS")</f>
        <v>GRE.EEC.S.21.IT.P.18371.00.127.00 Technical Specification :
PPP.PVP.CBL.03 SIGNAL-DATA CABLE (with all sub-sections)
- CONSTRUCTION TECHNICAL SPECIFICATIONS
- VENDOR INSTALLATION PROCEDURE SPECIFICATIONS</v>
      </c>
      <c r="D99" s="900" t="s">
        <v>484</v>
      </c>
      <c r="E99" s="901" t="s">
        <v>485</v>
      </c>
      <c r="F99" s="902" t="s">
        <v>160</v>
      </c>
      <c r="G99" s="900" t="s">
        <v>345</v>
      </c>
      <c r="H99" s="1101">
        <v>0</v>
      </c>
      <c r="I99" s="1290"/>
      <c r="J99" s="1290"/>
      <c r="K99" s="1297">
        <f t="shared" si="52"/>
        <v>0</v>
      </c>
      <c r="L99" s="1290"/>
      <c r="M99" s="1290"/>
      <c r="N99" s="1297">
        <f t="shared" si="53"/>
        <v>0</v>
      </c>
      <c r="O99" s="1298"/>
      <c r="P99" s="1290"/>
      <c r="Q99" s="1298"/>
      <c r="R99" s="1291">
        <f t="shared" si="54"/>
        <v>0</v>
      </c>
      <c r="S99" s="1292">
        <f t="shared" si="55"/>
        <v>0</v>
      </c>
      <c r="T99" s="935"/>
    </row>
    <row r="100" spans="2:20" s="431" customFormat="1" ht="18" customHeight="1" x14ac:dyDescent="0.25">
      <c r="B100" s="945"/>
      <c r="C100" s="928"/>
      <c r="D100" s="946" t="s">
        <v>486</v>
      </c>
      <c r="E100" s="928" t="s">
        <v>487</v>
      </c>
      <c r="F100" s="947"/>
      <c r="G100" s="947"/>
      <c r="H100" s="1100"/>
      <c r="I100" s="1100"/>
      <c r="J100" s="1100"/>
      <c r="K100" s="1100"/>
      <c r="L100" s="1100"/>
      <c r="M100" s="1100"/>
      <c r="N100" s="1100"/>
      <c r="O100" s="1100"/>
      <c r="P100" s="1100"/>
      <c r="Q100" s="1100"/>
      <c r="R100" s="947"/>
      <c r="S100" s="1127"/>
      <c r="T100" s="948"/>
    </row>
    <row r="101" spans="2:20" s="431" customFormat="1" ht="51" x14ac:dyDescent="0.25">
      <c r="B101" s="919"/>
      <c r="C101" s="1351" t="str">
        <f>CONCATENATE('Reference documents'!B15," :
PPP.PVP.CBL.03 SIGNAL-DATA CABLE (with all sub-sections)")</f>
        <v>GRE.EEC.S.21.IT.P.18371.00.127.00 Technical Specification :
PPP.PVP.CBL.03 SIGNAL-DATA CABLE (with all sub-sections)</v>
      </c>
      <c r="D101" s="900" t="s">
        <v>488</v>
      </c>
      <c r="E101" s="901" t="s">
        <v>489</v>
      </c>
      <c r="F101" s="902" t="s">
        <v>160</v>
      </c>
      <c r="G101" s="900" t="s">
        <v>141</v>
      </c>
      <c r="H101" s="1101">
        <v>0</v>
      </c>
      <c r="I101" s="1290"/>
      <c r="J101" s="1290"/>
      <c r="K101" s="1297">
        <f t="shared" ref="K101:K106" si="56">I101*J101</f>
        <v>0</v>
      </c>
      <c r="L101" s="1290"/>
      <c r="M101" s="1290"/>
      <c r="N101" s="1297">
        <f t="shared" ref="N101:N106" si="57">L101*M101</f>
        <v>0</v>
      </c>
      <c r="O101" s="1298"/>
      <c r="P101" s="1290"/>
      <c r="Q101" s="1298"/>
      <c r="R101" s="1291">
        <f t="shared" ref="R101:R106" si="58">P101+N101+K101</f>
        <v>0</v>
      </c>
      <c r="S101" s="1292">
        <f t="shared" ref="S101:S106" si="59">IF(F101="na","",H101*R101)</f>
        <v>0</v>
      </c>
      <c r="T101" s="935"/>
    </row>
    <row r="102" spans="2:20" s="431" customFormat="1" ht="89.25" x14ac:dyDescent="0.25">
      <c r="B102" s="919"/>
      <c r="C102" s="1351" t="str">
        <f>CONCATENATE('Reference documents'!B15," :
PPP.PVP.CBL.03 SIGNAL-DATA CABLE (with all sub-sections)
- CONSTRUCTION TECHNICAL SPECIFICATIONS
- VENDOR INSTALLATION PROCEDURE SPECIFICATIONS")</f>
        <v>GRE.EEC.S.21.IT.P.18371.00.127.00 Technical Specification :
PPP.PVP.CBL.03 SIGNAL-DATA CABLE (with all sub-sections)
- CONSTRUCTION TECHNICAL SPECIFICATIONS
- VENDOR INSTALLATION PROCEDURE SPECIFICATIONS</v>
      </c>
      <c r="D102" s="900" t="s">
        <v>490</v>
      </c>
      <c r="E102" s="901" t="s">
        <v>491</v>
      </c>
      <c r="F102" s="902" t="s">
        <v>160</v>
      </c>
      <c r="G102" s="900" t="s">
        <v>141</v>
      </c>
      <c r="H102" s="1101">
        <v>0</v>
      </c>
      <c r="I102" s="1290"/>
      <c r="J102" s="1290"/>
      <c r="K102" s="1297">
        <f t="shared" si="56"/>
        <v>0</v>
      </c>
      <c r="L102" s="1290"/>
      <c r="M102" s="1290"/>
      <c r="N102" s="1297">
        <f t="shared" si="57"/>
        <v>0</v>
      </c>
      <c r="O102" s="1298"/>
      <c r="P102" s="1290"/>
      <c r="Q102" s="1298"/>
      <c r="R102" s="1291">
        <f t="shared" si="58"/>
        <v>0</v>
      </c>
      <c r="S102" s="1292">
        <f t="shared" si="59"/>
        <v>0</v>
      </c>
      <c r="T102" s="935"/>
    </row>
    <row r="103" spans="2:20" s="431" customFormat="1" ht="51" x14ac:dyDescent="0.25">
      <c r="B103" s="919"/>
      <c r="C103" s="1351" t="str">
        <f>CONCATENATE('Reference documents'!B15," :
PPP.PVP.CBL.03 SIGNAL-DATA CABLE (with all sub-sections)")</f>
        <v>GRE.EEC.S.21.IT.P.18371.00.127.00 Technical Specification :
PPP.PVP.CBL.03 SIGNAL-DATA CABLE (with all sub-sections)</v>
      </c>
      <c r="D103" s="900" t="s">
        <v>492</v>
      </c>
      <c r="E103" s="901" t="s">
        <v>493</v>
      </c>
      <c r="F103" s="902" t="s">
        <v>160</v>
      </c>
      <c r="G103" s="900" t="s">
        <v>141</v>
      </c>
      <c r="H103" s="1101">
        <v>0</v>
      </c>
      <c r="I103" s="1290"/>
      <c r="J103" s="1290"/>
      <c r="K103" s="1297">
        <f t="shared" si="56"/>
        <v>0</v>
      </c>
      <c r="L103" s="1290"/>
      <c r="M103" s="1290"/>
      <c r="N103" s="1297">
        <f t="shared" si="57"/>
        <v>0</v>
      </c>
      <c r="O103" s="1298"/>
      <c r="P103" s="1290"/>
      <c r="Q103" s="1298"/>
      <c r="R103" s="1291">
        <f t="shared" si="58"/>
        <v>0</v>
      </c>
      <c r="S103" s="1292">
        <f t="shared" si="59"/>
        <v>0</v>
      </c>
      <c r="T103" s="935"/>
    </row>
    <row r="104" spans="2:20" s="431" customFormat="1" ht="51" x14ac:dyDescent="0.25">
      <c r="B104" s="919"/>
      <c r="C104" s="1351" t="str">
        <f>CONCATENATE('Reference documents'!B15," :
PPP.PVP.CBL.03 SIGNAL-DATA CABLE (with all sub-sections)")</f>
        <v>GRE.EEC.S.21.IT.P.18371.00.127.00 Technical Specification :
PPP.PVP.CBL.03 SIGNAL-DATA CABLE (with all sub-sections)</v>
      </c>
      <c r="D104" s="900" t="s">
        <v>494</v>
      </c>
      <c r="E104" s="901" t="s">
        <v>495</v>
      </c>
      <c r="F104" s="902" t="s">
        <v>160</v>
      </c>
      <c r="G104" s="900" t="s">
        <v>141</v>
      </c>
      <c r="H104" s="1101">
        <v>0</v>
      </c>
      <c r="I104" s="1290"/>
      <c r="J104" s="1290"/>
      <c r="K104" s="1297">
        <f t="shared" si="56"/>
        <v>0</v>
      </c>
      <c r="L104" s="1290"/>
      <c r="M104" s="1290"/>
      <c r="N104" s="1297">
        <f t="shared" si="57"/>
        <v>0</v>
      </c>
      <c r="O104" s="1298"/>
      <c r="P104" s="1290"/>
      <c r="Q104" s="1298"/>
      <c r="R104" s="1291">
        <f t="shared" si="58"/>
        <v>0</v>
      </c>
      <c r="S104" s="1292">
        <f t="shared" si="59"/>
        <v>0</v>
      </c>
      <c r="T104" s="935"/>
    </row>
    <row r="105" spans="2:20" s="431" customFormat="1" ht="17.25" customHeight="1" x14ac:dyDescent="0.25">
      <c r="B105" s="919"/>
      <c r="C105" s="1351" t="str">
        <f>CONCATENATE('Reference documents'!B15," :
PPP.PVP.CBL.03 SIGNAL-DATA CABLE (with all sub-sections)
- CONSTRUCTION TECHNICAL SPECIFICATIONS
- VENDOR INSTALLATION PROCEDURE SPECIFICATIONS")</f>
        <v>GRE.EEC.S.21.IT.P.18371.00.127.00 Technical Specification :
PPP.PVP.CBL.03 SIGNAL-DATA CABLE (with all sub-sections)
- CONSTRUCTION TECHNICAL SPECIFICATIONS
- VENDOR INSTALLATION PROCEDURE SPECIFICATIONS</v>
      </c>
      <c r="D105" s="900" t="s">
        <v>496</v>
      </c>
      <c r="E105" s="901" t="s">
        <v>497</v>
      </c>
      <c r="F105" s="902" t="s">
        <v>160</v>
      </c>
      <c r="G105" s="900" t="s">
        <v>141</v>
      </c>
      <c r="H105" s="1101">
        <v>0</v>
      </c>
      <c r="I105" s="1290"/>
      <c r="J105" s="1290"/>
      <c r="K105" s="1297">
        <f t="shared" si="56"/>
        <v>0</v>
      </c>
      <c r="L105" s="1290"/>
      <c r="M105" s="1290"/>
      <c r="N105" s="1297">
        <f t="shared" si="57"/>
        <v>0</v>
      </c>
      <c r="O105" s="1298"/>
      <c r="P105" s="1290"/>
      <c r="Q105" s="1298"/>
      <c r="R105" s="1291">
        <f t="shared" si="58"/>
        <v>0</v>
      </c>
      <c r="S105" s="1292">
        <f t="shared" si="59"/>
        <v>0</v>
      </c>
      <c r="T105" s="935"/>
    </row>
    <row r="106" spans="2:20" s="431" customFormat="1" ht="89.25" x14ac:dyDescent="0.25">
      <c r="B106" s="919"/>
      <c r="C106" s="1351" t="str">
        <f>CONCATENATE('Reference documents'!B15," :
PPP.PVP.CBL.03 SIGNAL-DATA CABLE (with all sub-sections)
- CONSTRUCTION TECHNICAL SPECIFICATIONS
- VENDOR INSTALLATION PROCEDURE SPECIFICATIONS")</f>
        <v>GRE.EEC.S.21.IT.P.18371.00.127.00 Technical Specification :
PPP.PVP.CBL.03 SIGNAL-DATA CABLE (with all sub-sections)
- CONSTRUCTION TECHNICAL SPECIFICATIONS
- VENDOR INSTALLATION PROCEDURE SPECIFICATIONS</v>
      </c>
      <c r="D106" s="900" t="s">
        <v>498</v>
      </c>
      <c r="E106" s="901" t="s">
        <v>499</v>
      </c>
      <c r="F106" s="902" t="s">
        <v>160</v>
      </c>
      <c r="G106" s="900" t="s">
        <v>141</v>
      </c>
      <c r="H106" s="1101">
        <v>0</v>
      </c>
      <c r="I106" s="1290"/>
      <c r="J106" s="1290"/>
      <c r="K106" s="1297">
        <f t="shared" si="56"/>
        <v>0</v>
      </c>
      <c r="L106" s="1290"/>
      <c r="M106" s="1290"/>
      <c r="N106" s="1297">
        <f t="shared" si="57"/>
        <v>0</v>
      </c>
      <c r="O106" s="1298"/>
      <c r="P106" s="1290"/>
      <c r="Q106" s="1298"/>
      <c r="R106" s="1291">
        <f t="shared" si="58"/>
        <v>0</v>
      </c>
      <c r="S106" s="1292">
        <f t="shared" si="59"/>
        <v>0</v>
      </c>
      <c r="T106" s="935"/>
    </row>
    <row r="107" spans="2:20" s="431" customFormat="1" ht="18" customHeight="1" x14ac:dyDescent="0.25">
      <c r="B107" s="945"/>
      <c r="C107" s="928"/>
      <c r="D107" s="946"/>
      <c r="E107" s="928" t="s">
        <v>793</v>
      </c>
      <c r="F107" s="947"/>
      <c r="G107" s="947"/>
      <c r="H107" s="1100"/>
      <c r="I107" s="1100"/>
      <c r="J107" s="1100"/>
      <c r="K107" s="1100"/>
      <c r="L107" s="1100"/>
      <c r="M107" s="1100"/>
      <c r="N107" s="1100"/>
      <c r="O107" s="1100"/>
      <c r="P107" s="1100"/>
      <c r="Q107" s="1100"/>
      <c r="R107" s="947"/>
      <c r="S107" s="1127"/>
      <c r="T107" s="948"/>
    </row>
    <row r="108" spans="2:20" s="431" customFormat="1" ht="76.5" x14ac:dyDescent="0.25">
      <c r="B108" s="919"/>
      <c r="C108" s="1351" t="str">
        <f>CONCATENATE('Reference documents'!B15," :
PPP.PVP.CBL.01.001 AC Cables (sub-section named tests)
EGP.EEC.S.45.XX.P.00000.00.021.12 GRE.EEC.Q.45.XX.P.00000.00.078.04")</f>
        <v>GRE.EEC.S.21.IT.P.18371.00.127.00 Technical Specification :
PPP.PVP.CBL.01.001 AC Cables (sub-section named tests)
EGP.EEC.S.45.XX.P.00000.00.021.12 GRE.EEC.Q.45.XX.P.00000.00.078.04</v>
      </c>
      <c r="D108" s="1222" t="s">
        <v>794</v>
      </c>
      <c r="E108" s="901" t="s">
        <v>795</v>
      </c>
      <c r="F108" s="902" t="s">
        <v>160</v>
      </c>
      <c r="G108" s="1222" t="s">
        <v>786</v>
      </c>
      <c r="H108" s="1101">
        <v>0</v>
      </c>
      <c r="I108" s="1290"/>
      <c r="J108" s="1290"/>
      <c r="K108" s="1297">
        <f t="shared" ref="K108:K112" si="60">I108*J108</f>
        <v>0</v>
      </c>
      <c r="L108" s="1290"/>
      <c r="M108" s="1290"/>
      <c r="N108" s="1297">
        <f t="shared" ref="N108:N112" si="61">L108*M108</f>
        <v>0</v>
      </c>
      <c r="O108" s="1298"/>
      <c r="P108" s="1290"/>
      <c r="Q108" s="1298"/>
      <c r="R108" s="1291">
        <f t="shared" ref="R108:R112" si="62">P108+N108+K108</f>
        <v>0</v>
      </c>
      <c r="S108" s="1292">
        <f t="shared" ref="S108:S112" si="63">IF(F108="na","",H108*R108)</f>
        <v>0</v>
      </c>
      <c r="T108" s="935"/>
    </row>
    <row r="109" spans="2:20" s="431" customFormat="1" ht="25.5" x14ac:dyDescent="0.25">
      <c r="B109" s="919"/>
      <c r="C109" s="1351"/>
      <c r="D109" s="1222" t="s">
        <v>796</v>
      </c>
      <c r="E109" s="901" t="s">
        <v>797</v>
      </c>
      <c r="F109" s="902" t="s">
        <v>160</v>
      </c>
      <c r="G109" s="1222" t="s">
        <v>786</v>
      </c>
      <c r="H109" s="1101">
        <v>0</v>
      </c>
      <c r="I109" s="1290"/>
      <c r="J109" s="1290"/>
      <c r="K109" s="1297">
        <f t="shared" si="60"/>
        <v>0</v>
      </c>
      <c r="L109" s="1290"/>
      <c r="M109" s="1290"/>
      <c r="N109" s="1297">
        <f t="shared" si="61"/>
        <v>0</v>
      </c>
      <c r="O109" s="1298"/>
      <c r="P109" s="1290"/>
      <c r="Q109" s="1298"/>
      <c r="R109" s="1291">
        <f t="shared" si="62"/>
        <v>0</v>
      </c>
      <c r="S109" s="1292">
        <f t="shared" si="63"/>
        <v>0</v>
      </c>
      <c r="T109" s="935"/>
    </row>
    <row r="110" spans="2:20" s="431" customFormat="1" ht="25.5" x14ac:dyDescent="0.25">
      <c r="B110" s="919"/>
      <c r="C110" s="1351"/>
      <c r="D110" s="1222" t="s">
        <v>798</v>
      </c>
      <c r="E110" s="901" t="s">
        <v>799</v>
      </c>
      <c r="F110" s="902" t="s">
        <v>160</v>
      </c>
      <c r="G110" s="1222" t="s">
        <v>786</v>
      </c>
      <c r="H110" s="1101">
        <v>0</v>
      </c>
      <c r="I110" s="1290"/>
      <c r="J110" s="1290"/>
      <c r="K110" s="1297">
        <f t="shared" si="60"/>
        <v>0</v>
      </c>
      <c r="L110" s="1290"/>
      <c r="M110" s="1290"/>
      <c r="N110" s="1297">
        <f t="shared" si="61"/>
        <v>0</v>
      </c>
      <c r="O110" s="1298"/>
      <c r="P110" s="1290"/>
      <c r="Q110" s="1298"/>
      <c r="R110" s="1291">
        <f t="shared" si="62"/>
        <v>0</v>
      </c>
      <c r="S110" s="1292">
        <f t="shared" si="63"/>
        <v>0</v>
      </c>
      <c r="T110" s="935"/>
    </row>
    <row r="111" spans="2:20" s="431" customFormat="1" ht="45" customHeight="1" x14ac:dyDescent="0.25">
      <c r="B111" s="919"/>
      <c r="C111" s="1351" t="str">
        <f>CONCATENATE('Reference documents'!B15," :
PPP.PVP.CBL.01.001 AC Cables (sub-section named tests)
EGP.EEC.S.45.XX.P.00000.00.021.12 GRE.EEC.Q.45.XX.P.00000.00.078.04")</f>
        <v>GRE.EEC.S.21.IT.P.18371.00.127.00 Technical Specification :
PPP.PVP.CBL.01.001 AC Cables (sub-section named tests)
EGP.EEC.S.45.XX.P.00000.00.021.12 GRE.EEC.Q.45.XX.P.00000.00.078.04</v>
      </c>
      <c r="D111" s="1222" t="s">
        <v>800</v>
      </c>
      <c r="E111" s="901" t="s">
        <v>801</v>
      </c>
      <c r="F111" s="902" t="s">
        <v>160</v>
      </c>
      <c r="G111" s="1222" t="s">
        <v>786</v>
      </c>
      <c r="H111" s="1101">
        <v>0</v>
      </c>
      <c r="I111" s="1290"/>
      <c r="J111" s="1290"/>
      <c r="K111" s="1297">
        <f t="shared" si="60"/>
        <v>0</v>
      </c>
      <c r="L111" s="1290"/>
      <c r="M111" s="1290"/>
      <c r="N111" s="1297">
        <f t="shared" si="61"/>
        <v>0</v>
      </c>
      <c r="O111" s="1298"/>
      <c r="P111" s="1290"/>
      <c r="Q111" s="1298"/>
      <c r="R111" s="1291">
        <f t="shared" si="62"/>
        <v>0</v>
      </c>
      <c r="S111" s="1292">
        <f t="shared" si="63"/>
        <v>0</v>
      </c>
      <c r="T111" s="935"/>
    </row>
    <row r="112" spans="2:20" s="431" customFormat="1" ht="102" x14ac:dyDescent="0.25">
      <c r="B112" s="919"/>
      <c r="C112" s="1351" t="str">
        <f>CONCATENATE('Reference documents'!B15," 
PPP.PVP.CBL.03 SIGNAL-DATA CABLE (with all sub-sections)
PPP.PVP.CBL.01.001 AC Cables (sub-section named tests)
EGP.EEC.S.45.XX.P.00000.00.021.12 GRE.EEC.Q.45.XX.P.00000.00.078.04")</f>
        <v>GRE.EEC.S.21.IT.P.18371.00.127.00 Technical Specification 
PPP.PVP.CBL.03 SIGNAL-DATA CABLE (with all sub-sections)
PPP.PVP.CBL.01.001 AC Cables (sub-section named tests)
EGP.EEC.S.45.XX.P.00000.00.021.12 GRE.EEC.Q.45.XX.P.00000.00.078.04</v>
      </c>
      <c r="D112" s="1222" t="s">
        <v>802</v>
      </c>
      <c r="E112" s="901" t="s">
        <v>803</v>
      </c>
      <c r="F112" s="902" t="s">
        <v>160</v>
      </c>
      <c r="G112" s="1222" t="s">
        <v>786</v>
      </c>
      <c r="H112" s="1101">
        <v>0</v>
      </c>
      <c r="I112" s="1290"/>
      <c r="J112" s="1290"/>
      <c r="K112" s="1297">
        <f t="shared" si="60"/>
        <v>0</v>
      </c>
      <c r="L112" s="1290"/>
      <c r="M112" s="1290"/>
      <c r="N112" s="1297">
        <f t="shared" si="61"/>
        <v>0</v>
      </c>
      <c r="O112" s="1298"/>
      <c r="P112" s="1290"/>
      <c r="Q112" s="1298"/>
      <c r="R112" s="1291">
        <f t="shared" si="62"/>
        <v>0</v>
      </c>
      <c r="S112" s="1292">
        <f t="shared" si="63"/>
        <v>0</v>
      </c>
      <c r="T112" s="935"/>
    </row>
    <row r="113" spans="2:20" s="431" customFormat="1" ht="18" customHeight="1" x14ac:dyDescent="0.25">
      <c r="B113" s="945"/>
      <c r="C113" s="928"/>
      <c r="D113" s="946" t="s">
        <v>500</v>
      </c>
      <c r="E113" s="928" t="s">
        <v>501</v>
      </c>
      <c r="F113" s="947"/>
      <c r="G113" s="947"/>
      <c r="H113" s="1100"/>
      <c r="I113" s="1100"/>
      <c r="J113" s="1100"/>
      <c r="K113" s="1100"/>
      <c r="L113" s="1100"/>
      <c r="M113" s="1100"/>
      <c r="N113" s="1100"/>
      <c r="O113" s="1100"/>
      <c r="P113" s="1100"/>
      <c r="Q113" s="1100"/>
      <c r="R113" s="947"/>
      <c r="S113" s="1127"/>
      <c r="T113" s="948"/>
    </row>
    <row r="114" spans="2:20" s="431" customFormat="1" ht="37.5" customHeight="1" x14ac:dyDescent="0.25">
      <c r="B114" s="919"/>
      <c r="C114" s="1285" t="str">
        <f>CONCATENATE('Reference documents'!B15,
"PPP.PVP.DIN.05.003 Hanger Structures Cableway")</f>
        <v>GRE.EEC.S.21.IT.P.18371.00.127.00 Technical SpecificationPPP.PVP.DIN.05.003 Hanger Structures Cableway</v>
      </c>
      <c r="D114" s="900" t="s">
        <v>502</v>
      </c>
      <c r="E114" s="901" t="s">
        <v>503</v>
      </c>
      <c r="F114" s="902" t="s">
        <v>167</v>
      </c>
      <c r="G114" s="900" t="s">
        <v>345</v>
      </c>
      <c r="H114" s="1101">
        <v>0</v>
      </c>
      <c r="I114" s="1290"/>
      <c r="J114" s="1290"/>
      <c r="K114" s="1297">
        <f t="shared" ref="K114" si="64">I114*J114</f>
        <v>0</v>
      </c>
      <c r="L114" s="1290"/>
      <c r="M114" s="1290"/>
      <c r="N114" s="1297">
        <f t="shared" ref="N114" si="65">L114*M114</f>
        <v>0</v>
      </c>
      <c r="O114" s="1298"/>
      <c r="P114" s="1290"/>
      <c r="Q114" s="1298"/>
      <c r="R114" s="1291">
        <f t="shared" ref="R114" si="66">P114+N114+K114</f>
        <v>0</v>
      </c>
      <c r="S114" s="1292">
        <f t="shared" ref="S114" si="67">IF(F114="na","",H114*R114)</f>
        <v>0</v>
      </c>
      <c r="T114" s="935"/>
    </row>
    <row r="115" spans="2:20" ht="15" customHeight="1" x14ac:dyDescent="0.25">
      <c r="B115" s="1608" t="s">
        <v>102</v>
      </c>
      <c r="C115" s="1608"/>
      <c r="D115" s="1608"/>
      <c r="E115" s="1608"/>
      <c r="F115" s="1609" t="s">
        <v>154</v>
      </c>
      <c r="G115" s="1609"/>
      <c r="H115" s="1609"/>
      <c r="I115" s="1609"/>
      <c r="J115" s="1609"/>
      <c r="K115" s="1609"/>
      <c r="L115" s="1609"/>
      <c r="M115" s="1609"/>
      <c r="N115" s="1609"/>
      <c r="O115" s="1609"/>
      <c r="P115" s="1609"/>
      <c r="Q115" s="1609"/>
      <c r="R115" s="1609"/>
      <c r="S115" s="863">
        <f>SUMIFS(S121:S142,F121:F142,"Mandatory",E121:E142,"=*Supply")</f>
        <v>0</v>
      </c>
      <c r="T115" s="1221"/>
    </row>
    <row r="116" spans="2:20" ht="15" customHeight="1" x14ac:dyDescent="0.25">
      <c r="B116" s="1608"/>
      <c r="C116" s="1608"/>
      <c r="D116" s="1608"/>
      <c r="E116" s="1608"/>
      <c r="F116" s="1609" t="s">
        <v>156</v>
      </c>
      <c r="G116" s="1609"/>
      <c r="H116" s="1609"/>
      <c r="I116" s="1609"/>
      <c r="J116" s="1609"/>
      <c r="K116" s="1609"/>
      <c r="L116" s="1609"/>
      <c r="M116" s="1609"/>
      <c r="N116" s="1609"/>
      <c r="O116" s="1609"/>
      <c r="P116" s="1609"/>
      <c r="Q116" s="1609"/>
      <c r="R116" s="1609"/>
      <c r="S116" s="863">
        <f>SUMIFS(S121:S142,F121:F142,"Optional",E121:E142,"=*Supply")</f>
        <v>0</v>
      </c>
      <c r="T116" s="1221"/>
    </row>
    <row r="117" spans="2:20" ht="15" customHeight="1" x14ac:dyDescent="0.25">
      <c r="B117" s="1608" t="s">
        <v>89</v>
      </c>
      <c r="C117" s="1608"/>
      <c r="D117" s="1608"/>
      <c r="E117" s="1608"/>
      <c r="F117" s="1609" t="s">
        <v>154</v>
      </c>
      <c r="G117" s="1609"/>
      <c r="H117" s="1609"/>
      <c r="I117" s="1609"/>
      <c r="J117" s="1609"/>
      <c r="K117" s="1609"/>
      <c r="L117" s="1609"/>
      <c r="M117" s="1609"/>
      <c r="N117" s="1609"/>
      <c r="O117" s="1609"/>
      <c r="P117" s="1609"/>
      <c r="Q117" s="1609"/>
      <c r="R117" s="1609"/>
      <c r="S117" s="863">
        <f>SUMIFS(S121:S142,F121:F142,"Mandatory",E121:E142,"=*Installation*")</f>
        <v>0</v>
      </c>
      <c r="T117" s="1221"/>
    </row>
    <row r="118" spans="2:20" ht="15" customHeight="1" x14ac:dyDescent="0.25">
      <c r="B118" s="1608"/>
      <c r="C118" s="1608"/>
      <c r="D118" s="1608"/>
      <c r="E118" s="1608"/>
      <c r="F118" s="1609" t="s">
        <v>156</v>
      </c>
      <c r="G118" s="1609"/>
      <c r="H118" s="1609"/>
      <c r="I118" s="1609"/>
      <c r="J118" s="1609"/>
      <c r="K118" s="1609"/>
      <c r="L118" s="1609"/>
      <c r="M118" s="1609"/>
      <c r="N118" s="1609"/>
      <c r="O118" s="1609"/>
      <c r="P118" s="1609"/>
      <c r="Q118" s="1609"/>
      <c r="R118" s="1609"/>
      <c r="S118" s="863">
        <f>SUMIFS(S121:S142,F121:F142,"Optional",E121:E142,"=*Installation*")</f>
        <v>0</v>
      </c>
      <c r="T118" s="1221"/>
    </row>
    <row r="119" spans="2:20" ht="15" customHeight="1" x14ac:dyDescent="0.25">
      <c r="B119" s="1608" t="s">
        <v>804</v>
      </c>
      <c r="C119" s="1608"/>
      <c r="D119" s="1608"/>
      <c r="E119" s="1608"/>
      <c r="F119" s="1609" t="s">
        <v>154</v>
      </c>
      <c r="G119" s="1609"/>
      <c r="H119" s="1609"/>
      <c r="I119" s="1609"/>
      <c r="J119" s="1609"/>
      <c r="K119" s="1609"/>
      <c r="L119" s="1609"/>
      <c r="M119" s="1609"/>
      <c r="N119" s="1609"/>
      <c r="O119" s="1609"/>
      <c r="P119" s="1609"/>
      <c r="Q119" s="1609"/>
      <c r="R119" s="1609"/>
      <c r="S119" s="863">
        <f>SUMIFS(S121:S142,F121:F142,"Mandatory",E121:E142,"=*Test")</f>
        <v>0</v>
      </c>
      <c r="T119" s="1221"/>
    </row>
    <row r="120" spans="2:20" ht="15" customHeight="1" x14ac:dyDescent="0.25">
      <c r="B120" s="1608"/>
      <c r="C120" s="1608"/>
      <c r="D120" s="1608"/>
      <c r="E120" s="1608"/>
      <c r="F120" s="1609" t="s">
        <v>156</v>
      </c>
      <c r="G120" s="1609"/>
      <c r="H120" s="1609"/>
      <c r="I120" s="1609"/>
      <c r="J120" s="1609"/>
      <c r="K120" s="1609"/>
      <c r="L120" s="1609"/>
      <c r="M120" s="1609"/>
      <c r="N120" s="1609"/>
      <c r="O120" s="1609"/>
      <c r="P120" s="1609"/>
      <c r="Q120" s="1609"/>
      <c r="R120" s="1609"/>
      <c r="S120" s="863">
        <f>SUMIFS(S121:S142,F121:F142,"Optional",E121:E142,"=*Test")</f>
        <v>0</v>
      </c>
      <c r="T120" s="1221"/>
    </row>
    <row r="121" spans="2:20" s="431" customFormat="1" ht="18" customHeight="1" x14ac:dyDescent="0.25">
      <c r="B121" s="945"/>
      <c r="C121" s="928"/>
      <c r="D121" s="946" t="s">
        <v>505</v>
      </c>
      <c r="E121" s="928" t="s">
        <v>506</v>
      </c>
      <c r="F121" s="947"/>
      <c r="G121" s="947"/>
      <c r="H121" s="1100"/>
      <c r="I121" s="1100"/>
      <c r="J121" s="1100"/>
      <c r="K121" s="1100"/>
      <c r="L121" s="1100"/>
      <c r="M121" s="1100"/>
      <c r="N121" s="1100"/>
      <c r="O121" s="1100"/>
      <c r="P121" s="1100"/>
      <c r="Q121" s="1100"/>
      <c r="R121" s="947"/>
      <c r="S121" s="1127"/>
      <c r="T121" s="948"/>
    </row>
    <row r="122" spans="2:20" ht="76.5" x14ac:dyDescent="0.25">
      <c r="B122" s="943"/>
      <c r="C122" s="1351"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22" s="879" t="s">
        <v>507</v>
      </c>
      <c r="E122" s="942" t="s">
        <v>508</v>
      </c>
      <c r="F122" s="902" t="s">
        <v>160</v>
      </c>
      <c r="G122" s="900" t="s">
        <v>345</v>
      </c>
      <c r="H122" s="1101">
        <v>0</v>
      </c>
      <c r="I122" s="1290"/>
      <c r="J122" s="1290"/>
      <c r="K122" s="1297">
        <f t="shared" ref="K122:K131" si="68">I122*J122</f>
        <v>0</v>
      </c>
      <c r="L122" s="1290"/>
      <c r="M122" s="1290"/>
      <c r="N122" s="1297">
        <f t="shared" ref="N122:N131" si="69">L122*M122</f>
        <v>0</v>
      </c>
      <c r="O122" s="1298"/>
      <c r="P122" s="1290"/>
      <c r="Q122" s="1298"/>
      <c r="R122" s="1291">
        <f t="shared" ref="R122:R131" si="70">P122+N122+K122</f>
        <v>0</v>
      </c>
      <c r="S122" s="1292">
        <f t="shared" ref="S122:S131" si="71">IF(F122="na","",H122*R122)</f>
        <v>0</v>
      </c>
      <c r="T122" s="935"/>
    </row>
    <row r="123" spans="2:20" ht="76.5" x14ac:dyDescent="0.25">
      <c r="B123" s="943"/>
      <c r="C123" s="1351"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23" s="879" t="s">
        <v>509</v>
      </c>
      <c r="E123" s="942" t="s">
        <v>510</v>
      </c>
      <c r="F123" s="902" t="s">
        <v>160</v>
      </c>
      <c r="G123" s="900" t="s">
        <v>345</v>
      </c>
      <c r="H123" s="1101">
        <v>0</v>
      </c>
      <c r="I123" s="1290"/>
      <c r="J123" s="1290"/>
      <c r="K123" s="1297">
        <f t="shared" si="68"/>
        <v>0</v>
      </c>
      <c r="L123" s="1290"/>
      <c r="M123" s="1290"/>
      <c r="N123" s="1297">
        <f t="shared" si="69"/>
        <v>0</v>
      </c>
      <c r="O123" s="1298"/>
      <c r="P123" s="1290"/>
      <c r="Q123" s="1298"/>
      <c r="R123" s="1291">
        <f t="shared" si="70"/>
        <v>0</v>
      </c>
      <c r="S123" s="1292">
        <f t="shared" si="71"/>
        <v>0</v>
      </c>
      <c r="T123" s="935"/>
    </row>
    <row r="124" spans="2:20" ht="73.5" customHeight="1" x14ac:dyDescent="0.25">
      <c r="B124" s="943"/>
      <c r="C124" s="1351"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24" s="879" t="s">
        <v>511</v>
      </c>
      <c r="E124" s="942" t="s">
        <v>512</v>
      </c>
      <c r="F124" s="902" t="s">
        <v>160</v>
      </c>
      <c r="G124" s="900" t="s">
        <v>345</v>
      </c>
      <c r="H124" s="1101">
        <v>0</v>
      </c>
      <c r="I124" s="1290"/>
      <c r="J124" s="1290"/>
      <c r="K124" s="1297">
        <f t="shared" si="68"/>
        <v>0</v>
      </c>
      <c r="L124" s="1290"/>
      <c r="M124" s="1290"/>
      <c r="N124" s="1297">
        <f t="shared" si="69"/>
        <v>0</v>
      </c>
      <c r="O124" s="1298"/>
      <c r="P124" s="1290"/>
      <c r="Q124" s="1298"/>
      <c r="R124" s="1291">
        <f t="shared" si="70"/>
        <v>0</v>
      </c>
      <c r="S124" s="1292">
        <f t="shared" si="71"/>
        <v>0</v>
      </c>
      <c r="T124" s="935"/>
    </row>
    <row r="125" spans="2:20" ht="76.5" x14ac:dyDescent="0.25">
      <c r="B125" s="943"/>
      <c r="C125" s="1351"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25" s="879" t="s">
        <v>513</v>
      </c>
      <c r="E125" s="942" t="s">
        <v>514</v>
      </c>
      <c r="F125" s="902" t="s">
        <v>160</v>
      </c>
      <c r="G125" s="900" t="s">
        <v>345</v>
      </c>
      <c r="H125" s="1101">
        <v>0</v>
      </c>
      <c r="I125" s="1290"/>
      <c r="J125" s="1290"/>
      <c r="K125" s="1297">
        <f t="shared" si="68"/>
        <v>0</v>
      </c>
      <c r="L125" s="1290"/>
      <c r="M125" s="1290"/>
      <c r="N125" s="1297">
        <f t="shared" si="69"/>
        <v>0</v>
      </c>
      <c r="O125" s="1298"/>
      <c r="P125" s="1290"/>
      <c r="Q125" s="1298"/>
      <c r="R125" s="1291">
        <f t="shared" si="70"/>
        <v>0</v>
      </c>
      <c r="S125" s="1292">
        <f t="shared" si="71"/>
        <v>0</v>
      </c>
      <c r="T125" s="935"/>
    </row>
    <row r="126" spans="2:20" ht="76.5" x14ac:dyDescent="0.25">
      <c r="B126" s="943"/>
      <c r="C126" s="1351"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26" s="879" t="s">
        <v>515</v>
      </c>
      <c r="E126" s="942" t="s">
        <v>516</v>
      </c>
      <c r="F126" s="902" t="s">
        <v>160</v>
      </c>
      <c r="G126" s="900" t="s">
        <v>345</v>
      </c>
      <c r="H126" s="1101">
        <v>0</v>
      </c>
      <c r="I126" s="1290"/>
      <c r="J126" s="1290"/>
      <c r="K126" s="1297">
        <f t="shared" si="68"/>
        <v>0</v>
      </c>
      <c r="L126" s="1290"/>
      <c r="M126" s="1290"/>
      <c r="N126" s="1297">
        <f t="shared" si="69"/>
        <v>0</v>
      </c>
      <c r="O126" s="1298"/>
      <c r="P126" s="1290"/>
      <c r="Q126" s="1298"/>
      <c r="R126" s="1291">
        <f t="shared" si="70"/>
        <v>0</v>
      </c>
      <c r="S126" s="1292">
        <f t="shared" si="71"/>
        <v>0</v>
      </c>
      <c r="T126" s="935"/>
    </row>
    <row r="127" spans="2:20" ht="76.5" x14ac:dyDescent="0.25">
      <c r="B127" s="943"/>
      <c r="C127" s="1351"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27" s="879" t="s">
        <v>517</v>
      </c>
      <c r="E127" s="942" t="s">
        <v>518</v>
      </c>
      <c r="F127" s="902" t="s">
        <v>160</v>
      </c>
      <c r="G127" s="900" t="s">
        <v>345</v>
      </c>
      <c r="H127" s="1101">
        <v>0</v>
      </c>
      <c r="I127" s="1290"/>
      <c r="J127" s="1290"/>
      <c r="K127" s="1297">
        <f t="shared" si="68"/>
        <v>0</v>
      </c>
      <c r="L127" s="1290"/>
      <c r="M127" s="1290"/>
      <c r="N127" s="1297">
        <f t="shared" si="69"/>
        <v>0</v>
      </c>
      <c r="O127" s="1298"/>
      <c r="P127" s="1290"/>
      <c r="Q127" s="1298"/>
      <c r="R127" s="1291">
        <f t="shared" si="70"/>
        <v>0</v>
      </c>
      <c r="S127" s="1292">
        <f t="shared" si="71"/>
        <v>0</v>
      </c>
      <c r="T127" s="935"/>
    </row>
    <row r="128" spans="2:20" ht="76.5" x14ac:dyDescent="0.25">
      <c r="B128" s="943"/>
      <c r="C128" s="1351"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28" s="879" t="s">
        <v>519</v>
      </c>
      <c r="E128" s="942" t="s">
        <v>520</v>
      </c>
      <c r="F128" s="902" t="s">
        <v>160</v>
      </c>
      <c r="G128" s="900" t="s">
        <v>345</v>
      </c>
      <c r="H128" s="1101">
        <v>0</v>
      </c>
      <c r="I128" s="1290"/>
      <c r="J128" s="1290"/>
      <c r="K128" s="1297">
        <f t="shared" si="68"/>
        <v>0</v>
      </c>
      <c r="L128" s="1290"/>
      <c r="M128" s="1290"/>
      <c r="N128" s="1297">
        <f t="shared" si="69"/>
        <v>0</v>
      </c>
      <c r="O128" s="1298"/>
      <c r="P128" s="1290"/>
      <c r="Q128" s="1298"/>
      <c r="R128" s="1291">
        <f t="shared" si="70"/>
        <v>0</v>
      </c>
      <c r="S128" s="1292">
        <f t="shared" si="71"/>
        <v>0</v>
      </c>
      <c r="T128" s="935"/>
    </row>
    <row r="129" spans="2:20" ht="76.5" x14ac:dyDescent="0.25">
      <c r="B129" s="943"/>
      <c r="C129" s="1351"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29" s="879" t="s">
        <v>521</v>
      </c>
      <c r="E129" s="942" t="s">
        <v>522</v>
      </c>
      <c r="F129" s="902" t="s">
        <v>160</v>
      </c>
      <c r="G129" s="900" t="s">
        <v>345</v>
      </c>
      <c r="H129" s="1101">
        <v>0</v>
      </c>
      <c r="I129" s="1290"/>
      <c r="J129" s="1290"/>
      <c r="K129" s="1297">
        <f t="shared" si="68"/>
        <v>0</v>
      </c>
      <c r="L129" s="1290"/>
      <c r="M129" s="1290"/>
      <c r="N129" s="1297">
        <f t="shared" si="69"/>
        <v>0</v>
      </c>
      <c r="O129" s="1298"/>
      <c r="P129" s="1290"/>
      <c r="Q129" s="1298"/>
      <c r="R129" s="1291">
        <f t="shared" si="70"/>
        <v>0</v>
      </c>
      <c r="S129" s="1292">
        <f t="shared" si="71"/>
        <v>0</v>
      </c>
      <c r="T129" s="935"/>
    </row>
    <row r="130" spans="2:20" ht="15" customHeight="1" x14ac:dyDescent="0.25">
      <c r="B130" s="943"/>
      <c r="C130" s="1351"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30" s="879" t="s">
        <v>523</v>
      </c>
      <c r="E130" s="942" t="s">
        <v>524</v>
      </c>
      <c r="F130" s="902" t="s">
        <v>160</v>
      </c>
      <c r="G130" s="900" t="s">
        <v>345</v>
      </c>
      <c r="H130" s="1101">
        <v>0</v>
      </c>
      <c r="I130" s="1290"/>
      <c r="J130" s="1290"/>
      <c r="K130" s="1297">
        <f t="shared" si="68"/>
        <v>0</v>
      </c>
      <c r="L130" s="1290"/>
      <c r="M130" s="1290"/>
      <c r="N130" s="1297">
        <f t="shared" si="69"/>
        <v>0</v>
      </c>
      <c r="O130" s="1298"/>
      <c r="P130" s="1290"/>
      <c r="Q130" s="1298"/>
      <c r="R130" s="1291">
        <f t="shared" si="70"/>
        <v>0</v>
      </c>
      <c r="S130" s="1292">
        <f t="shared" si="71"/>
        <v>0</v>
      </c>
      <c r="T130" s="935"/>
    </row>
    <row r="131" spans="2:20" ht="76.5" x14ac:dyDescent="0.25">
      <c r="B131" s="943"/>
      <c r="C131" s="1351"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31" s="879" t="s">
        <v>525</v>
      </c>
      <c r="E131" s="942" t="s">
        <v>526</v>
      </c>
      <c r="F131" s="902" t="s">
        <v>160</v>
      </c>
      <c r="G131" s="900" t="s">
        <v>345</v>
      </c>
      <c r="H131" s="1101">
        <v>0</v>
      </c>
      <c r="I131" s="1290"/>
      <c r="J131" s="1290"/>
      <c r="K131" s="1297">
        <f t="shared" si="68"/>
        <v>0</v>
      </c>
      <c r="L131" s="1290"/>
      <c r="M131" s="1290"/>
      <c r="N131" s="1297">
        <f t="shared" si="69"/>
        <v>0</v>
      </c>
      <c r="O131" s="1298"/>
      <c r="P131" s="1290"/>
      <c r="Q131" s="1298"/>
      <c r="R131" s="1291">
        <f t="shared" si="70"/>
        <v>0</v>
      </c>
      <c r="S131" s="1292">
        <f t="shared" si="71"/>
        <v>0</v>
      </c>
      <c r="T131" s="935"/>
    </row>
    <row r="132" spans="2:20" s="431" customFormat="1" ht="18" customHeight="1" x14ac:dyDescent="0.25">
      <c r="B132" s="945"/>
      <c r="C132" s="928"/>
      <c r="D132" s="946" t="s">
        <v>527</v>
      </c>
      <c r="E132" s="928" t="s">
        <v>528</v>
      </c>
      <c r="F132" s="947"/>
      <c r="G132" s="947"/>
      <c r="H132" s="1100"/>
      <c r="I132" s="1100"/>
      <c r="J132" s="1100"/>
      <c r="K132" s="1100"/>
      <c r="L132" s="1100"/>
      <c r="M132" s="1100"/>
      <c r="N132" s="1100"/>
      <c r="O132" s="1100"/>
      <c r="P132" s="1100"/>
      <c r="Q132" s="1100"/>
      <c r="R132" s="947"/>
      <c r="S132" s="1127"/>
      <c r="T132" s="948"/>
    </row>
    <row r="133" spans="2:20" s="431" customFormat="1" ht="76.5" x14ac:dyDescent="0.25">
      <c r="B133" s="919"/>
      <c r="C133" s="1351"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33" s="900" t="s">
        <v>529</v>
      </c>
      <c r="E133" s="901" t="s">
        <v>530</v>
      </c>
      <c r="F133" s="902" t="s">
        <v>160</v>
      </c>
      <c r="G133" s="900" t="s">
        <v>141</v>
      </c>
      <c r="H133" s="1101">
        <v>0</v>
      </c>
      <c r="I133" s="1290"/>
      <c r="J133" s="1290"/>
      <c r="K133" s="1297">
        <f t="shared" ref="K133:K134" si="72">I133*J133</f>
        <v>0</v>
      </c>
      <c r="L133" s="1290"/>
      <c r="M133" s="1290"/>
      <c r="N133" s="1297">
        <f t="shared" ref="N133:N134" si="73">L133*M133</f>
        <v>0</v>
      </c>
      <c r="O133" s="1298"/>
      <c r="P133" s="1290"/>
      <c r="Q133" s="1298"/>
      <c r="R133" s="1291">
        <f t="shared" ref="R133:R134" si="74">P133+N133+K133</f>
        <v>0</v>
      </c>
      <c r="S133" s="1292">
        <f t="shared" ref="S133:S134" si="75">IF(F133="na","",H133*R133)</f>
        <v>0</v>
      </c>
      <c r="T133" s="935"/>
    </row>
    <row r="134" spans="2:20" s="431" customFormat="1" ht="76.5" x14ac:dyDescent="0.25">
      <c r="B134" s="919"/>
      <c r="C134" s="1351"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34" s="900" t="s">
        <v>531</v>
      </c>
      <c r="E134" s="901" t="s">
        <v>532</v>
      </c>
      <c r="F134" s="902" t="s">
        <v>160</v>
      </c>
      <c r="G134" s="900" t="s">
        <v>141</v>
      </c>
      <c r="H134" s="1101">
        <v>0</v>
      </c>
      <c r="I134" s="1290"/>
      <c r="J134" s="1290"/>
      <c r="K134" s="1297">
        <f t="shared" si="72"/>
        <v>0</v>
      </c>
      <c r="L134" s="1290"/>
      <c r="M134" s="1290"/>
      <c r="N134" s="1297">
        <f t="shared" si="73"/>
        <v>0</v>
      </c>
      <c r="O134" s="1298"/>
      <c r="P134" s="1290"/>
      <c r="Q134" s="1298"/>
      <c r="R134" s="1291">
        <f t="shared" si="74"/>
        <v>0</v>
      </c>
      <c r="S134" s="1292">
        <f t="shared" si="75"/>
        <v>0</v>
      </c>
      <c r="T134" s="935"/>
    </row>
    <row r="135" spans="2:20" s="431" customFormat="1" ht="18" customHeight="1" x14ac:dyDescent="0.25">
      <c r="B135" s="945"/>
      <c r="C135" s="928"/>
      <c r="D135" s="946" t="s">
        <v>533</v>
      </c>
      <c r="E135" s="928" t="s">
        <v>534</v>
      </c>
      <c r="F135" s="947"/>
      <c r="G135" s="947"/>
      <c r="H135" s="1100"/>
      <c r="I135" s="1100"/>
      <c r="J135" s="1100"/>
      <c r="K135" s="1100"/>
      <c r="L135" s="1100"/>
      <c r="M135" s="1100"/>
      <c r="N135" s="1100"/>
      <c r="O135" s="1100"/>
      <c r="P135" s="1100"/>
      <c r="Q135" s="1100"/>
      <c r="R135" s="947"/>
      <c r="S135" s="1127"/>
      <c r="T135" s="948"/>
    </row>
    <row r="136" spans="2:20" s="431" customFormat="1" ht="76.5" x14ac:dyDescent="0.25">
      <c r="B136" s="919"/>
      <c r="C136" s="1351"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36" s="900" t="s">
        <v>535</v>
      </c>
      <c r="E136" s="901" t="s">
        <v>536</v>
      </c>
      <c r="F136" s="902" t="s">
        <v>160</v>
      </c>
      <c r="G136" s="900" t="s">
        <v>141</v>
      </c>
      <c r="H136" s="1101">
        <v>0</v>
      </c>
      <c r="I136" s="1290"/>
      <c r="J136" s="1290"/>
      <c r="K136" s="1297">
        <f t="shared" ref="K136:K137" si="76">I136*J136</f>
        <v>0</v>
      </c>
      <c r="L136" s="1290"/>
      <c r="M136" s="1290"/>
      <c r="N136" s="1297">
        <f t="shared" ref="N136:N137" si="77">L136*M136</f>
        <v>0</v>
      </c>
      <c r="O136" s="1298"/>
      <c r="P136" s="1290"/>
      <c r="Q136" s="1298"/>
      <c r="R136" s="1291">
        <f t="shared" ref="R136:R137" si="78">P136+N136+K136</f>
        <v>0</v>
      </c>
      <c r="S136" s="1292">
        <f t="shared" ref="S136:S137" si="79">IF(F136="na","",H136*R136)</f>
        <v>0</v>
      </c>
      <c r="T136" s="935" t="s">
        <v>537</v>
      </c>
    </row>
    <row r="137" spans="2:20" s="431" customFormat="1" ht="76.5" x14ac:dyDescent="0.25">
      <c r="B137" s="919"/>
      <c r="C137" s="1351"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37" s="900" t="s">
        <v>538</v>
      </c>
      <c r="E137" s="901" t="s">
        <v>539</v>
      </c>
      <c r="F137" s="902" t="s">
        <v>160</v>
      </c>
      <c r="G137" s="900" t="s">
        <v>141</v>
      </c>
      <c r="H137" s="1101">
        <v>0</v>
      </c>
      <c r="I137" s="1290"/>
      <c r="J137" s="1290"/>
      <c r="K137" s="1297">
        <f t="shared" si="76"/>
        <v>0</v>
      </c>
      <c r="L137" s="1290"/>
      <c r="M137" s="1290"/>
      <c r="N137" s="1297">
        <f t="shared" si="77"/>
        <v>0</v>
      </c>
      <c r="O137" s="1298"/>
      <c r="P137" s="1290"/>
      <c r="Q137" s="1298"/>
      <c r="R137" s="1291">
        <f t="shared" si="78"/>
        <v>0</v>
      </c>
      <c r="S137" s="1292">
        <f t="shared" si="79"/>
        <v>0</v>
      </c>
      <c r="T137" s="935"/>
    </row>
    <row r="138" spans="2:20" s="431" customFormat="1" ht="18" customHeight="1" x14ac:dyDescent="0.25">
      <c r="B138" s="945"/>
      <c r="C138" s="928"/>
      <c r="D138" s="946" t="s">
        <v>540</v>
      </c>
      <c r="E138" s="928" t="s">
        <v>541</v>
      </c>
      <c r="F138" s="947"/>
      <c r="G138" s="947"/>
      <c r="H138" s="1100"/>
      <c r="I138" s="1100"/>
      <c r="J138" s="1100"/>
      <c r="K138" s="1100"/>
      <c r="L138" s="1100"/>
      <c r="M138" s="1100"/>
      <c r="N138" s="1100"/>
      <c r="O138" s="1100"/>
      <c r="P138" s="1100"/>
      <c r="Q138" s="1100"/>
      <c r="R138" s="947"/>
      <c r="S138" s="1127"/>
      <c r="T138" s="948"/>
    </row>
    <row r="139" spans="2:20" s="431" customFormat="1" ht="76.5" x14ac:dyDescent="0.25">
      <c r="B139" s="919"/>
      <c r="C139" s="1351"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39" s="900" t="s">
        <v>542</v>
      </c>
      <c r="E139" s="901" t="s">
        <v>543</v>
      </c>
      <c r="F139" s="902" t="s">
        <v>160</v>
      </c>
      <c r="G139" s="900" t="s">
        <v>141</v>
      </c>
      <c r="H139" s="1101">
        <v>0</v>
      </c>
      <c r="I139" s="1290"/>
      <c r="J139" s="1290"/>
      <c r="K139" s="1297">
        <f t="shared" ref="K139:K140" si="80">I139*J139</f>
        <v>0</v>
      </c>
      <c r="L139" s="1290"/>
      <c r="M139" s="1290"/>
      <c r="N139" s="1297">
        <f t="shared" ref="N139:N140" si="81">L139*M139</f>
        <v>0</v>
      </c>
      <c r="O139" s="1298"/>
      <c r="P139" s="1290"/>
      <c r="Q139" s="1298"/>
      <c r="R139" s="1291">
        <f t="shared" ref="R139:R140" si="82">P139+N139+K139</f>
        <v>0</v>
      </c>
      <c r="S139" s="1292">
        <f t="shared" ref="S139:S140" si="83">IF(F139="na","",H139*R139)</f>
        <v>0</v>
      </c>
      <c r="T139" s="935"/>
    </row>
    <row r="140" spans="2:20" s="431" customFormat="1" ht="76.5" x14ac:dyDescent="0.25">
      <c r="B140" s="919"/>
      <c r="C140" s="1351"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40" s="900" t="s">
        <v>544</v>
      </c>
      <c r="E140" s="901" t="s">
        <v>545</v>
      </c>
      <c r="F140" s="902" t="s">
        <v>160</v>
      </c>
      <c r="G140" s="900" t="s">
        <v>141</v>
      </c>
      <c r="H140" s="1101">
        <v>0</v>
      </c>
      <c r="I140" s="1290"/>
      <c r="J140" s="1290"/>
      <c r="K140" s="1297">
        <f t="shared" si="80"/>
        <v>0</v>
      </c>
      <c r="L140" s="1290"/>
      <c r="M140" s="1290"/>
      <c r="N140" s="1297">
        <f t="shared" si="81"/>
        <v>0</v>
      </c>
      <c r="O140" s="1298"/>
      <c r="P140" s="1290"/>
      <c r="Q140" s="1298"/>
      <c r="R140" s="1291">
        <f t="shared" si="82"/>
        <v>0</v>
      </c>
      <c r="S140" s="1292">
        <f t="shared" si="83"/>
        <v>0</v>
      </c>
      <c r="T140" s="935"/>
    </row>
    <row r="141" spans="2:20" s="431" customFormat="1" ht="18" customHeight="1" x14ac:dyDescent="0.25">
      <c r="B141" s="945"/>
      <c r="C141" s="928"/>
      <c r="D141" s="946"/>
      <c r="E141" s="928" t="s">
        <v>805</v>
      </c>
      <c r="F141" s="947"/>
      <c r="G141" s="947"/>
      <c r="H141" s="1100"/>
      <c r="I141" s="1100"/>
      <c r="J141" s="1100"/>
      <c r="K141" s="1100"/>
      <c r="L141" s="1100"/>
      <c r="M141" s="1100"/>
      <c r="N141" s="1100"/>
      <c r="O141" s="1100"/>
      <c r="P141" s="1100"/>
      <c r="Q141" s="1100"/>
      <c r="R141" s="947"/>
      <c r="S141" s="1127"/>
      <c r="T141" s="948"/>
    </row>
    <row r="142" spans="2:20" s="431" customFormat="1" ht="79.5" customHeight="1" x14ac:dyDescent="0.25">
      <c r="B142" s="919"/>
      <c r="C142" s="1351" t="str">
        <f>CONCATENATE('Reference documents'!B15," :
PPP.PVP.CBL.01.001 AC Cables (sub-section named tests)
EGP.EEC.S.45.XX.P.00000.00.021.12 GRE.EEC.Q.45.XX.P.00000.00.078.04")</f>
        <v>GRE.EEC.S.21.IT.P.18371.00.127.00 Technical Specification :
PPP.PVP.CBL.01.001 AC Cables (sub-section named tests)
EGP.EEC.S.45.XX.P.00000.00.021.12 GRE.EEC.Q.45.XX.P.00000.00.078.04</v>
      </c>
      <c r="D142" s="900" t="s">
        <v>806</v>
      </c>
      <c r="E142" s="901" t="s">
        <v>807</v>
      </c>
      <c r="F142" s="902" t="s">
        <v>160</v>
      </c>
      <c r="G142" s="900" t="s">
        <v>464</v>
      </c>
      <c r="H142" s="1101">
        <v>0</v>
      </c>
      <c r="I142" s="1290"/>
      <c r="J142" s="1290"/>
      <c r="K142" s="1297">
        <f t="shared" ref="K142" si="84">I142*J142</f>
        <v>0</v>
      </c>
      <c r="L142" s="1290"/>
      <c r="M142" s="1290"/>
      <c r="N142" s="1297">
        <f t="shared" ref="N142" si="85">L142*M142</f>
        <v>0</v>
      </c>
      <c r="O142" s="1298"/>
      <c r="P142" s="1290"/>
      <c r="Q142" s="1298"/>
      <c r="R142" s="1291">
        <f t="shared" ref="R142" si="86">P142+N142+K142</f>
        <v>0</v>
      </c>
      <c r="S142" s="1292">
        <f t="shared" ref="S142" si="87">IF(F142="na","",H142*R142)</f>
        <v>0</v>
      </c>
      <c r="T142" s="935"/>
    </row>
    <row r="143" spans="2:20" ht="15" customHeight="1" x14ac:dyDescent="0.25">
      <c r="B143" s="1608" t="s">
        <v>93</v>
      </c>
      <c r="C143" s="1608"/>
      <c r="D143" s="1608"/>
      <c r="E143" s="1608"/>
      <c r="F143" s="1609" t="s">
        <v>154</v>
      </c>
      <c r="G143" s="1609"/>
      <c r="H143" s="1609"/>
      <c r="I143" s="1609"/>
      <c r="J143" s="1609"/>
      <c r="K143" s="1609"/>
      <c r="L143" s="1609"/>
      <c r="M143" s="1609"/>
      <c r="N143" s="1609"/>
      <c r="O143" s="1609"/>
      <c r="P143" s="1609"/>
      <c r="Q143" s="1609"/>
      <c r="R143" s="1609"/>
      <c r="S143" s="863">
        <f>SUMIFS(S149:S150,F149:F150,"Mandatory",E149:E150,"=*Supply")</f>
        <v>0</v>
      </c>
      <c r="T143" s="1221"/>
    </row>
    <row r="144" spans="2:20" ht="15" customHeight="1" x14ac:dyDescent="0.25">
      <c r="B144" s="1608"/>
      <c r="C144" s="1608"/>
      <c r="D144" s="1608"/>
      <c r="E144" s="1608"/>
      <c r="F144" s="1609" t="s">
        <v>156</v>
      </c>
      <c r="G144" s="1609"/>
      <c r="H144" s="1609"/>
      <c r="I144" s="1609"/>
      <c r="J144" s="1609"/>
      <c r="K144" s="1609"/>
      <c r="L144" s="1609"/>
      <c r="M144" s="1609"/>
      <c r="N144" s="1609"/>
      <c r="O144" s="1609"/>
      <c r="P144" s="1609"/>
      <c r="Q144" s="1609"/>
      <c r="R144" s="1609"/>
      <c r="S144" s="863">
        <f>SUMIFS(S149:S150,F149:F150,"Optional",E149:E150,"=*Supply")</f>
        <v>0</v>
      </c>
      <c r="T144" s="1221"/>
    </row>
    <row r="145" spans="2:20" ht="15" customHeight="1" x14ac:dyDescent="0.25">
      <c r="B145" s="1599" t="s">
        <v>808</v>
      </c>
      <c r="C145" s="1600"/>
      <c r="D145" s="1600"/>
      <c r="E145" s="1601"/>
      <c r="F145" s="1605" t="s">
        <v>154</v>
      </c>
      <c r="G145" s="1606"/>
      <c r="H145" s="1606"/>
      <c r="I145" s="1606"/>
      <c r="J145" s="1606"/>
      <c r="K145" s="1606"/>
      <c r="L145" s="1606"/>
      <c r="M145" s="1606"/>
      <c r="N145" s="1606"/>
      <c r="O145" s="1606"/>
      <c r="P145" s="1606"/>
      <c r="Q145" s="1606"/>
      <c r="R145" s="1607"/>
      <c r="S145" s="863">
        <f>SUMIFS(S149:S150,F149:F150,"Mandatory",E149:E150,"=*Installation*")</f>
        <v>0</v>
      </c>
      <c r="T145" s="1221"/>
    </row>
    <row r="146" spans="2:20" ht="15" customHeight="1" x14ac:dyDescent="0.25">
      <c r="B146" s="1602"/>
      <c r="C146" s="1603"/>
      <c r="D146" s="1603"/>
      <c r="E146" s="1604"/>
      <c r="F146" s="1605" t="s">
        <v>156</v>
      </c>
      <c r="G146" s="1606"/>
      <c r="H146" s="1606"/>
      <c r="I146" s="1606"/>
      <c r="J146" s="1606"/>
      <c r="K146" s="1606"/>
      <c r="L146" s="1606"/>
      <c r="M146" s="1606"/>
      <c r="N146" s="1606"/>
      <c r="O146" s="1606"/>
      <c r="P146" s="1606"/>
      <c r="Q146" s="1606"/>
      <c r="R146" s="1607"/>
      <c r="S146" s="863">
        <f>SUMIFS(S149:S150,F149:F150,"Optional",E149:E150,"=*Installation*")</f>
        <v>0</v>
      </c>
      <c r="T146" s="1221"/>
    </row>
    <row r="147" spans="2:20" s="171" customFormat="1" ht="15" customHeight="1" x14ac:dyDescent="0.2">
      <c r="B147" s="926"/>
      <c r="C147" s="927"/>
      <c r="D147" s="941" t="s">
        <v>547</v>
      </c>
      <c r="E147" s="928" t="s">
        <v>548</v>
      </c>
      <c r="F147" s="929"/>
      <c r="G147" s="929"/>
      <c r="H147" s="1102"/>
      <c r="I147" s="1102"/>
      <c r="J147" s="1102"/>
      <c r="K147" s="1102"/>
      <c r="L147" s="1102"/>
      <c r="M147" s="1102"/>
      <c r="N147" s="1102"/>
      <c r="O147" s="1102"/>
      <c r="P147" s="1102"/>
      <c r="Q147" s="1102"/>
      <c r="R147" s="929"/>
      <c r="S147" s="1128"/>
      <c r="T147" s="930"/>
    </row>
    <row r="148" spans="2:20" s="171" customFormat="1" ht="30" customHeight="1" x14ac:dyDescent="0.2">
      <c r="B148" s="926"/>
      <c r="C148" s="927"/>
      <c r="D148" s="941" t="s">
        <v>549</v>
      </c>
      <c r="E148" s="928" t="s">
        <v>550</v>
      </c>
      <c r="F148" s="929"/>
      <c r="G148" s="929"/>
      <c r="H148" s="1102"/>
      <c r="I148" s="1102"/>
      <c r="J148" s="1102"/>
      <c r="K148" s="1102"/>
      <c r="L148" s="1102"/>
      <c r="M148" s="1102"/>
      <c r="N148" s="1102"/>
      <c r="O148" s="1102"/>
      <c r="P148" s="1102"/>
      <c r="Q148" s="1102"/>
      <c r="R148" s="929"/>
      <c r="S148" s="1128"/>
      <c r="T148" s="930"/>
    </row>
    <row r="149" spans="2:20" s="431" customFormat="1" ht="89.25" x14ac:dyDescent="0.25">
      <c r="B149" s="919"/>
      <c r="C149" s="1351" t="str">
        <f>CONCATENATE('Reference documents'!B15," :
PPP.PVP.MVC.03.004 Anti-Rodent System
PPP.PVP.OAT.01.002 Equipment Sealing
PPP.PVP.DIN.02.002 Foundation
PPP.PVP.DIN.02.003 Concrete Structure Sealing
PPP.PVP.WRK.04 ELECTRICAL FIELD BOX ACTIVITIES")</f>
        <v>GRE.EEC.S.21.IT.P.18371.00.127.00 Technical Specification :
PPP.PVP.MVC.03.004 Anti-Rodent System
PPP.PVP.OAT.01.002 Equipment Sealing
PPP.PVP.DIN.02.002 Foundation
PPP.PVP.DIN.02.003 Concrete Structure Sealing
PPP.PVP.WRK.04 ELECTRICAL FIELD BOX ACTIVITIES</v>
      </c>
      <c r="D149" s="900" t="s">
        <v>551</v>
      </c>
      <c r="E149" s="901" t="s">
        <v>552</v>
      </c>
      <c r="F149" s="902" t="s">
        <v>160</v>
      </c>
      <c r="G149" s="900" t="s">
        <v>553</v>
      </c>
      <c r="H149" s="1101">
        <v>0</v>
      </c>
      <c r="I149" s="1290"/>
      <c r="J149" s="1290"/>
      <c r="K149" s="1297">
        <f t="shared" ref="K149:K150" si="88">I149*J149</f>
        <v>0</v>
      </c>
      <c r="L149" s="1290"/>
      <c r="M149" s="1290"/>
      <c r="N149" s="1297">
        <f t="shared" ref="N149:N150" si="89">L149*M149</f>
        <v>0</v>
      </c>
      <c r="O149" s="1298"/>
      <c r="P149" s="1290"/>
      <c r="Q149" s="1298"/>
      <c r="R149" s="1291">
        <f t="shared" ref="R149:R150" si="90">P149+N149+K149</f>
        <v>0</v>
      </c>
      <c r="S149" s="1292">
        <f t="shared" ref="S149:S150" si="91">IF(F149="na","",H149*R149)</f>
        <v>0</v>
      </c>
      <c r="T149" s="935"/>
    </row>
    <row r="150" spans="2:20" s="431" customFormat="1" ht="127.5" x14ac:dyDescent="0.25">
      <c r="B150" s="919"/>
      <c r="C150" s="1351" t="str">
        <f>CONCATENATE('Reference documents'!B15,"
PPP.PVP.MVC.03.004 Anti-Rodent System
PPP.PVP.OAT.01.002 Equipment Sealing
PPP.PVP.DIN.02.002 Foundation","
PPP.PVP.DIN.02.003 Concrete Structure Sealing
PPP.PVP.WRK.04 ELECTRICAL FIELD BOX ACTIVITIES
- CONSTRUCTION TECHNICAL SPECIFICATIONS
- VENDOR INSTALLATION PROCEDURE SPECIFICATIONS")</f>
        <v>GRE.EEC.S.21.IT.P.18371.00.127.00 Technical Specification
PPP.PVP.MVC.03.004 Anti-Rodent System
PPP.PVP.OAT.01.002 Equipment Sealing
PPP.PVP.DIN.02.002 Foundation
PPP.PVP.DIN.02.003 Concrete Structure Sealing
PPP.PVP.WRK.04 ELECTRICAL FIELD BOX ACTIVITIES
- CONSTRUCTION TECHNICAL SPECIFICATIONS
- VENDOR INSTALLATION PROCEDURE SPECIFICATIONS</v>
      </c>
      <c r="D150" s="900" t="s">
        <v>554</v>
      </c>
      <c r="E150" s="901" t="s">
        <v>555</v>
      </c>
      <c r="F150" s="902" t="s">
        <v>160</v>
      </c>
      <c r="G150" s="900" t="s">
        <v>553</v>
      </c>
      <c r="H150" s="1101">
        <v>0</v>
      </c>
      <c r="I150" s="1290"/>
      <c r="J150" s="1290"/>
      <c r="K150" s="1297">
        <f t="shared" si="88"/>
        <v>0</v>
      </c>
      <c r="L150" s="1290"/>
      <c r="M150" s="1290"/>
      <c r="N150" s="1297">
        <f t="shared" si="89"/>
        <v>0</v>
      </c>
      <c r="O150" s="1298"/>
      <c r="P150" s="1290"/>
      <c r="Q150" s="1298"/>
      <c r="R150" s="1291">
        <f t="shared" si="90"/>
        <v>0</v>
      </c>
      <c r="S150" s="1292">
        <f t="shared" si="91"/>
        <v>0</v>
      </c>
      <c r="T150" s="935"/>
    </row>
    <row r="151" spans="2:20" ht="15" customHeight="1" x14ac:dyDescent="0.25">
      <c r="B151" s="1608" t="s">
        <v>103</v>
      </c>
      <c r="C151" s="1608"/>
      <c r="D151" s="1608"/>
      <c r="E151" s="1608"/>
      <c r="F151" s="1609" t="s">
        <v>154</v>
      </c>
      <c r="G151" s="1609"/>
      <c r="H151" s="1609"/>
      <c r="I151" s="1609"/>
      <c r="J151" s="1609"/>
      <c r="K151" s="1609"/>
      <c r="L151" s="1609"/>
      <c r="M151" s="1609"/>
      <c r="N151" s="1609"/>
      <c r="O151" s="1609"/>
      <c r="P151" s="1609"/>
      <c r="Q151" s="1609"/>
      <c r="R151" s="1609"/>
      <c r="S151" s="863">
        <f>SUMIFS(S157:S175,F157:F175,"Mandatory",E157:E175,"=*Supply")</f>
        <v>0</v>
      </c>
      <c r="T151" s="1221"/>
    </row>
    <row r="152" spans="2:20" ht="15" customHeight="1" x14ac:dyDescent="0.25">
      <c r="B152" s="1608"/>
      <c r="C152" s="1608"/>
      <c r="D152" s="1608"/>
      <c r="E152" s="1608"/>
      <c r="F152" s="1609" t="s">
        <v>156</v>
      </c>
      <c r="G152" s="1609"/>
      <c r="H152" s="1609"/>
      <c r="I152" s="1609"/>
      <c r="J152" s="1609"/>
      <c r="K152" s="1609"/>
      <c r="L152" s="1609"/>
      <c r="M152" s="1609"/>
      <c r="N152" s="1609"/>
      <c r="O152" s="1609"/>
      <c r="P152" s="1609"/>
      <c r="Q152" s="1609"/>
      <c r="R152" s="1609"/>
      <c r="S152" s="863">
        <f>SUMIFS(S157:S175,F157:F175,"Optional",E157:E175,"=*Supply")</f>
        <v>0</v>
      </c>
      <c r="T152" s="1221"/>
    </row>
    <row r="153" spans="2:20" ht="15" customHeight="1" x14ac:dyDescent="0.25">
      <c r="B153" s="1599" t="s">
        <v>809</v>
      </c>
      <c r="C153" s="1600"/>
      <c r="D153" s="1600"/>
      <c r="E153" s="1601"/>
      <c r="F153" s="1605" t="s">
        <v>154</v>
      </c>
      <c r="G153" s="1606"/>
      <c r="H153" s="1606"/>
      <c r="I153" s="1606"/>
      <c r="J153" s="1606"/>
      <c r="K153" s="1606"/>
      <c r="L153" s="1606"/>
      <c r="M153" s="1606"/>
      <c r="N153" s="1606"/>
      <c r="O153" s="1606"/>
      <c r="P153" s="1606"/>
      <c r="Q153" s="1606"/>
      <c r="R153" s="1607"/>
      <c r="S153" s="863">
        <f>SUMIFS(S157:S175,F157:F175,"Mandatory",E157:E175,"=*Installation*")</f>
        <v>0</v>
      </c>
      <c r="T153" s="1221"/>
    </row>
    <row r="154" spans="2:20" ht="15" customHeight="1" x14ac:dyDescent="0.25">
      <c r="B154" s="1602"/>
      <c r="C154" s="1603"/>
      <c r="D154" s="1603"/>
      <c r="E154" s="1604"/>
      <c r="F154" s="1605" t="s">
        <v>156</v>
      </c>
      <c r="G154" s="1606"/>
      <c r="H154" s="1606"/>
      <c r="I154" s="1606"/>
      <c r="J154" s="1606"/>
      <c r="K154" s="1606"/>
      <c r="L154" s="1606"/>
      <c r="M154" s="1606"/>
      <c r="N154" s="1606"/>
      <c r="O154" s="1606"/>
      <c r="P154" s="1606"/>
      <c r="Q154" s="1606"/>
      <c r="R154" s="1607"/>
      <c r="S154" s="863">
        <f>SUMIFS(S157:S175,F157:F175,"Optional",E157:E175,"=*Installation*")</f>
        <v>0</v>
      </c>
      <c r="T154" s="1221"/>
    </row>
    <row r="155" spans="2:20" ht="15" customHeight="1" x14ac:dyDescent="0.25">
      <c r="B155" s="1599" t="s">
        <v>810</v>
      </c>
      <c r="C155" s="1600"/>
      <c r="D155" s="1600"/>
      <c r="E155" s="1601"/>
      <c r="F155" s="1605" t="s">
        <v>154</v>
      </c>
      <c r="G155" s="1606"/>
      <c r="H155" s="1606"/>
      <c r="I155" s="1606"/>
      <c r="J155" s="1606"/>
      <c r="K155" s="1606"/>
      <c r="L155" s="1606"/>
      <c r="M155" s="1606"/>
      <c r="N155" s="1606"/>
      <c r="O155" s="1606"/>
      <c r="P155" s="1606"/>
      <c r="Q155" s="1606"/>
      <c r="R155" s="1607"/>
      <c r="S155" s="863">
        <f>SUMIFS(S157:S175,F157:F175,"Mandatory",E157:E175,"=*Test")</f>
        <v>0</v>
      </c>
      <c r="T155" s="1221"/>
    </row>
    <row r="156" spans="2:20" ht="15" customHeight="1" x14ac:dyDescent="0.25">
      <c r="B156" s="1602"/>
      <c r="C156" s="1603"/>
      <c r="D156" s="1603"/>
      <c r="E156" s="1604"/>
      <c r="F156" s="1605" t="s">
        <v>156</v>
      </c>
      <c r="G156" s="1606"/>
      <c r="H156" s="1606"/>
      <c r="I156" s="1606"/>
      <c r="J156" s="1606"/>
      <c r="K156" s="1606"/>
      <c r="L156" s="1606"/>
      <c r="M156" s="1606"/>
      <c r="N156" s="1606"/>
      <c r="O156" s="1606"/>
      <c r="P156" s="1606"/>
      <c r="Q156" s="1606"/>
      <c r="R156" s="1607"/>
      <c r="S156" s="863">
        <f>SUMIFS(S157:S175,F157:F175,"Optional",E157:E175,"=*Test")</f>
        <v>0</v>
      </c>
      <c r="T156" s="1221"/>
    </row>
    <row r="157" spans="2:20" s="431" customFormat="1" ht="18" customHeight="1" x14ac:dyDescent="0.25">
      <c r="B157" s="945"/>
      <c r="C157" s="928"/>
      <c r="D157" s="946" t="s">
        <v>557</v>
      </c>
      <c r="E157" s="928" t="s">
        <v>94</v>
      </c>
      <c r="F157" s="947"/>
      <c r="G157" s="947"/>
      <c r="H157" s="1100"/>
      <c r="I157" s="1100"/>
      <c r="J157" s="1100"/>
      <c r="K157" s="1100"/>
      <c r="L157" s="1100"/>
      <c r="M157" s="1100"/>
      <c r="N157" s="1100"/>
      <c r="O157" s="1100"/>
      <c r="P157" s="1100"/>
      <c r="Q157" s="1100"/>
      <c r="R157" s="947"/>
      <c r="S157" s="1127"/>
      <c r="T157" s="948"/>
    </row>
    <row r="158" spans="2:20" s="171" customFormat="1" ht="25.5" x14ac:dyDescent="0.2">
      <c r="B158" s="926"/>
      <c r="C158" s="927"/>
      <c r="D158" s="946" t="s">
        <v>558</v>
      </c>
      <c r="E158" s="928" t="s">
        <v>559</v>
      </c>
      <c r="F158" s="929"/>
      <c r="G158" s="929"/>
      <c r="H158" s="1102"/>
      <c r="I158" s="1102"/>
      <c r="J158" s="1102"/>
      <c r="K158" s="1102"/>
      <c r="L158" s="1102"/>
      <c r="M158" s="1102"/>
      <c r="N158" s="1102"/>
      <c r="O158" s="1102"/>
      <c r="P158" s="1102"/>
      <c r="Q158" s="1102"/>
      <c r="R158" s="929"/>
      <c r="S158" s="1128"/>
      <c r="T158" s="930"/>
    </row>
    <row r="159" spans="2:20" s="431" customFormat="1" ht="102" x14ac:dyDescent="0.25">
      <c r="B159" s="919"/>
      <c r="C159" s="1351" t="str">
        <f>CONCATENATE('Reference documents'!B15,":
PPP.PVP.DIN.03 SECURITY SYSTEM (with all sub-section)
- CONSTRUCTION TECHNICAL SPECIFICATIONS
- VENDOR INSTALLATION AND TESTING PROCEDURE SPECIFICATIONS
- COMMISIONING TECHNICAL SPECIFICATIONS")</f>
        <v>GRE.EEC.S.21.IT.P.18371.00.127.00 Technical Specification:
PPP.PVP.DIN.03 SECURITY SYSTEM (with all sub-section)
- CONSTRUCTION TECHNICAL SPECIFICATIONS
- VENDOR INSTALLATION AND TESTING PROCEDURE SPECIFICATIONS
- COMMISIONING TECHNICAL SPECIFICATIONS</v>
      </c>
      <c r="D159" s="900" t="s">
        <v>560</v>
      </c>
      <c r="E159" s="901" t="s">
        <v>561</v>
      </c>
      <c r="F159" s="902" t="s">
        <v>160</v>
      </c>
      <c r="G159" s="900" t="s">
        <v>141</v>
      </c>
      <c r="H159" s="1101">
        <v>0</v>
      </c>
      <c r="I159" s="1290"/>
      <c r="J159" s="1290"/>
      <c r="K159" s="1297">
        <f t="shared" ref="K159:K164" si="92">I159*J159</f>
        <v>0</v>
      </c>
      <c r="L159" s="1290"/>
      <c r="M159" s="1290"/>
      <c r="N159" s="1297">
        <f t="shared" ref="N159:N164" si="93">L159*M159</f>
        <v>0</v>
      </c>
      <c r="O159" s="1298"/>
      <c r="P159" s="1290"/>
      <c r="Q159" s="1298"/>
      <c r="R159" s="1291">
        <f t="shared" ref="R159:R164" si="94">P159+N159+K159</f>
        <v>0</v>
      </c>
      <c r="S159" s="1292">
        <f t="shared" ref="S159:S164" si="95">IF(F159="na","",H159*R159)</f>
        <v>0</v>
      </c>
      <c r="T159" s="935"/>
    </row>
    <row r="160" spans="2:20" s="431" customFormat="1" ht="102" x14ac:dyDescent="0.25">
      <c r="B160" s="919"/>
      <c r="C160" s="1351" t="str">
        <f>CONCATENATE('Reference documents'!B15," :
PPP.PVP.DIN.03 SECURITY SYSTEM (with all sub-section)
- CONSTRUCTION TECHNICAL SPECIFICATIONS
- VENDOR INSTALLATION AND TESTING PROCEDURE SPECIFICATIONS
- COMMISIONING TECHNICAL SPECIFICATIONS")</f>
        <v>GRE.EEC.S.21.IT.P.18371.00.127.00 Technical Specification :
PPP.PVP.DIN.03 SECURITY SYSTEM (with all sub-section)
- CONSTRUCTION TECHNICAL SPECIFICATIONS
- VENDOR INSTALLATION AND TESTING PROCEDURE SPECIFICATIONS
- COMMISIONING TECHNICAL SPECIFICATIONS</v>
      </c>
      <c r="D160" s="900" t="s">
        <v>562</v>
      </c>
      <c r="E160" s="901" t="s">
        <v>563</v>
      </c>
      <c r="F160" s="902" t="s">
        <v>160</v>
      </c>
      <c r="G160" s="900" t="s">
        <v>141</v>
      </c>
      <c r="H160" s="1101">
        <v>0</v>
      </c>
      <c r="I160" s="1290"/>
      <c r="J160" s="1290"/>
      <c r="K160" s="1297">
        <f t="shared" si="92"/>
        <v>0</v>
      </c>
      <c r="L160" s="1290"/>
      <c r="M160" s="1290"/>
      <c r="N160" s="1297">
        <f t="shared" si="93"/>
        <v>0</v>
      </c>
      <c r="O160" s="1298"/>
      <c r="P160" s="1290"/>
      <c r="Q160" s="1298"/>
      <c r="R160" s="1291">
        <f t="shared" si="94"/>
        <v>0</v>
      </c>
      <c r="S160" s="1292">
        <f t="shared" si="95"/>
        <v>0</v>
      </c>
      <c r="T160" s="935"/>
    </row>
    <row r="161" spans="2:20" s="431" customFormat="1" ht="102" x14ac:dyDescent="0.25">
      <c r="B161" s="919"/>
      <c r="C161" s="1351" t="str">
        <f>CONCATENATE('Reference documents'!B15," :
PPP.PVP.DIN.03 SECURITY SYSTEM (with all sub-section)
- CONSTRUCTION TECHNICAL SPECIFICATIONS
- VENDOR INSTALLATION AND TESTING PROCEDURE SPECIFICATIONS
- COMMISIONING TECHNICAL SPECIFICATIONS")</f>
        <v>GRE.EEC.S.21.IT.P.18371.00.127.00 Technical Specification :
PPP.PVP.DIN.03 SECURITY SYSTEM (with all sub-section)
- CONSTRUCTION TECHNICAL SPECIFICATIONS
- VENDOR INSTALLATION AND TESTING PROCEDURE SPECIFICATIONS
- COMMISIONING TECHNICAL SPECIFICATIONS</v>
      </c>
      <c r="D161" s="900" t="s">
        <v>564</v>
      </c>
      <c r="E161" s="901" t="s">
        <v>565</v>
      </c>
      <c r="F161" s="902" t="s">
        <v>160</v>
      </c>
      <c r="G161" s="900" t="s">
        <v>141</v>
      </c>
      <c r="H161" s="1101">
        <v>0</v>
      </c>
      <c r="I161" s="1290"/>
      <c r="J161" s="1290"/>
      <c r="K161" s="1297">
        <f t="shared" si="92"/>
        <v>0</v>
      </c>
      <c r="L161" s="1290"/>
      <c r="M161" s="1290"/>
      <c r="N161" s="1297">
        <f t="shared" si="93"/>
        <v>0</v>
      </c>
      <c r="O161" s="1298"/>
      <c r="P161" s="1290"/>
      <c r="Q161" s="1298"/>
      <c r="R161" s="1291">
        <f t="shared" si="94"/>
        <v>0</v>
      </c>
      <c r="S161" s="1292">
        <f t="shared" si="95"/>
        <v>0</v>
      </c>
      <c r="T161" s="935"/>
    </row>
    <row r="162" spans="2:20" s="431" customFormat="1" ht="102" x14ac:dyDescent="0.25">
      <c r="B162" s="919"/>
      <c r="C162" s="1351" t="str">
        <f>CONCATENATE('Reference documents'!B15," :
PPP.PVP.DIN.03 SECURITY SYSTEM (with all sub-section)
- CONSTRUCTION TECHNICAL SPECIFICATIONS
- VENDOR INSTALLATION AND TESTING PROCEDURE SPECIFICATIONS
- COMMISIONING TECHNICAL SPECIFICATIONS")</f>
        <v>GRE.EEC.S.21.IT.P.18371.00.127.00 Technical Specification :
PPP.PVP.DIN.03 SECURITY SYSTEM (with all sub-section)
- CONSTRUCTION TECHNICAL SPECIFICATIONS
- VENDOR INSTALLATION AND TESTING PROCEDURE SPECIFICATIONS
- COMMISIONING TECHNICAL SPECIFICATIONS</v>
      </c>
      <c r="D162" s="900" t="s">
        <v>566</v>
      </c>
      <c r="E162" s="901" t="s">
        <v>567</v>
      </c>
      <c r="F162" s="902" t="s">
        <v>160</v>
      </c>
      <c r="G162" s="900" t="s">
        <v>141</v>
      </c>
      <c r="H162" s="1101">
        <v>0</v>
      </c>
      <c r="I162" s="1290"/>
      <c r="J162" s="1290"/>
      <c r="K162" s="1297">
        <f t="shared" si="92"/>
        <v>0</v>
      </c>
      <c r="L162" s="1290"/>
      <c r="M162" s="1290"/>
      <c r="N162" s="1297">
        <f t="shared" si="93"/>
        <v>0</v>
      </c>
      <c r="O162" s="1298"/>
      <c r="P162" s="1290"/>
      <c r="Q162" s="1298"/>
      <c r="R162" s="1291">
        <f t="shared" si="94"/>
        <v>0</v>
      </c>
      <c r="S162" s="1292">
        <f t="shared" si="95"/>
        <v>0</v>
      </c>
      <c r="T162" s="935"/>
    </row>
    <row r="163" spans="2:20" s="431" customFormat="1" ht="102" x14ac:dyDescent="0.25">
      <c r="B163" s="919"/>
      <c r="C163" s="1351" t="str">
        <f>CONCATENATE('Reference documents'!B15," :
PPP.PVP.DIN.03 SECURITY SYSTEM (with all sub-section)
- CONSTRUCTION TECHNICAL SPECIFICATIONS
- VENDOR INSTALLATION AND TESTING PROCEDURE SPECIFICATIONS
- COMMISIONING TECHNICAL SPECIFICATIONS")</f>
        <v>GRE.EEC.S.21.IT.P.18371.00.127.00 Technical Specification :
PPP.PVP.DIN.03 SECURITY SYSTEM (with all sub-section)
- CONSTRUCTION TECHNICAL SPECIFICATIONS
- VENDOR INSTALLATION AND TESTING PROCEDURE SPECIFICATIONS
- COMMISIONING TECHNICAL SPECIFICATIONS</v>
      </c>
      <c r="D163" s="900" t="s">
        <v>568</v>
      </c>
      <c r="E163" s="901" t="s">
        <v>569</v>
      </c>
      <c r="F163" s="902" t="s">
        <v>160</v>
      </c>
      <c r="G163" s="900" t="s">
        <v>141</v>
      </c>
      <c r="H163" s="1101">
        <v>0</v>
      </c>
      <c r="I163" s="1290"/>
      <c r="J163" s="1290"/>
      <c r="K163" s="1297">
        <f t="shared" si="92"/>
        <v>0</v>
      </c>
      <c r="L163" s="1290"/>
      <c r="M163" s="1290"/>
      <c r="N163" s="1297">
        <f t="shared" si="93"/>
        <v>0</v>
      </c>
      <c r="O163" s="1298"/>
      <c r="P163" s="1290"/>
      <c r="Q163" s="1298"/>
      <c r="R163" s="1291">
        <f t="shared" si="94"/>
        <v>0</v>
      </c>
      <c r="S163" s="1292">
        <f t="shared" si="95"/>
        <v>0</v>
      </c>
      <c r="T163" s="935"/>
    </row>
    <row r="164" spans="2:20" s="431" customFormat="1" ht="102" x14ac:dyDescent="0.25">
      <c r="B164" s="919"/>
      <c r="C164" s="1351" t="str">
        <f>CONCATENATE('Reference documents'!B15," :
PPP.PVP.DIN.03 SECURITY SYSTEM (with all sub-section)
- CONSTRUCTION TECHNICAL SPECIFICATIONS
- VENDOR INSTALLATION AND TESTING PROCEDURE SPECIFICATIONS
- COMMISIONING TECHNICAL SPECIFICATIONS")</f>
        <v>GRE.EEC.S.21.IT.P.18371.00.127.00 Technical Specification :
PPP.PVP.DIN.03 SECURITY SYSTEM (with all sub-section)
- CONSTRUCTION TECHNICAL SPECIFICATIONS
- VENDOR INSTALLATION AND TESTING PROCEDURE SPECIFICATIONS
- COMMISIONING TECHNICAL SPECIFICATIONS</v>
      </c>
      <c r="D164" s="900" t="s">
        <v>570</v>
      </c>
      <c r="E164" s="901" t="s">
        <v>571</v>
      </c>
      <c r="F164" s="902" t="s">
        <v>160</v>
      </c>
      <c r="G164" s="900" t="s">
        <v>141</v>
      </c>
      <c r="H164" s="1101">
        <v>0</v>
      </c>
      <c r="I164" s="1290"/>
      <c r="J164" s="1290"/>
      <c r="K164" s="1297">
        <f t="shared" si="92"/>
        <v>0</v>
      </c>
      <c r="L164" s="1290"/>
      <c r="M164" s="1290"/>
      <c r="N164" s="1297">
        <f t="shared" si="93"/>
        <v>0</v>
      </c>
      <c r="O164" s="1298"/>
      <c r="P164" s="1290"/>
      <c r="Q164" s="1298"/>
      <c r="R164" s="1291">
        <f t="shared" si="94"/>
        <v>0</v>
      </c>
      <c r="S164" s="1292">
        <f t="shared" si="95"/>
        <v>0</v>
      </c>
      <c r="T164" s="935"/>
    </row>
    <row r="165" spans="2:20" s="431" customFormat="1" ht="102" x14ac:dyDescent="0.25">
      <c r="B165" s="919"/>
      <c r="C165" s="1351" t="str">
        <f>CONCATENATE('Reference documents'!B15," :
PPP.PVP.DIN.03 SECURITY SYSTEM (with all sub-section)
- CONSTRUCTION TECHNICAL SPECIFICATIONS
- VENDOR INSTALLATION AND TESTING PROCEDURE SPECIFICATIONS
- COMMISIONING TECHNICAL SPECIFICATIONS")</f>
        <v>GRE.EEC.S.21.IT.P.18371.00.127.00 Technical Specification :
PPP.PVP.DIN.03 SECURITY SYSTEM (with all sub-section)
- CONSTRUCTION TECHNICAL SPECIFICATIONS
- VENDOR INSTALLATION AND TESTING PROCEDURE SPECIFICATIONS
- COMMISIONING TECHNICAL SPECIFICATIONS</v>
      </c>
      <c r="D165" s="900" t="s">
        <v>572</v>
      </c>
      <c r="E165" s="901" t="s">
        <v>573</v>
      </c>
      <c r="F165" s="902" t="s">
        <v>160</v>
      </c>
      <c r="G165" s="900" t="s">
        <v>141</v>
      </c>
      <c r="H165" s="1101">
        <v>100</v>
      </c>
      <c r="I165" s="1290"/>
      <c r="J165" s="1290"/>
      <c r="K165" s="1297">
        <f t="shared" ref="K165:K170" si="96">I165*J165</f>
        <v>0</v>
      </c>
      <c r="L165" s="1290"/>
      <c r="M165" s="1290"/>
      <c r="N165" s="1297">
        <f t="shared" ref="N165:N170" si="97">L165*M165</f>
        <v>0</v>
      </c>
      <c r="O165" s="1298"/>
      <c r="P165" s="1290"/>
      <c r="Q165" s="1298"/>
      <c r="R165" s="1291">
        <f t="shared" ref="R165:R170" si="98">P165+N165+K165</f>
        <v>0</v>
      </c>
      <c r="S165" s="1292">
        <f t="shared" ref="S165:S170" si="99">IF(F165="na","",H165*R165)</f>
        <v>0</v>
      </c>
      <c r="T165" s="935" t="s">
        <v>574</v>
      </c>
    </row>
    <row r="166" spans="2:20" s="431" customFormat="1" ht="102" x14ac:dyDescent="0.25">
      <c r="B166" s="919"/>
      <c r="C166" s="1351" t="str">
        <f>CONCATENATE('Reference documents'!B15," :
PPP.PVP.DIN.03 SECURITY SYSTEM (with all sub-section)
- CONSTRUCTION TECHNICAL SPECIFICATIONS
- VENDOR INSTALLATION AND TESTING PROCEDURE SPECIFICATIONS
- COMMISIONING TECHNICAL SPECIFICATIONS")</f>
        <v>GRE.EEC.S.21.IT.P.18371.00.127.00 Technical Specification :
PPP.PVP.DIN.03 SECURITY SYSTEM (with all sub-section)
- CONSTRUCTION TECHNICAL SPECIFICATIONS
- VENDOR INSTALLATION AND TESTING PROCEDURE SPECIFICATIONS
- COMMISIONING TECHNICAL SPECIFICATIONS</v>
      </c>
      <c r="D166" s="900" t="s">
        <v>575</v>
      </c>
      <c r="E166" s="901" t="s">
        <v>576</v>
      </c>
      <c r="F166" s="902" t="s">
        <v>160</v>
      </c>
      <c r="G166" s="900" t="s">
        <v>141</v>
      </c>
      <c r="H166" s="1101">
        <v>100</v>
      </c>
      <c r="I166" s="1290"/>
      <c r="J166" s="1290"/>
      <c r="K166" s="1297">
        <f t="shared" si="96"/>
        <v>0</v>
      </c>
      <c r="L166" s="1290"/>
      <c r="M166" s="1290"/>
      <c r="N166" s="1297">
        <f t="shared" si="97"/>
        <v>0</v>
      </c>
      <c r="O166" s="1298"/>
      <c r="P166" s="1290"/>
      <c r="Q166" s="1298"/>
      <c r="R166" s="1291">
        <f t="shared" si="98"/>
        <v>0</v>
      </c>
      <c r="S166" s="1292">
        <f t="shared" si="99"/>
        <v>0</v>
      </c>
      <c r="T166" s="935"/>
    </row>
    <row r="167" spans="2:20" s="431" customFormat="1" ht="102" x14ac:dyDescent="0.25">
      <c r="B167" s="919"/>
      <c r="C167" s="1351" t="str">
        <f>CONCATENATE('Reference documents'!B15," :
PPP.PVP.DIN.03 SECURITY SYSTEM (with all sub-section)
- CONSTRUCTION TECHNICAL SPECIFICATIONS
- VENDOR INSTALLATION AND TESTING PROCEDURE SPECIFICATIONS
- COMMISIONING TECHNICAL SPECIFICATIONS")</f>
        <v>GRE.EEC.S.21.IT.P.18371.00.127.00 Technical Specification :
PPP.PVP.DIN.03 SECURITY SYSTEM (with all sub-section)
- CONSTRUCTION TECHNICAL SPECIFICATIONS
- VENDOR INSTALLATION AND TESTING PROCEDURE SPECIFICATIONS
- COMMISIONING TECHNICAL SPECIFICATIONS</v>
      </c>
      <c r="D167" s="900" t="s">
        <v>577</v>
      </c>
      <c r="E167" s="901" t="s">
        <v>578</v>
      </c>
      <c r="F167" s="902" t="s">
        <v>160</v>
      </c>
      <c r="G167" s="900" t="s">
        <v>141</v>
      </c>
      <c r="H167" s="1101">
        <v>100</v>
      </c>
      <c r="I167" s="1290"/>
      <c r="J167" s="1290"/>
      <c r="K167" s="1297">
        <f t="shared" si="96"/>
        <v>0</v>
      </c>
      <c r="L167" s="1290"/>
      <c r="M167" s="1290"/>
      <c r="N167" s="1297">
        <f t="shared" si="97"/>
        <v>0</v>
      </c>
      <c r="O167" s="1298"/>
      <c r="P167" s="1290"/>
      <c r="Q167" s="1298"/>
      <c r="R167" s="1291">
        <f t="shared" si="98"/>
        <v>0</v>
      </c>
      <c r="S167" s="1292">
        <f t="shared" si="99"/>
        <v>0</v>
      </c>
      <c r="T167" s="935" t="s">
        <v>574</v>
      </c>
    </row>
    <row r="168" spans="2:20" s="431" customFormat="1" ht="102" x14ac:dyDescent="0.25">
      <c r="B168" s="919"/>
      <c r="C168" s="1351" t="str">
        <f>CONCATENATE('Reference documents'!B15," :
PPP.PVP.DIN.03 SECURITY SYSTEM (with all sub-section)
- CONSTRUCTION TECHNICAL SPECIFICATIONS
- VENDOR INSTALLATION AND TESTING PROCEDURE SPECIFICATIONS
- COMMISIONING TECHNICAL SPECIFICATIONS")</f>
        <v>GRE.EEC.S.21.IT.P.18371.00.127.00 Technical Specification :
PPP.PVP.DIN.03 SECURITY SYSTEM (with all sub-section)
- CONSTRUCTION TECHNICAL SPECIFICATIONS
- VENDOR INSTALLATION AND TESTING PROCEDURE SPECIFICATIONS
- COMMISIONING TECHNICAL SPECIFICATIONS</v>
      </c>
      <c r="D168" s="900" t="s">
        <v>579</v>
      </c>
      <c r="E168" s="901" t="s">
        <v>580</v>
      </c>
      <c r="F168" s="902" t="s">
        <v>160</v>
      </c>
      <c r="G168" s="900" t="s">
        <v>141</v>
      </c>
      <c r="H168" s="1101">
        <v>100</v>
      </c>
      <c r="I168" s="1290"/>
      <c r="J168" s="1290"/>
      <c r="K168" s="1297">
        <f t="shared" si="96"/>
        <v>0</v>
      </c>
      <c r="L168" s="1290"/>
      <c r="M168" s="1290"/>
      <c r="N168" s="1297">
        <f t="shared" si="97"/>
        <v>0</v>
      </c>
      <c r="O168" s="1298"/>
      <c r="P168" s="1290"/>
      <c r="Q168" s="1298"/>
      <c r="R168" s="1291">
        <f t="shared" si="98"/>
        <v>0</v>
      </c>
      <c r="S168" s="1292">
        <f t="shared" si="99"/>
        <v>0</v>
      </c>
      <c r="T168" s="935"/>
    </row>
    <row r="169" spans="2:20" s="431" customFormat="1" ht="102" x14ac:dyDescent="0.25">
      <c r="B169" s="919"/>
      <c r="C169" s="1351" t="str">
        <f>CONCATENATE('Reference documents'!B15," :
PPP.PVP.DIN.03 SECURITY SYSTEM (with all sub-section)
- CONSTRUCTION TECHNICAL SPECIFICATIONS
- VENDOR INSTALLATION AND TESTING PROCEDURE SPECIFICATIONS
- COMMISIONING TECHNICAL SPECIFICATIONS")</f>
        <v>GRE.EEC.S.21.IT.P.18371.00.127.00 Technical Specification :
PPP.PVP.DIN.03 SECURITY SYSTEM (with all sub-section)
- CONSTRUCTION TECHNICAL SPECIFICATIONS
- VENDOR INSTALLATION AND TESTING PROCEDURE SPECIFICATIONS
- COMMISIONING TECHNICAL SPECIFICATIONS</v>
      </c>
      <c r="D169" s="900" t="s">
        <v>581</v>
      </c>
      <c r="E169" s="901" t="s">
        <v>582</v>
      </c>
      <c r="F169" s="902" t="s">
        <v>160</v>
      </c>
      <c r="G169" s="900" t="s">
        <v>141</v>
      </c>
      <c r="H169" s="1101">
        <v>20</v>
      </c>
      <c r="I169" s="1290"/>
      <c r="J169" s="1290"/>
      <c r="K169" s="1297">
        <f t="shared" si="96"/>
        <v>0</v>
      </c>
      <c r="L169" s="1290"/>
      <c r="M169" s="1290"/>
      <c r="N169" s="1297">
        <f t="shared" si="97"/>
        <v>0</v>
      </c>
      <c r="O169" s="1298"/>
      <c r="P169" s="1290"/>
      <c r="Q169" s="1298"/>
      <c r="R169" s="1291">
        <f t="shared" si="98"/>
        <v>0</v>
      </c>
      <c r="S169" s="1292">
        <f t="shared" si="99"/>
        <v>0</v>
      </c>
      <c r="T169" s="935" t="s">
        <v>583</v>
      </c>
    </row>
    <row r="170" spans="2:20" s="431" customFormat="1" ht="102" x14ac:dyDescent="0.25">
      <c r="B170" s="919"/>
      <c r="C170" s="1351" t="str">
        <f>CONCATENATE('Reference documents'!B15," :
PPP.PVP.DIN.03 SECURITY SYSTEM (with all sub-section)
- CONSTRUCTION TECHNICAL SPECIFICATIONS
- VENDOR INSTALLATION AND TESTING PROCEDURE SPECIFICATIONS
- COMMISIONING TECHNICAL SPECIFICATIONS")</f>
        <v>GRE.EEC.S.21.IT.P.18371.00.127.00 Technical Specification :
PPP.PVP.DIN.03 SECURITY SYSTEM (with all sub-section)
- CONSTRUCTION TECHNICAL SPECIFICATIONS
- VENDOR INSTALLATION AND TESTING PROCEDURE SPECIFICATIONS
- COMMISIONING TECHNICAL SPECIFICATIONS</v>
      </c>
      <c r="D170" s="900" t="s">
        <v>584</v>
      </c>
      <c r="E170" s="901" t="s">
        <v>585</v>
      </c>
      <c r="F170" s="902" t="s">
        <v>160</v>
      </c>
      <c r="G170" s="900" t="s">
        <v>141</v>
      </c>
      <c r="H170" s="1101">
        <v>20</v>
      </c>
      <c r="I170" s="1290"/>
      <c r="J170" s="1290"/>
      <c r="K170" s="1297">
        <f t="shared" si="96"/>
        <v>0</v>
      </c>
      <c r="L170" s="1290"/>
      <c r="M170" s="1290"/>
      <c r="N170" s="1297">
        <f t="shared" si="97"/>
        <v>0</v>
      </c>
      <c r="O170" s="1298"/>
      <c r="P170" s="1290"/>
      <c r="Q170" s="1298"/>
      <c r="R170" s="1291">
        <f t="shared" si="98"/>
        <v>0</v>
      </c>
      <c r="S170" s="1292">
        <f t="shared" si="99"/>
        <v>0</v>
      </c>
      <c r="T170" s="935"/>
    </row>
    <row r="171" spans="2:20" s="431" customFormat="1" ht="18" customHeight="1" x14ac:dyDescent="0.25">
      <c r="B171" s="945"/>
      <c r="C171" s="1351"/>
      <c r="D171" s="946" t="s">
        <v>586</v>
      </c>
      <c r="E171" s="928" t="s">
        <v>587</v>
      </c>
      <c r="F171" s="947"/>
      <c r="G171" s="947"/>
      <c r="H171" s="1100"/>
      <c r="I171" s="1100"/>
      <c r="J171" s="1100"/>
      <c r="K171" s="1100"/>
      <c r="L171" s="1100"/>
      <c r="M171" s="1100"/>
      <c r="N171" s="1100"/>
      <c r="O171" s="1100"/>
      <c r="P171" s="1100"/>
      <c r="Q171" s="1100"/>
      <c r="R171" s="947"/>
      <c r="S171" s="1127"/>
      <c r="T171" s="948"/>
    </row>
    <row r="172" spans="2:20" s="431" customFormat="1" ht="51" x14ac:dyDescent="0.25">
      <c r="B172" s="919"/>
      <c r="C172" s="1351" t="str">
        <f>CONCATENATE('Reference documents'!B15," :
PPP.PVP.MVC.03.002 Normal and Emergency Lighting Systems ")</f>
        <v xml:space="preserve">GRE.EEC.S.21.IT.P.18371.00.127.00 Technical Specification :
PPP.PVP.MVC.03.002 Normal and Emergency Lighting Systems </v>
      </c>
      <c r="D172" s="900" t="s">
        <v>588</v>
      </c>
      <c r="E172" s="901" t="s">
        <v>589</v>
      </c>
      <c r="F172" s="902" t="s">
        <v>160</v>
      </c>
      <c r="G172" s="900" t="s">
        <v>141</v>
      </c>
      <c r="H172" s="1101">
        <v>20</v>
      </c>
      <c r="I172" s="1290"/>
      <c r="J172" s="1290"/>
      <c r="K172" s="1297">
        <f t="shared" ref="K172:K173" si="100">I172*J172</f>
        <v>0</v>
      </c>
      <c r="L172" s="1290"/>
      <c r="M172" s="1290"/>
      <c r="N172" s="1297">
        <f t="shared" ref="N172:N173" si="101">L172*M172</f>
        <v>0</v>
      </c>
      <c r="O172" s="1298"/>
      <c r="P172" s="1290"/>
      <c r="Q172" s="1298"/>
      <c r="R172" s="1291">
        <f t="shared" ref="R172:R173" si="102">P172+N172+K172</f>
        <v>0</v>
      </c>
      <c r="S172" s="1292">
        <f t="shared" ref="S172:S173" si="103">IF(F172="na","",H172*R172)</f>
        <v>0</v>
      </c>
      <c r="T172" s="935" t="s">
        <v>590</v>
      </c>
    </row>
    <row r="173" spans="2:20" s="431" customFormat="1" ht="51" x14ac:dyDescent="0.25">
      <c r="B173" s="919"/>
      <c r="C173" s="1351" t="str">
        <f>CONCATENATE('Reference documents'!B15," :
PPP.PVP.MVC.03.002 Normal and Emergency Lighting Systems")</f>
        <v>GRE.EEC.S.21.IT.P.18371.00.127.00 Technical Specification :
PPP.PVP.MVC.03.002 Normal and Emergency Lighting Systems</v>
      </c>
      <c r="D173" s="900" t="s">
        <v>591</v>
      </c>
      <c r="E173" s="901" t="s">
        <v>592</v>
      </c>
      <c r="F173" s="902" t="s">
        <v>160</v>
      </c>
      <c r="G173" s="900" t="s">
        <v>141</v>
      </c>
      <c r="H173" s="1101">
        <v>20</v>
      </c>
      <c r="I173" s="1290"/>
      <c r="J173" s="1290"/>
      <c r="K173" s="1297">
        <f t="shared" si="100"/>
        <v>0</v>
      </c>
      <c r="L173" s="1290"/>
      <c r="M173" s="1290"/>
      <c r="N173" s="1297">
        <f t="shared" si="101"/>
        <v>0</v>
      </c>
      <c r="O173" s="1298"/>
      <c r="P173" s="1290"/>
      <c r="Q173" s="1298"/>
      <c r="R173" s="1291">
        <f t="shared" si="102"/>
        <v>0</v>
      </c>
      <c r="S173" s="1292">
        <f t="shared" si="103"/>
        <v>0</v>
      </c>
      <c r="T173" s="935"/>
    </row>
    <row r="174" spans="2:20" s="431" customFormat="1" ht="13.15" customHeight="1" x14ac:dyDescent="0.25">
      <c r="B174" s="945"/>
      <c r="C174" s="928"/>
      <c r="D174" s="946"/>
      <c r="E174" s="928" t="s">
        <v>811</v>
      </c>
      <c r="F174" s="947"/>
      <c r="G174" s="947"/>
      <c r="H174" s="1100"/>
      <c r="I174" s="1100"/>
      <c r="J174" s="1100"/>
      <c r="K174" s="1100"/>
      <c r="L174" s="1100"/>
      <c r="M174" s="1100"/>
      <c r="N174" s="1100"/>
      <c r="O174" s="1100"/>
      <c r="P174" s="1100"/>
      <c r="Q174" s="1100"/>
      <c r="R174" s="947"/>
      <c r="S174" s="1127"/>
      <c r="T174" s="948"/>
    </row>
    <row r="175" spans="2:20" s="431" customFormat="1" ht="25.5" x14ac:dyDescent="0.25">
      <c r="B175" s="956"/>
      <c r="C175" s="1286" t="s">
        <v>248</v>
      </c>
      <c r="D175" s="933"/>
      <c r="E175" s="1273" t="s">
        <v>812</v>
      </c>
      <c r="F175" s="932" t="s">
        <v>160</v>
      </c>
      <c r="G175" s="933" t="s">
        <v>464</v>
      </c>
      <c r="H175" s="1103">
        <v>0</v>
      </c>
      <c r="I175" s="1290"/>
      <c r="J175" s="1290"/>
      <c r="K175" s="1297">
        <f t="shared" ref="K175" si="104">I175*J175</f>
        <v>0</v>
      </c>
      <c r="L175" s="1290"/>
      <c r="M175" s="1290"/>
      <c r="N175" s="1297">
        <f t="shared" ref="N175" si="105">L175*M175</f>
        <v>0</v>
      </c>
      <c r="O175" s="1298"/>
      <c r="P175" s="1290"/>
      <c r="Q175" s="1298"/>
      <c r="R175" s="1291">
        <f t="shared" ref="R175" si="106">P175+N175+K175</f>
        <v>0</v>
      </c>
      <c r="S175" s="1292">
        <f t="shared" ref="S175" si="107">IF(F175="na","",H175*R175)</f>
        <v>0</v>
      </c>
      <c r="T175" s="957"/>
    </row>
    <row r="176" spans="2:20" ht="15" customHeight="1" x14ac:dyDescent="0.25">
      <c r="B176" s="1608" t="s">
        <v>98</v>
      </c>
      <c r="C176" s="1608"/>
      <c r="D176" s="1608"/>
      <c r="E176" s="1608"/>
      <c r="F176" s="1609" t="s">
        <v>154</v>
      </c>
      <c r="G176" s="1609"/>
      <c r="H176" s="1609"/>
      <c r="I176" s="1609"/>
      <c r="J176" s="1609"/>
      <c r="K176" s="1609"/>
      <c r="L176" s="1609"/>
      <c r="M176" s="1609"/>
      <c r="N176" s="1609"/>
      <c r="O176" s="1609"/>
      <c r="P176" s="1609"/>
      <c r="Q176" s="1609"/>
      <c r="R176" s="1609"/>
      <c r="S176" s="863">
        <f>SUMIFS(S181:S184,F181:F184,"Mandatory",E181:E184,"=*Supply")</f>
        <v>0</v>
      </c>
      <c r="T176" s="1221"/>
    </row>
    <row r="177" spans="2:20" ht="15" customHeight="1" x14ac:dyDescent="0.25">
      <c r="B177" s="1608"/>
      <c r="C177" s="1608"/>
      <c r="D177" s="1608"/>
      <c r="E177" s="1608"/>
      <c r="F177" s="1609" t="s">
        <v>156</v>
      </c>
      <c r="G177" s="1609"/>
      <c r="H177" s="1609"/>
      <c r="I177" s="1609"/>
      <c r="J177" s="1609"/>
      <c r="K177" s="1609"/>
      <c r="L177" s="1609"/>
      <c r="M177" s="1609"/>
      <c r="N177" s="1609"/>
      <c r="O177" s="1609"/>
      <c r="P177" s="1609"/>
      <c r="Q177" s="1609"/>
      <c r="R177" s="1609"/>
      <c r="S177" s="863">
        <f>SUMIFS(S181:S184,F181:F184,"Optional",E181:E184,"=*Supply")</f>
        <v>0</v>
      </c>
      <c r="T177" s="1221"/>
    </row>
    <row r="178" spans="2:20" ht="15" customHeight="1" x14ac:dyDescent="0.25">
      <c r="B178" s="1599" t="s">
        <v>90</v>
      </c>
      <c r="C178" s="1600"/>
      <c r="D178" s="1600"/>
      <c r="E178" s="1601"/>
      <c r="F178" s="1605" t="s">
        <v>154</v>
      </c>
      <c r="G178" s="1606"/>
      <c r="H178" s="1606"/>
      <c r="I178" s="1606"/>
      <c r="J178" s="1606"/>
      <c r="K178" s="1606"/>
      <c r="L178" s="1606"/>
      <c r="M178" s="1606"/>
      <c r="N178" s="1606"/>
      <c r="O178" s="1606"/>
      <c r="P178" s="1606"/>
      <c r="Q178" s="1606"/>
      <c r="R178" s="1607"/>
      <c r="S178" s="863">
        <f>SUMIFS(S181:S184,F181:F184,"Mandatory",E181:E184,"=*Installation*")</f>
        <v>0</v>
      </c>
      <c r="T178" s="1221"/>
    </row>
    <row r="179" spans="2:20" ht="15" customHeight="1" x14ac:dyDescent="0.25">
      <c r="B179" s="1602"/>
      <c r="C179" s="1603"/>
      <c r="D179" s="1603"/>
      <c r="E179" s="1604"/>
      <c r="F179" s="1605" t="s">
        <v>156</v>
      </c>
      <c r="G179" s="1606"/>
      <c r="H179" s="1606"/>
      <c r="I179" s="1606"/>
      <c r="J179" s="1606"/>
      <c r="K179" s="1606"/>
      <c r="L179" s="1606"/>
      <c r="M179" s="1606"/>
      <c r="N179" s="1606"/>
      <c r="O179" s="1606"/>
      <c r="P179" s="1606"/>
      <c r="Q179" s="1606"/>
      <c r="R179" s="1607"/>
      <c r="S179" s="863">
        <f>SUMIFS(S181:S184,F181:F184,"Optional",E181:E184,"=*Installation*")</f>
        <v>0</v>
      </c>
      <c r="T179" s="1221"/>
    </row>
    <row r="180" spans="2:20" s="180" customFormat="1" ht="48" x14ac:dyDescent="0.25">
      <c r="B180" s="949"/>
      <c r="C180" s="946"/>
      <c r="D180" s="946" t="s">
        <v>594</v>
      </c>
      <c r="E180" s="952" t="s">
        <v>595</v>
      </c>
      <c r="F180" s="950"/>
      <c r="G180" s="950"/>
      <c r="H180" s="1100"/>
      <c r="I180" s="1100"/>
      <c r="J180" s="1100"/>
      <c r="K180" s="1100"/>
      <c r="L180" s="1100"/>
      <c r="M180" s="1100"/>
      <c r="N180" s="1100"/>
      <c r="O180" s="1100"/>
      <c r="P180" s="1100"/>
      <c r="Q180" s="1100"/>
      <c r="R180" s="950"/>
      <c r="S180" s="1129"/>
      <c r="T180" s="951" t="s">
        <v>596</v>
      </c>
    </row>
    <row r="181" spans="2:20" s="431" customFormat="1" ht="28.5" customHeight="1" x14ac:dyDescent="0.2">
      <c r="B181" s="919"/>
      <c r="C181" s="1168" t="str">
        <f>CONCATENATE('Reference documents'!B15,"
PPP.PVP.CBL.03 SIGNAL-DATA CABLE")</f>
        <v>GRE.EEC.S.21.IT.P.18371.00.127.00 Technical Specification
PPP.PVP.CBL.03 SIGNAL-DATA CABLE</v>
      </c>
      <c r="D181" s="900" t="s">
        <v>597</v>
      </c>
      <c r="E181" s="901" t="s">
        <v>598</v>
      </c>
      <c r="F181" s="902" t="s">
        <v>160</v>
      </c>
      <c r="G181" s="900" t="s">
        <v>141</v>
      </c>
      <c r="H181" s="1101">
        <v>1</v>
      </c>
      <c r="I181" s="1290"/>
      <c r="J181" s="1290"/>
      <c r="K181" s="1297">
        <f t="shared" ref="K181:K184" si="108">I181*J181</f>
        <v>0</v>
      </c>
      <c r="L181" s="1290"/>
      <c r="M181" s="1290"/>
      <c r="N181" s="1297">
        <f t="shared" ref="N181:N184" si="109">L181*M181</f>
        <v>0</v>
      </c>
      <c r="O181" s="1298"/>
      <c r="P181" s="1290"/>
      <c r="Q181" s="1298"/>
      <c r="R181" s="1291">
        <f t="shared" ref="R181:R184" si="110">P181+N181+K181</f>
        <v>0</v>
      </c>
      <c r="S181" s="1292">
        <f t="shared" ref="S181:S184" si="111">IF(F181="na","",H181*R181)</f>
        <v>0</v>
      </c>
      <c r="T181" s="935"/>
    </row>
    <row r="182" spans="2:20" s="431" customFormat="1" ht="25.5" customHeight="1" x14ac:dyDescent="0.2">
      <c r="B182" s="919"/>
      <c r="C182" s="1168" t="str">
        <f>CONCATENATE('Reference documents'!B15,"
PPP.PVP.CBL.03 SIGNAL-DATA CABLE")</f>
        <v>GRE.EEC.S.21.IT.P.18371.00.127.00 Technical Specification
PPP.PVP.CBL.03 SIGNAL-DATA CABLE</v>
      </c>
      <c r="D182" s="900" t="s">
        <v>599</v>
      </c>
      <c r="E182" s="901" t="s">
        <v>600</v>
      </c>
      <c r="F182" s="902" t="s">
        <v>160</v>
      </c>
      <c r="G182" s="900" t="s">
        <v>141</v>
      </c>
      <c r="H182" s="1101">
        <v>1</v>
      </c>
      <c r="I182" s="1290"/>
      <c r="J182" s="1290"/>
      <c r="K182" s="1297">
        <f t="shared" si="108"/>
        <v>0</v>
      </c>
      <c r="L182" s="1290"/>
      <c r="M182" s="1290"/>
      <c r="N182" s="1297">
        <f t="shared" si="109"/>
        <v>0</v>
      </c>
      <c r="O182" s="1298"/>
      <c r="P182" s="1290"/>
      <c r="Q182" s="1298"/>
      <c r="R182" s="1291">
        <f t="shared" si="110"/>
        <v>0</v>
      </c>
      <c r="S182" s="1292">
        <f t="shared" si="111"/>
        <v>0</v>
      </c>
      <c r="T182" s="935"/>
    </row>
    <row r="183" spans="2:20" s="431" customFormat="1" ht="26.25" customHeight="1" x14ac:dyDescent="0.2">
      <c r="B183" s="919"/>
      <c r="C183" s="1168" t="str">
        <f>CONCATENATE('Reference documents'!B15,"
PPP.PVP.CBL.03 SIGNAL-DATA CABLE")</f>
        <v>GRE.EEC.S.21.IT.P.18371.00.127.00 Technical Specification
PPP.PVP.CBL.03 SIGNAL-DATA CABLE</v>
      </c>
      <c r="D183" s="900" t="s">
        <v>601</v>
      </c>
      <c r="E183" s="901" t="s">
        <v>602</v>
      </c>
      <c r="F183" s="902" t="s">
        <v>160</v>
      </c>
      <c r="G183" s="900" t="s">
        <v>141</v>
      </c>
      <c r="H183" s="1101">
        <v>1</v>
      </c>
      <c r="I183" s="1290"/>
      <c r="J183" s="1290"/>
      <c r="K183" s="1297">
        <f t="shared" si="108"/>
        <v>0</v>
      </c>
      <c r="L183" s="1290"/>
      <c r="M183" s="1290"/>
      <c r="N183" s="1297">
        <f t="shared" si="109"/>
        <v>0</v>
      </c>
      <c r="O183" s="1298"/>
      <c r="P183" s="1290"/>
      <c r="Q183" s="1298"/>
      <c r="R183" s="1291">
        <f t="shared" si="110"/>
        <v>0</v>
      </c>
      <c r="S183" s="1292">
        <f t="shared" si="111"/>
        <v>0</v>
      </c>
      <c r="T183" s="935"/>
    </row>
    <row r="184" spans="2:20" s="431" customFormat="1" ht="27" customHeight="1" x14ac:dyDescent="0.2">
      <c r="B184" s="919"/>
      <c r="C184" s="1168" t="str">
        <f>CONCATENATE('Reference documents'!B15,"
PPP.PVP.CBL.03 SIGNAL-DATA CABLE")</f>
        <v>GRE.EEC.S.21.IT.P.18371.00.127.00 Technical Specification
PPP.PVP.CBL.03 SIGNAL-DATA CABLE</v>
      </c>
      <c r="D184" s="900" t="s">
        <v>603</v>
      </c>
      <c r="E184" s="901" t="s">
        <v>604</v>
      </c>
      <c r="F184" s="902" t="s">
        <v>160</v>
      </c>
      <c r="G184" s="900" t="s">
        <v>141</v>
      </c>
      <c r="H184" s="1101">
        <v>1</v>
      </c>
      <c r="I184" s="1290"/>
      <c r="J184" s="1290"/>
      <c r="K184" s="1297">
        <f t="shared" si="108"/>
        <v>0</v>
      </c>
      <c r="L184" s="1290"/>
      <c r="M184" s="1290"/>
      <c r="N184" s="1297">
        <f t="shared" si="109"/>
        <v>0</v>
      </c>
      <c r="O184" s="1298"/>
      <c r="P184" s="1290"/>
      <c r="Q184" s="1298"/>
      <c r="R184" s="1291">
        <f t="shared" si="110"/>
        <v>0</v>
      </c>
      <c r="S184" s="1292">
        <f t="shared" si="111"/>
        <v>0</v>
      </c>
      <c r="T184" s="935"/>
    </row>
    <row r="185" spans="2:20" ht="15" customHeight="1" x14ac:dyDescent="0.25">
      <c r="B185" s="1608" t="s">
        <v>105</v>
      </c>
      <c r="C185" s="1608"/>
      <c r="D185" s="1608"/>
      <c r="E185" s="1608"/>
      <c r="F185" s="1609" t="s">
        <v>154</v>
      </c>
      <c r="G185" s="1609"/>
      <c r="H185" s="1609"/>
      <c r="I185" s="1609"/>
      <c r="J185" s="1609"/>
      <c r="K185" s="1609"/>
      <c r="L185" s="1609"/>
      <c r="M185" s="1609"/>
      <c r="N185" s="1609"/>
      <c r="O185" s="1609"/>
      <c r="P185" s="1609"/>
      <c r="Q185" s="1609"/>
      <c r="R185" s="1609"/>
      <c r="S185" s="863">
        <f>SUMIFS(S190:S195,F190:F195,"Mandatory",E190:E195,"=*Supply")</f>
        <v>0</v>
      </c>
      <c r="T185" s="1221"/>
    </row>
    <row r="186" spans="2:20" ht="15" customHeight="1" x14ac:dyDescent="0.25">
      <c r="B186" s="1608"/>
      <c r="C186" s="1608"/>
      <c r="D186" s="1608"/>
      <c r="E186" s="1608"/>
      <c r="F186" s="1609" t="s">
        <v>156</v>
      </c>
      <c r="G186" s="1609"/>
      <c r="H186" s="1609"/>
      <c r="I186" s="1609"/>
      <c r="J186" s="1609"/>
      <c r="K186" s="1609"/>
      <c r="L186" s="1609"/>
      <c r="M186" s="1609"/>
      <c r="N186" s="1609"/>
      <c r="O186" s="1609"/>
      <c r="P186" s="1609"/>
      <c r="Q186" s="1609"/>
      <c r="R186" s="1609"/>
      <c r="S186" s="863">
        <f>SUMIFS(S190:S195,F190:F195,"Optional",E190:E195,"=*Supply")</f>
        <v>0</v>
      </c>
      <c r="T186" s="1221"/>
    </row>
    <row r="187" spans="2:20" ht="15" customHeight="1" x14ac:dyDescent="0.25">
      <c r="B187" s="1599" t="s">
        <v>813</v>
      </c>
      <c r="C187" s="1600"/>
      <c r="D187" s="1600"/>
      <c r="E187" s="1601"/>
      <c r="F187" s="1605" t="s">
        <v>154</v>
      </c>
      <c r="G187" s="1606"/>
      <c r="H187" s="1606"/>
      <c r="I187" s="1606"/>
      <c r="J187" s="1606"/>
      <c r="K187" s="1606"/>
      <c r="L187" s="1606"/>
      <c r="M187" s="1606"/>
      <c r="N187" s="1606"/>
      <c r="O187" s="1606"/>
      <c r="P187" s="1606"/>
      <c r="Q187" s="1606"/>
      <c r="R187" s="1607"/>
      <c r="S187" s="863">
        <f>SUMIFS(S190:S195,F190:F195,"Mandatory",E190:E195,"=*Installation*")</f>
        <v>0</v>
      </c>
      <c r="T187" s="1221"/>
    </row>
    <row r="188" spans="2:20" ht="15" customHeight="1" x14ac:dyDescent="0.25">
      <c r="B188" s="1602"/>
      <c r="C188" s="1603"/>
      <c r="D188" s="1603"/>
      <c r="E188" s="1604"/>
      <c r="F188" s="1605" t="s">
        <v>156</v>
      </c>
      <c r="G188" s="1606"/>
      <c r="H188" s="1606"/>
      <c r="I188" s="1606"/>
      <c r="J188" s="1606"/>
      <c r="K188" s="1606"/>
      <c r="L188" s="1606"/>
      <c r="M188" s="1606"/>
      <c r="N188" s="1606"/>
      <c r="O188" s="1606"/>
      <c r="P188" s="1606"/>
      <c r="Q188" s="1606"/>
      <c r="R188" s="1607"/>
      <c r="S188" s="863">
        <f>SUMIFS(S190:S195,F190:F195,"Optional",E190:E195,"=*Installation*")</f>
        <v>0</v>
      </c>
      <c r="T188" s="1221"/>
    </row>
    <row r="189" spans="2:20" s="431" customFormat="1" ht="18" customHeight="1" x14ac:dyDescent="0.25">
      <c r="B189" s="945"/>
      <c r="C189" s="928"/>
      <c r="D189" s="946" t="s">
        <v>606</v>
      </c>
      <c r="E189" s="928" t="s">
        <v>607</v>
      </c>
      <c r="F189" s="947"/>
      <c r="G189" s="947"/>
      <c r="H189" s="1100"/>
      <c r="I189" s="1100"/>
      <c r="J189" s="1100"/>
      <c r="K189" s="1100"/>
      <c r="L189" s="1100"/>
      <c r="M189" s="1100"/>
      <c r="N189" s="1100"/>
      <c r="O189" s="1100"/>
      <c r="P189" s="1100"/>
      <c r="Q189" s="1100"/>
      <c r="R189" s="947"/>
      <c r="S189" s="1127"/>
      <c r="T189" s="948"/>
    </row>
    <row r="190" spans="2:20" s="431" customFormat="1" ht="18" customHeight="1" x14ac:dyDescent="0.25">
      <c r="B190" s="945"/>
      <c r="C190" s="928"/>
      <c r="D190" s="946" t="s">
        <v>608</v>
      </c>
      <c r="E190" s="928" t="s">
        <v>609</v>
      </c>
      <c r="F190" s="947"/>
      <c r="G190" s="947"/>
      <c r="H190" s="1100"/>
      <c r="I190" s="1100"/>
      <c r="J190" s="1100"/>
      <c r="K190" s="1100"/>
      <c r="L190" s="1100"/>
      <c r="M190" s="1100"/>
      <c r="N190" s="1100"/>
      <c r="O190" s="1100"/>
      <c r="P190" s="1100"/>
      <c r="Q190" s="1100"/>
      <c r="R190" s="947"/>
      <c r="S190" s="1127"/>
      <c r="T190" s="948" t="s">
        <v>610</v>
      </c>
    </row>
    <row r="191" spans="2:20" s="431" customFormat="1" ht="63.75" x14ac:dyDescent="0.25">
      <c r="B191" s="919"/>
      <c r="C191" s="1283" t="str">
        <f>CONCATENATE('Reference documents'!B15," :
PPP.PVP.MVC.01.001.01 MV Switchgear (MV SWGR)
- VENDOR INSTALLATION PROCEDURE OR SPECIFIC DESIGN REQUIREMENTS SPECIFICATIONS")</f>
        <v>GRE.EEC.S.21.IT.P.18371.00.127.00 Technical Specification :
PPP.PVP.MVC.01.001.01 MV Switchgear (MV SWGR)
- VENDOR INSTALLATION PROCEDURE OR SPECIFIC DESIGN REQUIREMENTS SPECIFICATIONS</v>
      </c>
      <c r="D191" s="900" t="s">
        <v>611</v>
      </c>
      <c r="E191" s="901" t="s">
        <v>612</v>
      </c>
      <c r="F191" s="902" t="s">
        <v>160</v>
      </c>
      <c r="G191" s="900" t="s">
        <v>141</v>
      </c>
      <c r="H191" s="1101">
        <v>0</v>
      </c>
      <c r="I191" s="1290"/>
      <c r="J191" s="1290"/>
      <c r="K191" s="1297">
        <f t="shared" ref="K191:K192" si="112">I191*J191</f>
        <v>0</v>
      </c>
      <c r="L191" s="1290"/>
      <c r="M191" s="1290"/>
      <c r="N191" s="1297">
        <f t="shared" ref="N191:N192" si="113">L191*M191</f>
        <v>0</v>
      </c>
      <c r="O191" s="1298"/>
      <c r="P191" s="1290"/>
      <c r="Q191" s="1298"/>
      <c r="R191" s="1291">
        <f t="shared" ref="R191:R192" si="114">P191+N191+K191</f>
        <v>0</v>
      </c>
      <c r="S191" s="1292">
        <f t="shared" ref="S191:S192" si="115">IF(F191="na","",H191*R191)</f>
        <v>0</v>
      </c>
      <c r="T191" s="935"/>
    </row>
    <row r="192" spans="2:20" s="431" customFormat="1" ht="63.75" x14ac:dyDescent="0.25">
      <c r="B192" s="919"/>
      <c r="C192" s="1283" t="str">
        <f>CONCATENATE('Reference documents'!B15," :
PPP.PVP.MVC.01.001.01 MV Switchgear (MV SWGR)
- VENDOR INSTALLATION PROCEDURE OR SPECIFIC DESIGN REQUIREMENTS SPECIFICATIONS")</f>
        <v>GRE.EEC.S.21.IT.P.18371.00.127.00 Technical Specification :
PPP.PVP.MVC.01.001.01 MV Switchgear (MV SWGR)
- VENDOR INSTALLATION PROCEDURE OR SPECIFIC DESIGN REQUIREMENTS SPECIFICATIONS</v>
      </c>
      <c r="D192" s="900" t="s">
        <v>613</v>
      </c>
      <c r="E192" s="901" t="s">
        <v>614</v>
      </c>
      <c r="F192" s="902" t="s">
        <v>160</v>
      </c>
      <c r="G192" s="900" t="s">
        <v>141</v>
      </c>
      <c r="H192" s="1101">
        <v>0</v>
      </c>
      <c r="I192" s="1290"/>
      <c r="J192" s="1290"/>
      <c r="K192" s="1297">
        <f t="shared" si="112"/>
        <v>0</v>
      </c>
      <c r="L192" s="1290"/>
      <c r="M192" s="1290"/>
      <c r="N192" s="1297">
        <f t="shared" si="113"/>
        <v>0</v>
      </c>
      <c r="O192" s="1298"/>
      <c r="P192" s="1290"/>
      <c r="Q192" s="1298"/>
      <c r="R192" s="1291">
        <f t="shared" si="114"/>
        <v>0</v>
      </c>
      <c r="S192" s="1292">
        <f t="shared" si="115"/>
        <v>0</v>
      </c>
      <c r="T192" s="935"/>
    </row>
    <row r="193" spans="2:20" s="431" customFormat="1" ht="25.5" x14ac:dyDescent="0.25">
      <c r="B193" s="945"/>
      <c r="C193" s="928"/>
      <c r="D193" s="946" t="s">
        <v>615</v>
      </c>
      <c r="E193" s="928" t="s">
        <v>616</v>
      </c>
      <c r="F193" s="947"/>
      <c r="G193" s="947"/>
      <c r="H193" s="1100"/>
      <c r="I193" s="1100"/>
      <c r="J193" s="1100"/>
      <c r="K193" s="1100"/>
      <c r="L193" s="1100"/>
      <c r="M193" s="1100"/>
      <c r="N193" s="1100"/>
      <c r="O193" s="1100"/>
      <c r="P193" s="1100"/>
      <c r="Q193" s="1100"/>
      <c r="R193" s="947"/>
      <c r="S193" s="1127"/>
      <c r="T193" s="948" t="s">
        <v>617</v>
      </c>
    </row>
    <row r="194" spans="2:20" s="431" customFormat="1" ht="63.75" x14ac:dyDescent="0.25">
      <c r="B194" s="919"/>
      <c r="C194" s="1282" t="str">
        <f>CONCATENATE('Reference documents'!B15," :
PPP.PVP.MVC.01.001.01 MV Switchgear (MV SWGR)
- VENDOR INSTALLATION PROCEDURE OR SPECIFIC DESIGN REQUIREMENTS SPECIFICATIONS")</f>
        <v>GRE.EEC.S.21.IT.P.18371.00.127.00 Technical Specification :
PPP.PVP.MVC.01.001.01 MV Switchgear (MV SWGR)
- VENDOR INSTALLATION PROCEDURE OR SPECIFIC DESIGN REQUIREMENTS SPECIFICATIONS</v>
      </c>
      <c r="D194" s="900" t="s">
        <v>618</v>
      </c>
      <c r="E194" s="901" t="s">
        <v>619</v>
      </c>
      <c r="F194" s="902" t="s">
        <v>160</v>
      </c>
      <c r="G194" s="900" t="s">
        <v>141</v>
      </c>
      <c r="H194" s="1101">
        <v>0</v>
      </c>
      <c r="I194" s="1290"/>
      <c r="J194" s="1290"/>
      <c r="K194" s="1297">
        <f t="shared" ref="K194:K195" si="116">I194*J194</f>
        <v>0</v>
      </c>
      <c r="L194" s="1290"/>
      <c r="M194" s="1290"/>
      <c r="N194" s="1297">
        <f t="shared" ref="N194:N195" si="117">L194*M194</f>
        <v>0</v>
      </c>
      <c r="O194" s="1298"/>
      <c r="P194" s="1290"/>
      <c r="Q194" s="1298"/>
      <c r="R194" s="1291">
        <f t="shared" ref="R194:R195" si="118">P194+N194+K194</f>
        <v>0</v>
      </c>
      <c r="S194" s="1292">
        <f t="shared" ref="S194:S195" si="119">IF(F194="na","",H194*R194)</f>
        <v>0</v>
      </c>
      <c r="T194" s="935"/>
    </row>
    <row r="195" spans="2:20" s="431" customFormat="1" ht="63.75" x14ac:dyDescent="0.25">
      <c r="B195" s="919"/>
      <c r="C195" s="1244" t="str">
        <f>CONCATENATE('Reference documents'!B15," :
PPP.PVP.MVC.01.001.01 MV Switchgear (MV SWGR)
- VENDOR INSTALLATION PROCEDURE OR SPECIFIC DESIGN REQUIREMENTS SPECIFICATIONS")</f>
        <v>GRE.EEC.S.21.IT.P.18371.00.127.00 Technical Specification :
PPP.PVP.MVC.01.001.01 MV Switchgear (MV SWGR)
- VENDOR INSTALLATION PROCEDURE OR SPECIFIC DESIGN REQUIREMENTS SPECIFICATIONS</v>
      </c>
      <c r="D195" s="900" t="s">
        <v>620</v>
      </c>
      <c r="E195" s="901" t="s">
        <v>621</v>
      </c>
      <c r="F195" s="902" t="s">
        <v>160</v>
      </c>
      <c r="G195" s="900" t="s">
        <v>141</v>
      </c>
      <c r="H195" s="1101">
        <v>0</v>
      </c>
      <c r="I195" s="1290"/>
      <c r="J195" s="1290"/>
      <c r="K195" s="1297">
        <f t="shared" si="116"/>
        <v>0</v>
      </c>
      <c r="L195" s="1290"/>
      <c r="M195" s="1290"/>
      <c r="N195" s="1297">
        <f t="shared" si="117"/>
        <v>0</v>
      </c>
      <c r="O195" s="1298"/>
      <c r="P195" s="1290"/>
      <c r="Q195" s="1298"/>
      <c r="R195" s="1291">
        <f t="shared" si="118"/>
        <v>0</v>
      </c>
      <c r="S195" s="1292">
        <f t="shared" si="119"/>
        <v>0</v>
      </c>
      <c r="T195" s="935"/>
    </row>
    <row r="196" spans="2:20" ht="15" customHeight="1" x14ac:dyDescent="0.25">
      <c r="B196" s="1608" t="s">
        <v>99</v>
      </c>
      <c r="C196" s="1608"/>
      <c r="D196" s="1608"/>
      <c r="E196" s="1608"/>
      <c r="F196" s="1609" t="s">
        <v>154</v>
      </c>
      <c r="G196" s="1609"/>
      <c r="H196" s="1609"/>
      <c r="I196" s="1609"/>
      <c r="J196" s="1609"/>
      <c r="K196" s="1609"/>
      <c r="L196" s="1609"/>
      <c r="M196" s="1609"/>
      <c r="N196" s="1609"/>
      <c r="O196" s="1609"/>
      <c r="P196" s="1609"/>
      <c r="Q196" s="1609"/>
      <c r="R196" s="1609"/>
      <c r="S196" s="863">
        <f>SUMIFS(S202:S242,F202:F242,"Mandatory",E202:E242,"=*Supply*")</f>
        <v>0</v>
      </c>
      <c r="T196" s="1221"/>
    </row>
    <row r="197" spans="2:20" ht="15" customHeight="1" x14ac:dyDescent="0.25">
      <c r="B197" s="1608"/>
      <c r="C197" s="1608"/>
      <c r="D197" s="1608"/>
      <c r="E197" s="1608"/>
      <c r="F197" s="1609" t="s">
        <v>156</v>
      </c>
      <c r="G197" s="1609"/>
      <c r="H197" s="1609"/>
      <c r="I197" s="1609"/>
      <c r="J197" s="1609"/>
      <c r="K197" s="1609"/>
      <c r="L197" s="1609"/>
      <c r="M197" s="1609"/>
      <c r="N197" s="1609"/>
      <c r="O197" s="1609"/>
      <c r="P197" s="1609"/>
      <c r="Q197" s="1609"/>
      <c r="R197" s="1609"/>
      <c r="S197" s="863">
        <f>SUMIFS(S202:S242,F202:F242,"Optional",E202:E242,"=*Supply*")</f>
        <v>0</v>
      </c>
      <c r="T197" s="1221"/>
    </row>
    <row r="198" spans="2:20" ht="15" customHeight="1" x14ac:dyDescent="0.25">
      <c r="B198" s="1599" t="s">
        <v>91</v>
      </c>
      <c r="C198" s="1600"/>
      <c r="D198" s="1600"/>
      <c r="E198" s="1601"/>
      <c r="F198" s="1605" t="s">
        <v>154</v>
      </c>
      <c r="G198" s="1606"/>
      <c r="H198" s="1606"/>
      <c r="I198" s="1606"/>
      <c r="J198" s="1606"/>
      <c r="K198" s="1606"/>
      <c r="L198" s="1606"/>
      <c r="M198" s="1606"/>
      <c r="N198" s="1606"/>
      <c r="O198" s="1606"/>
      <c r="P198" s="1606"/>
      <c r="Q198" s="1606"/>
      <c r="R198" s="1607"/>
      <c r="S198" s="863">
        <f>SUMIFS(S202:S242,F202:F242,"Mandatory",E202:E242,"=*Installation*")</f>
        <v>0</v>
      </c>
      <c r="T198" s="1221"/>
    </row>
    <row r="199" spans="2:20" ht="15" customHeight="1" x14ac:dyDescent="0.25">
      <c r="B199" s="1602"/>
      <c r="C199" s="1603"/>
      <c r="D199" s="1603"/>
      <c r="E199" s="1604"/>
      <c r="F199" s="1605" t="s">
        <v>156</v>
      </c>
      <c r="G199" s="1606"/>
      <c r="H199" s="1606"/>
      <c r="I199" s="1606"/>
      <c r="J199" s="1606"/>
      <c r="K199" s="1606"/>
      <c r="L199" s="1606"/>
      <c r="M199" s="1606"/>
      <c r="N199" s="1606"/>
      <c r="O199" s="1606"/>
      <c r="P199" s="1606"/>
      <c r="Q199" s="1606"/>
      <c r="R199" s="1607"/>
      <c r="S199" s="863">
        <f>SUMIFS(S202:S242,F202:F242,"Optional",E202:E242,"=*Installation*")</f>
        <v>0</v>
      </c>
      <c r="T199" s="1221"/>
    </row>
    <row r="200" spans="2:20" ht="15" customHeight="1" x14ac:dyDescent="0.25">
      <c r="B200" s="1599" t="s">
        <v>814</v>
      </c>
      <c r="C200" s="1600"/>
      <c r="D200" s="1600"/>
      <c r="E200" s="1601"/>
      <c r="F200" s="1605" t="s">
        <v>154</v>
      </c>
      <c r="G200" s="1606"/>
      <c r="H200" s="1606"/>
      <c r="I200" s="1606"/>
      <c r="J200" s="1606"/>
      <c r="K200" s="1606"/>
      <c r="L200" s="1606"/>
      <c r="M200" s="1606"/>
      <c r="N200" s="1606"/>
      <c r="O200" s="1606"/>
      <c r="P200" s="1606"/>
      <c r="Q200" s="1606"/>
      <c r="R200" s="1607"/>
      <c r="S200" s="863">
        <f>SUMIFS(S202:S242,F202:F242,"Mandatory",E202:E242,"=*Test*")</f>
        <v>0</v>
      </c>
      <c r="T200" s="1221"/>
    </row>
    <row r="201" spans="2:20" ht="15" customHeight="1" x14ac:dyDescent="0.25">
      <c r="B201" s="1602"/>
      <c r="C201" s="1603"/>
      <c r="D201" s="1603"/>
      <c r="E201" s="1604"/>
      <c r="F201" s="1605" t="s">
        <v>156</v>
      </c>
      <c r="G201" s="1606"/>
      <c r="H201" s="1606"/>
      <c r="I201" s="1606"/>
      <c r="J201" s="1606"/>
      <c r="K201" s="1606"/>
      <c r="L201" s="1606"/>
      <c r="M201" s="1606"/>
      <c r="N201" s="1606"/>
      <c r="O201" s="1606"/>
      <c r="P201" s="1606"/>
      <c r="Q201" s="1606"/>
      <c r="R201" s="1607"/>
      <c r="S201" s="863">
        <f>SUMIFS(S202:S242,F202:F242,"Optional",E202:E242,"=*Test*")</f>
        <v>0</v>
      </c>
      <c r="T201" s="1221"/>
    </row>
    <row r="202" spans="2:20" s="431" customFormat="1" ht="18" customHeight="1" x14ac:dyDescent="0.25">
      <c r="B202" s="945"/>
      <c r="C202" s="928"/>
      <c r="D202" s="946" t="s">
        <v>623</v>
      </c>
      <c r="E202" s="928" t="s">
        <v>622</v>
      </c>
      <c r="F202" s="947"/>
      <c r="G202" s="947"/>
      <c r="H202" s="1100"/>
      <c r="I202" s="1100"/>
      <c r="J202" s="1100"/>
      <c r="K202" s="1100"/>
      <c r="L202" s="1100"/>
      <c r="M202" s="1100"/>
      <c r="N202" s="1100"/>
      <c r="O202" s="1100"/>
      <c r="P202" s="1100"/>
      <c r="Q202" s="1100"/>
      <c r="R202" s="947"/>
      <c r="S202" s="1127"/>
      <c r="T202" s="948"/>
    </row>
    <row r="203" spans="2:20" s="431" customFormat="1" ht="18" customHeight="1" x14ac:dyDescent="0.25">
      <c r="B203" s="945"/>
      <c r="C203" s="928"/>
      <c r="D203" s="946" t="s">
        <v>624</v>
      </c>
      <c r="E203" s="928" t="s">
        <v>625</v>
      </c>
      <c r="F203" s="947"/>
      <c r="G203" s="947"/>
      <c r="H203" s="1100"/>
      <c r="I203" s="1100"/>
      <c r="J203" s="1100"/>
      <c r="K203" s="1100"/>
      <c r="L203" s="1100"/>
      <c r="M203" s="1100"/>
      <c r="N203" s="1100"/>
      <c r="O203" s="1100"/>
      <c r="P203" s="1100"/>
      <c r="Q203" s="1100"/>
      <c r="R203" s="947"/>
      <c r="S203" s="1127"/>
      <c r="T203" s="948"/>
    </row>
    <row r="204" spans="2:20" s="431" customFormat="1" ht="37.5" customHeight="1" x14ac:dyDescent="0.25">
      <c r="B204" s="919"/>
      <c r="C204" s="1283" t="str">
        <f>CONCATENATE('Reference documents'!B15,"
PPP.PVP.MVC MV CENTERS")</f>
        <v>GRE.EEC.S.21.IT.P.18371.00.127.00 Technical Specification
PPP.PVP.MVC MV CENTERS</v>
      </c>
      <c r="D204" s="900" t="s">
        <v>629</v>
      </c>
      <c r="E204" s="901" t="s">
        <v>630</v>
      </c>
      <c r="F204" s="902" t="s">
        <v>160</v>
      </c>
      <c r="G204" s="900" t="s">
        <v>141</v>
      </c>
      <c r="H204" s="1101">
        <v>0</v>
      </c>
      <c r="I204" s="1290"/>
      <c r="J204" s="1290"/>
      <c r="K204" s="1297">
        <f t="shared" ref="K204:K212" si="120">I204*J204</f>
        <v>0</v>
      </c>
      <c r="L204" s="1290"/>
      <c r="M204" s="1290"/>
      <c r="N204" s="1297">
        <f t="shared" ref="N204:N212" si="121">L204*M204</f>
        <v>0</v>
      </c>
      <c r="O204" s="1298"/>
      <c r="P204" s="1290"/>
      <c r="Q204" s="1298"/>
      <c r="R204" s="1291">
        <f t="shared" ref="R204:R212" si="122">P204+N204+K204</f>
        <v>0</v>
      </c>
      <c r="S204" s="1292">
        <f t="shared" ref="S204:S212" si="123">IF(F204="na","",H204*R204)</f>
        <v>0</v>
      </c>
      <c r="T204" s="955" t="s">
        <v>651</v>
      </c>
    </row>
    <row r="205" spans="2:20" s="431" customFormat="1" ht="89.25" x14ac:dyDescent="0.25">
      <c r="B205" s="899"/>
      <c r="C205" s="1288" t="str">
        <f>CONCATENATE('Reference documents'!B15," :
PPP.PVP.FPP.01.002 String Boxes
PPP.PVP.WRK.04 ELECTRICAL FIELD BOX ACTIVITIES
- CONSTRUCTION TECHNICAL SPECIFICATIONS
- VENDOR INSTALLATION PROCEDURE SPECIFICATIONS")</f>
        <v>GRE.EEC.S.21.IT.P.18371.00.127.00 Technical Specification :
PPP.PVP.FPP.01.002 String Boxes
PPP.PVP.WRK.04 ELECTRICAL FIELD BOX ACTIVITIES
- CONSTRUCTION TECHNICAL SPECIFICATIONS
- VENDOR INSTALLATION PROCEDURE SPECIFICATIONS</v>
      </c>
      <c r="D205" s="900" t="s">
        <v>631</v>
      </c>
      <c r="E205" s="901" t="s">
        <v>632</v>
      </c>
      <c r="F205" s="902" t="s">
        <v>167</v>
      </c>
      <c r="G205" s="900" t="s">
        <v>141</v>
      </c>
      <c r="H205" s="1101">
        <v>0</v>
      </c>
      <c r="I205" s="1290"/>
      <c r="J205" s="1290"/>
      <c r="K205" s="1297">
        <f t="shared" si="120"/>
        <v>0</v>
      </c>
      <c r="L205" s="1290"/>
      <c r="M205" s="1290"/>
      <c r="N205" s="1297">
        <f t="shared" si="121"/>
        <v>0</v>
      </c>
      <c r="O205" s="1298"/>
      <c r="P205" s="1290"/>
      <c r="Q205" s="1298"/>
      <c r="R205" s="1291">
        <f t="shared" si="122"/>
        <v>0</v>
      </c>
      <c r="S205" s="1292">
        <f t="shared" si="123"/>
        <v>0</v>
      </c>
      <c r="T205" s="1122" t="s">
        <v>815</v>
      </c>
    </row>
    <row r="206" spans="2:20" s="431" customFormat="1" ht="89.25" x14ac:dyDescent="0.25">
      <c r="B206" s="899"/>
      <c r="C206" s="1289" t="str">
        <f>CONCATENATE('Reference documents'!B15," :
PPP.PVP.FPP.01.002 String Boxes
PPP.PVP.WRK.04 ELECTRICAL FIELD BOX ACTIVITIES
- CONSTRUCTION TECHNICAL SPECIFICATIONS
- VENDOR INSTALLATION PROCEDURE SPECIFICATIONS")</f>
        <v>GRE.EEC.S.21.IT.P.18371.00.127.00 Technical Specification :
PPP.PVP.FPP.01.002 String Boxes
PPP.PVP.WRK.04 ELECTRICAL FIELD BOX ACTIVITIES
- CONSTRUCTION TECHNICAL SPECIFICATIONS
- VENDOR INSTALLATION PROCEDURE SPECIFICATIONS</v>
      </c>
      <c r="D206" s="900" t="s">
        <v>634</v>
      </c>
      <c r="E206" s="901" t="s">
        <v>635</v>
      </c>
      <c r="F206" s="902" t="s">
        <v>160</v>
      </c>
      <c r="G206" s="900" t="s">
        <v>141</v>
      </c>
      <c r="H206" s="1101">
        <v>0</v>
      </c>
      <c r="I206" s="1290"/>
      <c r="J206" s="1290"/>
      <c r="K206" s="1297">
        <f t="shared" si="120"/>
        <v>0</v>
      </c>
      <c r="L206" s="1290"/>
      <c r="M206" s="1290"/>
      <c r="N206" s="1297">
        <f t="shared" si="121"/>
        <v>0</v>
      </c>
      <c r="O206" s="1298"/>
      <c r="P206" s="1290"/>
      <c r="Q206" s="1298"/>
      <c r="R206" s="1291">
        <f t="shared" si="122"/>
        <v>0</v>
      </c>
      <c r="S206" s="1292">
        <f t="shared" si="123"/>
        <v>0</v>
      </c>
      <c r="T206" s="1122"/>
    </row>
    <row r="207" spans="2:20" s="431" customFormat="1" ht="25.5" x14ac:dyDescent="0.25">
      <c r="B207" s="1123"/>
      <c r="C207" s="1284" t="s">
        <v>762</v>
      </c>
      <c r="D207" s="933"/>
      <c r="E207" s="1273" t="s">
        <v>816</v>
      </c>
      <c r="F207" s="932" t="s">
        <v>167</v>
      </c>
      <c r="G207" s="933" t="s">
        <v>817</v>
      </c>
      <c r="H207" s="1103"/>
      <c r="I207" s="1290"/>
      <c r="J207" s="1290"/>
      <c r="K207" s="1297">
        <f t="shared" si="120"/>
        <v>0</v>
      </c>
      <c r="L207" s="1290"/>
      <c r="M207" s="1290"/>
      <c r="N207" s="1297">
        <f t="shared" si="121"/>
        <v>0</v>
      </c>
      <c r="O207" s="1298"/>
      <c r="P207" s="1290"/>
      <c r="Q207" s="1298"/>
      <c r="R207" s="1291">
        <f t="shared" si="122"/>
        <v>0</v>
      </c>
      <c r="S207" s="1292">
        <f t="shared" si="123"/>
        <v>0</v>
      </c>
      <c r="T207" s="957"/>
    </row>
    <row r="208" spans="2:20" s="431" customFormat="1" ht="51" x14ac:dyDescent="0.25">
      <c r="B208" s="898"/>
      <c r="C208" s="1283" t="str">
        <f>CONCATENATE('Reference documents'!B15,"
PPP.PVP.INV.02 CENTRALIZED INVERTER
PPP.PVP.MVC MV CENTERS")</f>
        <v>GRE.EEC.S.21.IT.P.18371.00.127.00 Technical Specification
PPP.PVP.INV.02 CENTRALIZED INVERTER
PPP.PVP.MVC MV CENTERS</v>
      </c>
      <c r="D208" s="900" t="s">
        <v>644</v>
      </c>
      <c r="E208" s="901" t="s">
        <v>645</v>
      </c>
      <c r="F208" s="902" t="s">
        <v>160</v>
      </c>
      <c r="G208" s="900" t="s">
        <v>141</v>
      </c>
      <c r="H208" s="1101">
        <v>0</v>
      </c>
      <c r="I208" s="1290"/>
      <c r="J208" s="1290"/>
      <c r="K208" s="1297">
        <f t="shared" si="120"/>
        <v>0</v>
      </c>
      <c r="L208" s="1290"/>
      <c r="M208" s="1290"/>
      <c r="N208" s="1297">
        <f t="shared" si="121"/>
        <v>0</v>
      </c>
      <c r="O208" s="1298"/>
      <c r="P208" s="1290"/>
      <c r="Q208" s="1298"/>
      <c r="R208" s="1291">
        <f t="shared" si="122"/>
        <v>0</v>
      </c>
      <c r="S208" s="1292">
        <f t="shared" si="123"/>
        <v>0</v>
      </c>
      <c r="T208" s="1330" t="s">
        <v>818</v>
      </c>
    </row>
    <row r="209" spans="2:20" s="431" customFormat="1" ht="51" x14ac:dyDescent="0.25">
      <c r="B209" s="898"/>
      <c r="C209" s="1283" t="str">
        <f>CONCATENATE('Reference documents'!B15,"
PPP.PVP.INV.02 CENTRALIZED INVERTER
PPP.PVP.MVC MV CENTERS")</f>
        <v>GRE.EEC.S.21.IT.P.18371.00.127.00 Technical Specification
PPP.PVP.INV.02 CENTRALIZED INVERTER
PPP.PVP.MVC MV CENTERS</v>
      </c>
      <c r="D209" s="900" t="s">
        <v>646</v>
      </c>
      <c r="E209" s="901" t="s">
        <v>647</v>
      </c>
      <c r="F209" s="902" t="s">
        <v>160</v>
      </c>
      <c r="G209" s="900" t="s">
        <v>141</v>
      </c>
      <c r="H209" s="1101">
        <v>0</v>
      </c>
      <c r="I209" s="1290"/>
      <c r="J209" s="1290"/>
      <c r="K209" s="1297">
        <f t="shared" si="120"/>
        <v>0</v>
      </c>
      <c r="L209" s="1290"/>
      <c r="M209" s="1290"/>
      <c r="N209" s="1297">
        <f t="shared" si="121"/>
        <v>0</v>
      </c>
      <c r="O209" s="1298"/>
      <c r="P209" s="1290"/>
      <c r="Q209" s="1298"/>
      <c r="R209" s="1291">
        <f t="shared" si="122"/>
        <v>0</v>
      </c>
      <c r="S209" s="1292">
        <f t="shared" si="123"/>
        <v>0</v>
      </c>
      <c r="T209" s="1331" t="s">
        <v>818</v>
      </c>
    </row>
    <row r="210" spans="2:20" s="431" customFormat="1" ht="51" x14ac:dyDescent="0.25">
      <c r="B210" s="919"/>
      <c r="C210" s="1283" t="str">
        <f>CONCATENATE('Reference documents'!B15,
"
PPP.PVP.WRK.02 PV MODULES ACTIVITY
PPP.PVP.WRK.02.002 PV Modules Cabling")</f>
        <v>GRE.EEC.S.21.IT.P.18371.00.127.00 Technical Specification
PPP.PVP.WRK.02 PV MODULES ACTIVITY
PPP.PVP.WRK.02.002 PV Modules Cabling</v>
      </c>
      <c r="D210" s="900" t="s">
        <v>648</v>
      </c>
      <c r="E210" s="901" t="s">
        <v>649</v>
      </c>
      <c r="F210" s="902" t="s">
        <v>160</v>
      </c>
      <c r="G210" s="900" t="s">
        <v>650</v>
      </c>
      <c r="H210" s="1101">
        <v>0</v>
      </c>
      <c r="I210" s="1290"/>
      <c r="J210" s="1290"/>
      <c r="K210" s="1297">
        <f t="shared" si="120"/>
        <v>0</v>
      </c>
      <c r="L210" s="1290"/>
      <c r="M210" s="1290"/>
      <c r="N210" s="1297">
        <f t="shared" si="121"/>
        <v>0</v>
      </c>
      <c r="O210" s="1298"/>
      <c r="P210" s="1290"/>
      <c r="Q210" s="1298"/>
      <c r="R210" s="1291">
        <f t="shared" si="122"/>
        <v>0</v>
      </c>
      <c r="S210" s="1292">
        <f t="shared" si="123"/>
        <v>0</v>
      </c>
      <c r="T210" s="955" t="s">
        <v>651</v>
      </c>
    </row>
    <row r="211" spans="2:20" s="431" customFormat="1" ht="29.25" customHeight="1" x14ac:dyDescent="0.25">
      <c r="B211" s="919"/>
      <c r="C211" s="1334" t="str">
        <f>CONCATENATE('Reference documents'!B15,
"
PPP.PVP.FPP.01.001 DC Pre-Parallel Boxes")</f>
        <v>GRE.EEC.S.21.IT.P.18371.00.127.00 Technical Specification
PPP.PVP.FPP.01.001 DC Pre-Parallel Boxes</v>
      </c>
      <c r="D211" s="900" t="s">
        <v>652</v>
      </c>
      <c r="E211" s="901" t="s">
        <v>653</v>
      </c>
      <c r="F211" s="902" t="s">
        <v>191</v>
      </c>
      <c r="G211" s="900" t="s">
        <v>141</v>
      </c>
      <c r="H211" s="1101">
        <v>0</v>
      </c>
      <c r="I211" s="1290"/>
      <c r="J211" s="1290"/>
      <c r="K211" s="1297">
        <f t="shared" si="120"/>
        <v>0</v>
      </c>
      <c r="L211" s="1290"/>
      <c r="M211" s="1290"/>
      <c r="N211" s="1297">
        <f t="shared" si="121"/>
        <v>0</v>
      </c>
      <c r="O211" s="1298"/>
      <c r="P211" s="1290"/>
      <c r="Q211" s="1298"/>
      <c r="R211" s="1291">
        <f t="shared" si="122"/>
        <v>0</v>
      </c>
      <c r="S211" s="1292" t="str">
        <f t="shared" si="123"/>
        <v/>
      </c>
      <c r="T211" s="1122"/>
    </row>
    <row r="212" spans="2:20" s="431" customFormat="1" ht="40.5" customHeight="1" x14ac:dyDescent="0.25">
      <c r="B212" s="919"/>
      <c r="C212" s="1334" t="str">
        <f>CONCATENATE('Reference documents'!B15,
"
PPP.PVP.FPP.01.001 DC Pre-Parallel Boxes")</f>
        <v>GRE.EEC.S.21.IT.P.18371.00.127.00 Technical Specification
PPP.PVP.FPP.01.001 DC Pre-Parallel Boxes</v>
      </c>
      <c r="D212" s="900" t="s">
        <v>654</v>
      </c>
      <c r="E212" s="901" t="s">
        <v>655</v>
      </c>
      <c r="F212" s="902" t="s">
        <v>191</v>
      </c>
      <c r="G212" s="900" t="s">
        <v>141</v>
      </c>
      <c r="H212" s="1101">
        <v>0</v>
      </c>
      <c r="I212" s="1290"/>
      <c r="J212" s="1290"/>
      <c r="K212" s="1297">
        <f t="shared" si="120"/>
        <v>0</v>
      </c>
      <c r="L212" s="1290"/>
      <c r="M212" s="1290"/>
      <c r="N212" s="1297">
        <f t="shared" si="121"/>
        <v>0</v>
      </c>
      <c r="O212" s="1298"/>
      <c r="P212" s="1290"/>
      <c r="Q212" s="1298"/>
      <c r="R212" s="1291">
        <f t="shared" si="122"/>
        <v>0</v>
      </c>
      <c r="S212" s="1292" t="str">
        <f t="shared" si="123"/>
        <v/>
      </c>
      <c r="T212" s="1122"/>
    </row>
    <row r="213" spans="2:20" s="431" customFormat="1" ht="18" customHeight="1" x14ac:dyDescent="0.25">
      <c r="B213" s="945"/>
      <c r="C213" s="928"/>
      <c r="D213" s="946" t="s">
        <v>656</v>
      </c>
      <c r="E213" s="928" t="s">
        <v>657</v>
      </c>
      <c r="F213" s="947"/>
      <c r="G213" s="947"/>
      <c r="H213" s="1100"/>
      <c r="I213" s="1100"/>
      <c r="J213" s="1100"/>
      <c r="K213" s="1100"/>
      <c r="L213" s="1100"/>
      <c r="M213" s="1100"/>
      <c r="N213" s="1100"/>
      <c r="O213" s="1100"/>
      <c r="P213" s="1100"/>
      <c r="Q213" s="1100"/>
      <c r="R213" s="947"/>
      <c r="S213" s="1127"/>
      <c r="T213" s="948"/>
    </row>
    <row r="214" spans="2:20" s="431" customFormat="1" ht="129" x14ac:dyDescent="0.25">
      <c r="B214" s="919"/>
      <c r="C214" s="1282" t="str">
        <f>CONCATENATE('Reference documents'!B15," :
PPP.PVP.MVC MV CENTERS
PPP.PVP.MVC.02 MV DISTRIBUTION CENTER
PPP.PVP.MVC.03 MV CENTER ENCLOSURE
PPP.PVP.WRK.03 CABINS ACTIVITY")</f>
        <v>GRE.EEC.S.21.IT.P.18371.00.127.00 Technical Specification :
PPP.PVP.MVC MV CENTERS
PPP.PVP.MVC.02 MV DISTRIBUTION CENTER
PPP.PVP.MVC.03 MV CENTER ENCLOSURE
PPP.PVP.WRK.03 CABINS ACTIVITY</v>
      </c>
      <c r="D214" s="900" t="s">
        <v>658</v>
      </c>
      <c r="E214" s="901" t="s">
        <v>819</v>
      </c>
      <c r="F214" s="902" t="s">
        <v>160</v>
      </c>
      <c r="G214" s="900" t="s">
        <v>141</v>
      </c>
      <c r="H214" s="1101">
        <v>0</v>
      </c>
      <c r="I214" s="1290"/>
      <c r="J214" s="1290"/>
      <c r="K214" s="1297">
        <f t="shared" ref="K214:K224" si="124">I214*J214</f>
        <v>0</v>
      </c>
      <c r="L214" s="1290"/>
      <c r="M214" s="1290"/>
      <c r="N214" s="1297">
        <f t="shared" ref="N214:N224" si="125">L214*M214</f>
        <v>0</v>
      </c>
      <c r="O214" s="1298"/>
      <c r="P214" s="1290"/>
      <c r="Q214" s="1298"/>
      <c r="R214" s="1291">
        <f t="shared" ref="R214:R224" si="126">P214+N214+K214</f>
        <v>0</v>
      </c>
      <c r="S214" s="1292">
        <f t="shared" ref="S214:S224" si="127">IF(F214="na","",H214*R214)</f>
        <v>0</v>
      </c>
      <c r="T214" s="935"/>
    </row>
    <row r="215" spans="2:20" s="431" customFormat="1" ht="76.5" x14ac:dyDescent="0.25">
      <c r="B215" s="919"/>
      <c r="C215" s="1244" t="str">
        <f>CONCATENATE('Reference documents'!B15," :
PPP.PVP.MVC MV CENTERS
PPP.PVP.MVC.02 MV DISTRIBUTION CENTER
PPP.PVP.MVC.03 MV CENTER ENCLOSURE
PPP.PVP.WRK.03 CABINS ACTIVITY")</f>
        <v>GRE.EEC.S.21.IT.P.18371.00.127.00 Technical Specification :
PPP.PVP.MVC MV CENTERS
PPP.PVP.MVC.02 MV DISTRIBUTION CENTER
PPP.PVP.MVC.03 MV CENTER ENCLOSURE
PPP.PVP.WRK.03 CABINS ACTIVITY</v>
      </c>
      <c r="D215" s="900" t="s">
        <v>820</v>
      </c>
      <c r="E215" s="901" t="s">
        <v>821</v>
      </c>
      <c r="F215" s="902" t="s">
        <v>160</v>
      </c>
      <c r="G215" s="900" t="s">
        <v>141</v>
      </c>
      <c r="H215" s="1101">
        <v>0</v>
      </c>
      <c r="I215" s="1290"/>
      <c r="J215" s="1290"/>
      <c r="K215" s="1297">
        <f t="shared" si="124"/>
        <v>0</v>
      </c>
      <c r="L215" s="1290"/>
      <c r="M215" s="1290"/>
      <c r="N215" s="1297">
        <f t="shared" si="125"/>
        <v>0</v>
      </c>
      <c r="O215" s="1298"/>
      <c r="P215" s="1290"/>
      <c r="Q215" s="1298"/>
      <c r="R215" s="1291">
        <f t="shared" si="126"/>
        <v>0</v>
      </c>
      <c r="S215" s="1292">
        <f t="shared" si="127"/>
        <v>0</v>
      </c>
      <c r="T215" s="935"/>
    </row>
    <row r="216" spans="2:20" s="431" customFormat="1" ht="114.75" x14ac:dyDescent="0.25">
      <c r="B216" s="919"/>
      <c r="C216" s="1282" t="str">
        <f>CONCATENATE('Reference documents'!B15," :
PPP.PVP.MVC MV CENTERS
PPP.PVP.MVC.02 MV DISTRIBUTION CENTER
PPP.PVP.MVC.03 MV CENTER ENCLOSURE
PPP.PVP.WRK.03 CABINS ACTIVITY
- CONSTRUCTION TECHNICAL SPECIFICATIONS
- VENDOR INSTALLATION PROCEDURE SPECIFICATIONS")</f>
        <v>GRE.EEC.S.21.IT.P.18371.00.127.00 Technical Specification :
PPP.PVP.MVC MV CENTERS
PPP.PVP.MVC.02 MV DISTRIBUTION CENTER
PPP.PVP.MVC.03 MV CENTER ENCLOSURE
PPP.PVP.WRK.03 CABINS ACTIVITY
- CONSTRUCTION TECHNICAL SPECIFICATIONS
- VENDOR INSTALLATION PROCEDURE SPECIFICATIONS</v>
      </c>
      <c r="D216" s="900" t="s">
        <v>660</v>
      </c>
      <c r="E216" s="901" t="s">
        <v>822</v>
      </c>
      <c r="F216" s="902" t="s">
        <v>160</v>
      </c>
      <c r="G216" s="900" t="s">
        <v>141</v>
      </c>
      <c r="H216" s="1101">
        <v>0</v>
      </c>
      <c r="I216" s="1290"/>
      <c r="J216" s="1290"/>
      <c r="K216" s="1297">
        <f t="shared" si="124"/>
        <v>0</v>
      </c>
      <c r="L216" s="1290"/>
      <c r="M216" s="1290"/>
      <c r="N216" s="1297">
        <f t="shared" si="125"/>
        <v>0</v>
      </c>
      <c r="O216" s="1298"/>
      <c r="P216" s="1290"/>
      <c r="Q216" s="1298"/>
      <c r="R216" s="1291">
        <f t="shared" si="126"/>
        <v>0</v>
      </c>
      <c r="S216" s="1292">
        <f t="shared" si="127"/>
        <v>0</v>
      </c>
      <c r="T216" s="935"/>
    </row>
    <row r="217" spans="2:20" s="431" customFormat="1" ht="263.25" customHeight="1" x14ac:dyDescent="0.25">
      <c r="B217" s="919"/>
      <c r="C217" s="1244" t="str">
        <f>CONCATENATE('Reference documents'!B15," :
PPP.PVP.MVC MV CENTERS
PPP.PVP.MVC.02 MV DISTRIBUTION CENTER
PPP.PVP.MVC.03 MV CENTER ENCLOSURE
PPP.PVP.WRK.03 CABINS ACTIVITY")</f>
        <v>GRE.EEC.S.21.IT.P.18371.00.127.00 Technical Specification :
PPP.PVP.MVC MV CENTERS
PPP.PVP.MVC.02 MV DISTRIBUTION CENTER
PPP.PVP.MVC.03 MV CENTER ENCLOSURE
PPP.PVP.WRK.03 CABINS ACTIVITY</v>
      </c>
      <c r="D217" s="900" t="s">
        <v>662</v>
      </c>
      <c r="E217" s="901" t="s">
        <v>823</v>
      </c>
      <c r="F217" s="902" t="s">
        <v>160</v>
      </c>
      <c r="G217" s="900" t="s">
        <v>141</v>
      </c>
      <c r="H217" s="1101">
        <v>0</v>
      </c>
      <c r="I217" s="1290"/>
      <c r="J217" s="1290"/>
      <c r="K217" s="1297">
        <f t="shared" si="124"/>
        <v>0</v>
      </c>
      <c r="L217" s="1290"/>
      <c r="M217" s="1290"/>
      <c r="N217" s="1297">
        <f t="shared" si="125"/>
        <v>0</v>
      </c>
      <c r="O217" s="1298"/>
      <c r="P217" s="1290"/>
      <c r="Q217" s="1298"/>
      <c r="R217" s="1291">
        <f t="shared" si="126"/>
        <v>0</v>
      </c>
      <c r="S217" s="1292">
        <f t="shared" si="127"/>
        <v>0</v>
      </c>
      <c r="T217" s="935"/>
    </row>
    <row r="218" spans="2:20" s="431" customFormat="1" ht="76.5" x14ac:dyDescent="0.25">
      <c r="B218" s="919"/>
      <c r="C218" s="1282" t="str">
        <f>CONCATENATE('Reference documents'!B15," :
PPP.PVP.MVC MV CENTERS
PPP.PVP.MVC.02 MV DISTRIBUTION CENTER
PPP.PVP.MVC.03 MV CENTER ENCLOSURE
PPP.PVP.WRK.03 CABINS ACTIVITY")</f>
        <v>GRE.EEC.S.21.IT.P.18371.00.127.00 Technical Specification :
PPP.PVP.MVC MV CENTERS
PPP.PVP.MVC.02 MV DISTRIBUTION CENTER
PPP.PVP.MVC.03 MV CENTER ENCLOSURE
PPP.PVP.WRK.03 CABINS ACTIVITY</v>
      </c>
      <c r="D218" s="900" t="s">
        <v>664</v>
      </c>
      <c r="E218" s="901" t="s">
        <v>824</v>
      </c>
      <c r="F218" s="902" t="s">
        <v>160</v>
      </c>
      <c r="G218" s="900" t="s">
        <v>141</v>
      </c>
      <c r="H218" s="1101">
        <v>0</v>
      </c>
      <c r="I218" s="1290"/>
      <c r="J218" s="1290"/>
      <c r="K218" s="1297">
        <f t="shared" si="124"/>
        <v>0</v>
      </c>
      <c r="L218" s="1290"/>
      <c r="M218" s="1290"/>
      <c r="N218" s="1297">
        <f t="shared" si="125"/>
        <v>0</v>
      </c>
      <c r="O218" s="1298"/>
      <c r="P218" s="1290"/>
      <c r="Q218" s="1298"/>
      <c r="R218" s="1291">
        <f t="shared" si="126"/>
        <v>0</v>
      </c>
      <c r="S218" s="1292">
        <f t="shared" si="127"/>
        <v>0</v>
      </c>
      <c r="T218" s="935"/>
    </row>
    <row r="219" spans="2:20" s="431" customFormat="1" ht="76.5" x14ac:dyDescent="0.25">
      <c r="B219" s="919"/>
      <c r="C219" s="1244" t="str">
        <f>CONCATENATE('Reference documents'!B15," :
PPP.PVP.MVC MV CENTERS
PPP.PVP.MVC.02 MV DISTRIBUTION CENTER
PPP.PVP.MVC.03 MV CENTER ENCLOSURE
PPP.PVP.WRK.03 CABINS ACTIVITY")</f>
        <v>GRE.EEC.S.21.IT.P.18371.00.127.00 Technical Specification :
PPP.PVP.MVC MV CENTERS
PPP.PVP.MVC.02 MV DISTRIBUTION CENTER
PPP.PVP.MVC.03 MV CENTER ENCLOSURE
PPP.PVP.WRK.03 CABINS ACTIVITY</v>
      </c>
      <c r="D219" s="900" t="s">
        <v>666</v>
      </c>
      <c r="E219" s="901" t="s">
        <v>825</v>
      </c>
      <c r="F219" s="902" t="s">
        <v>160</v>
      </c>
      <c r="G219" s="900" t="s">
        <v>141</v>
      </c>
      <c r="H219" s="1101">
        <v>0</v>
      </c>
      <c r="I219" s="1290"/>
      <c r="J219" s="1290"/>
      <c r="K219" s="1297">
        <f t="shared" si="124"/>
        <v>0</v>
      </c>
      <c r="L219" s="1290"/>
      <c r="M219" s="1290"/>
      <c r="N219" s="1297">
        <f t="shared" si="125"/>
        <v>0</v>
      </c>
      <c r="O219" s="1298"/>
      <c r="P219" s="1290"/>
      <c r="Q219" s="1298"/>
      <c r="R219" s="1291">
        <f t="shared" si="126"/>
        <v>0</v>
      </c>
      <c r="S219" s="1292">
        <f t="shared" si="127"/>
        <v>0</v>
      </c>
      <c r="T219" s="935"/>
    </row>
    <row r="220" spans="2:20" s="431" customFormat="1" ht="114.75" x14ac:dyDescent="0.25">
      <c r="B220" s="919"/>
      <c r="C220" s="1282" t="str">
        <f>CONCATENATE('Reference documents'!B15," :
PPP.PVP.MVC MV CENTERS
PPP.PVP.MVC.02 MV DISTRIBUTION CENTER
PPP.PVP.MVC.03 MV CENTER ENCLOSURE
PPP.PVP.WRK.03 CABINS ACTIVITY")</f>
        <v>GRE.EEC.S.21.IT.P.18371.00.127.00 Technical Specification :
PPP.PVP.MVC MV CENTERS
PPP.PVP.MVC.02 MV DISTRIBUTION CENTER
PPP.PVP.MVC.03 MV CENTER ENCLOSURE
PPP.PVP.WRK.03 CABINS ACTIVITY</v>
      </c>
      <c r="D220" s="900" t="s">
        <v>668</v>
      </c>
      <c r="E220" s="901" t="s">
        <v>826</v>
      </c>
      <c r="F220" s="902" t="s">
        <v>160</v>
      </c>
      <c r="G220" s="900" t="s">
        <v>141</v>
      </c>
      <c r="H220" s="1101">
        <v>1</v>
      </c>
      <c r="I220" s="1290"/>
      <c r="J220" s="1290"/>
      <c r="K220" s="1297">
        <f t="shared" si="124"/>
        <v>0</v>
      </c>
      <c r="L220" s="1290"/>
      <c r="M220" s="1290"/>
      <c r="N220" s="1297">
        <f t="shared" si="125"/>
        <v>0</v>
      </c>
      <c r="O220" s="1298"/>
      <c r="P220" s="1290"/>
      <c r="Q220" s="1298"/>
      <c r="R220" s="1291">
        <f t="shared" si="126"/>
        <v>0</v>
      </c>
      <c r="S220" s="1292">
        <f t="shared" si="127"/>
        <v>0</v>
      </c>
      <c r="T220" s="935"/>
    </row>
    <row r="221" spans="2:20" s="431" customFormat="1" ht="114.75" x14ac:dyDescent="0.25">
      <c r="B221" s="919"/>
      <c r="C221" s="1244" t="str">
        <f>CONCATENATE('Reference documents'!B15," :
PPP.PVP.MVC MV CENTERS
PPP.PVP.MVC.02 MV DISTRIBUTION CENTER
PPP.PVP.MVC.03 MV CENTER ENCLOSURE
PPP.PVP.WRK.03 CABINS ACTIVITY
- CONSTRUCTION TECHNICAL SPECIFICATIONS
- VENDOR INSTALLATION PROCEDURE SPECIFICATIONS")</f>
        <v>GRE.EEC.S.21.IT.P.18371.00.127.00 Technical Specification :
PPP.PVP.MVC MV CENTERS
PPP.PVP.MVC.02 MV DISTRIBUTION CENTER
PPP.PVP.MVC.03 MV CENTER ENCLOSURE
PPP.PVP.WRK.03 CABINS ACTIVITY
- CONSTRUCTION TECHNICAL SPECIFICATIONS
- VENDOR INSTALLATION PROCEDURE SPECIFICATIONS</v>
      </c>
      <c r="D221" s="900" t="s">
        <v>670</v>
      </c>
      <c r="E221" s="901" t="s">
        <v>827</v>
      </c>
      <c r="F221" s="902" t="s">
        <v>160</v>
      </c>
      <c r="G221" s="900" t="s">
        <v>141</v>
      </c>
      <c r="H221" s="1101">
        <v>0</v>
      </c>
      <c r="I221" s="1290"/>
      <c r="J221" s="1290"/>
      <c r="K221" s="1297">
        <f t="shared" si="124"/>
        <v>0</v>
      </c>
      <c r="L221" s="1290"/>
      <c r="M221" s="1290"/>
      <c r="N221" s="1297">
        <f t="shared" si="125"/>
        <v>0</v>
      </c>
      <c r="O221" s="1298"/>
      <c r="P221" s="1290"/>
      <c r="Q221" s="1298"/>
      <c r="R221" s="1291">
        <f t="shared" si="126"/>
        <v>0</v>
      </c>
      <c r="S221" s="1292">
        <f t="shared" si="127"/>
        <v>0</v>
      </c>
      <c r="T221" s="935"/>
    </row>
    <row r="222" spans="2:20" s="431" customFormat="1" ht="99.75" x14ac:dyDescent="0.25">
      <c r="B222" s="919"/>
      <c r="C222" s="1282" t="str">
        <f>CONCATENATE('Reference documents'!B15," :
PPP.PVP.MVC MV CENTERS
PPP.PVP.MVC.02 MV DISTRIBUTION CENTER
PPP.PVP.MVC.03 MV CENTER ENCLOSURE
PPP.PVP.WRK.03 CABINS ACTIVITY")</f>
        <v>GRE.EEC.S.21.IT.P.18371.00.127.00 Technical Specification :
PPP.PVP.MVC MV CENTERS
PPP.PVP.MVC.02 MV DISTRIBUTION CENTER
PPP.PVP.MVC.03 MV CENTER ENCLOSURE
PPP.PVP.WRK.03 CABINS ACTIVITY</v>
      </c>
      <c r="D222" s="900" t="s">
        <v>672</v>
      </c>
      <c r="E222" s="901" t="s">
        <v>828</v>
      </c>
      <c r="F222" s="902" t="s">
        <v>160</v>
      </c>
      <c r="G222" s="900" t="s">
        <v>141</v>
      </c>
      <c r="H222" s="1101">
        <v>0</v>
      </c>
      <c r="I222" s="1290"/>
      <c r="J222" s="1290"/>
      <c r="K222" s="1297">
        <f t="shared" si="124"/>
        <v>0</v>
      </c>
      <c r="L222" s="1290"/>
      <c r="M222" s="1290"/>
      <c r="N222" s="1297">
        <f t="shared" si="125"/>
        <v>0</v>
      </c>
      <c r="O222" s="1298"/>
      <c r="P222" s="1290"/>
      <c r="Q222" s="1298"/>
      <c r="R222" s="1291">
        <f t="shared" si="126"/>
        <v>0</v>
      </c>
      <c r="S222" s="1292">
        <f t="shared" si="127"/>
        <v>0</v>
      </c>
      <c r="T222" s="935"/>
    </row>
    <row r="223" spans="2:20" s="431" customFormat="1" ht="76.5" x14ac:dyDescent="0.25">
      <c r="B223" s="919"/>
      <c r="C223" s="1244" t="str">
        <f>CONCATENATE('Reference documents'!B15," :
PPP.PVP.MVC MV CENTERS
PPP.PVP.MVC.02 MV DISTRIBUTION CENTER
PPP.PVP.MVC.03 MV CENTER ENCLOSURE
PPP.PVP.WRK.03 CABINS ACTIVITY")</f>
        <v>GRE.EEC.S.21.IT.P.18371.00.127.00 Technical Specification :
PPP.PVP.MVC MV CENTERS
PPP.PVP.MVC.02 MV DISTRIBUTION CENTER
PPP.PVP.MVC.03 MV CENTER ENCLOSURE
PPP.PVP.WRK.03 CABINS ACTIVITY</v>
      </c>
      <c r="D223" s="900" t="s">
        <v>829</v>
      </c>
      <c r="E223" s="901" t="s">
        <v>830</v>
      </c>
      <c r="F223" s="902"/>
      <c r="G223" s="900"/>
      <c r="H223" s="1101"/>
      <c r="I223" s="1290"/>
      <c r="J223" s="1290"/>
      <c r="K223" s="1297">
        <f t="shared" si="124"/>
        <v>0</v>
      </c>
      <c r="L223" s="1290"/>
      <c r="M223" s="1290"/>
      <c r="N223" s="1297">
        <f t="shared" si="125"/>
        <v>0</v>
      </c>
      <c r="O223" s="1298"/>
      <c r="P223" s="1290"/>
      <c r="Q223" s="1298"/>
      <c r="R223" s="1291">
        <f t="shared" si="126"/>
        <v>0</v>
      </c>
      <c r="S223" s="1292">
        <f t="shared" si="127"/>
        <v>0</v>
      </c>
      <c r="T223" s="935"/>
    </row>
    <row r="224" spans="2:20" s="431" customFormat="1" ht="114.75" x14ac:dyDescent="0.25">
      <c r="B224" s="919"/>
      <c r="C224" s="1282" t="str">
        <f>CONCATENATE('Reference documents'!B15," :
PPP.PVP.MVC MV CENTERS
PPP.PVP.MVC.02 MV DISTRIBUTION CENTER
PPP.PVP.MVC.03 MV CENTER ENCLOSURE
PPP.PVP.WRK.03 CABINS ACTIVITY
- CONSTRUCTION TECHNICAL SPECIFICATIONS
- VENDOR INSTALLATION PROCEDURE SPECIFICATIONS")</f>
        <v>GRE.EEC.S.21.IT.P.18371.00.127.00 Technical Specification :
PPP.PVP.MVC MV CENTERS
PPP.PVP.MVC.02 MV DISTRIBUTION CENTER
PPP.PVP.MVC.03 MV CENTER ENCLOSURE
PPP.PVP.WRK.03 CABINS ACTIVITY
- CONSTRUCTION TECHNICAL SPECIFICATIONS
- VENDOR INSTALLATION PROCEDURE SPECIFICATIONS</v>
      </c>
      <c r="D224" s="900" t="s">
        <v>674</v>
      </c>
      <c r="E224" s="901" t="s">
        <v>831</v>
      </c>
      <c r="F224" s="902" t="s">
        <v>160</v>
      </c>
      <c r="G224" s="900" t="s">
        <v>141</v>
      </c>
      <c r="H224" s="1101">
        <v>0</v>
      </c>
      <c r="I224" s="1290"/>
      <c r="J224" s="1290"/>
      <c r="K224" s="1297">
        <f t="shared" si="124"/>
        <v>0</v>
      </c>
      <c r="L224" s="1290"/>
      <c r="M224" s="1290"/>
      <c r="N224" s="1297">
        <f t="shared" si="125"/>
        <v>0</v>
      </c>
      <c r="O224" s="1298"/>
      <c r="P224" s="1290"/>
      <c r="Q224" s="1298"/>
      <c r="R224" s="1291">
        <f t="shared" si="126"/>
        <v>0</v>
      </c>
      <c r="S224" s="1292">
        <f t="shared" si="127"/>
        <v>0</v>
      </c>
      <c r="T224" s="935"/>
    </row>
    <row r="225" spans="2:20" s="431" customFormat="1" ht="12.75" x14ac:dyDescent="0.25">
      <c r="B225" s="945"/>
      <c r="C225" s="928"/>
      <c r="D225" s="946"/>
      <c r="E225" s="928" t="s">
        <v>832</v>
      </c>
      <c r="F225" s="947"/>
      <c r="G225" s="947"/>
      <c r="H225" s="1100"/>
      <c r="I225" s="1100"/>
      <c r="J225" s="1100"/>
      <c r="K225" s="1100"/>
      <c r="L225" s="1100"/>
      <c r="M225" s="1100"/>
      <c r="N225" s="1100"/>
      <c r="O225" s="1100"/>
      <c r="P225" s="1100"/>
      <c r="Q225" s="1100"/>
      <c r="R225" s="947"/>
      <c r="S225" s="1127"/>
      <c r="T225" s="948"/>
    </row>
    <row r="226" spans="2:20" s="431" customFormat="1" ht="25.5" x14ac:dyDescent="0.25">
      <c r="B226" s="956"/>
      <c r="C226" s="1244" t="s">
        <v>755</v>
      </c>
      <c r="D226" s="933"/>
      <c r="E226" s="1273" t="s">
        <v>833</v>
      </c>
      <c r="F226" s="932" t="s">
        <v>167</v>
      </c>
      <c r="G226" s="933" t="s">
        <v>834</v>
      </c>
      <c r="H226" s="1103"/>
      <c r="I226" s="1290"/>
      <c r="J226" s="1290"/>
      <c r="K226" s="1297">
        <f t="shared" ref="K226" si="128">I226*J226</f>
        <v>0</v>
      </c>
      <c r="L226" s="1290"/>
      <c r="M226" s="1290"/>
      <c r="N226" s="1297">
        <f t="shared" ref="N226" si="129">L226*M226</f>
        <v>0</v>
      </c>
      <c r="O226" s="1298"/>
      <c r="P226" s="1290"/>
      <c r="Q226" s="1298"/>
      <c r="R226" s="1291">
        <f t="shared" ref="R226" si="130">P226+N226+K226</f>
        <v>0</v>
      </c>
      <c r="S226" s="1292">
        <f t="shared" ref="S226" si="131">IF(F226="na","",H226*R226)</f>
        <v>0</v>
      </c>
      <c r="T226" s="957"/>
    </row>
    <row r="227" spans="2:20" s="171" customFormat="1" x14ac:dyDescent="0.2">
      <c r="B227" s="926"/>
      <c r="C227" s="927"/>
      <c r="D227" s="941"/>
      <c r="E227" s="928" t="s">
        <v>835</v>
      </c>
      <c r="F227" s="929"/>
      <c r="G227" s="929"/>
      <c r="H227" s="1102"/>
      <c r="I227" s="1102"/>
      <c r="J227" s="1102"/>
      <c r="K227" s="1102"/>
      <c r="L227" s="1102"/>
      <c r="M227" s="1102"/>
      <c r="N227" s="1102"/>
      <c r="O227" s="1102"/>
      <c r="P227" s="1102"/>
      <c r="Q227" s="1102"/>
      <c r="R227" s="929"/>
      <c r="S227" s="1128"/>
      <c r="T227" s="930"/>
    </row>
    <row r="228" spans="2:20" s="431" customFormat="1" ht="25.5" x14ac:dyDescent="0.25">
      <c r="B228" s="919"/>
      <c r="C228" s="1244" t="s">
        <v>836</v>
      </c>
      <c r="D228" s="900" t="s">
        <v>677</v>
      </c>
      <c r="E228" s="901" t="s">
        <v>678</v>
      </c>
      <c r="F228" s="902" t="s">
        <v>160</v>
      </c>
      <c r="G228" s="900" t="s">
        <v>345</v>
      </c>
      <c r="H228" s="1101">
        <v>0</v>
      </c>
      <c r="I228" s="1290"/>
      <c r="J228" s="1290"/>
      <c r="K228" s="1297">
        <f t="shared" ref="K228:K242" si="132">I228*J228</f>
        <v>0</v>
      </c>
      <c r="L228" s="1290"/>
      <c r="M228" s="1290"/>
      <c r="N228" s="1297">
        <f t="shared" ref="N228:N242" si="133">L228*M228</f>
        <v>0</v>
      </c>
      <c r="O228" s="1298"/>
      <c r="P228" s="1290"/>
      <c r="Q228" s="1298"/>
      <c r="R228" s="1291">
        <f t="shared" ref="R228:R242" si="134">P228+N228+K228</f>
        <v>0</v>
      </c>
      <c r="S228" s="1292">
        <f t="shared" ref="S228:S242" si="135">IF(F228="na","",H228*R228)</f>
        <v>0</v>
      </c>
      <c r="T228" s="954" t="s">
        <v>679</v>
      </c>
    </row>
    <row r="229" spans="2:20" s="431" customFormat="1" ht="25.5" x14ac:dyDescent="0.25">
      <c r="B229" s="919"/>
      <c r="C229" s="1244" t="s">
        <v>836</v>
      </c>
      <c r="D229" s="900" t="s">
        <v>680</v>
      </c>
      <c r="E229" s="901" t="s">
        <v>681</v>
      </c>
      <c r="F229" s="902" t="s">
        <v>160</v>
      </c>
      <c r="G229" s="900" t="s">
        <v>345</v>
      </c>
      <c r="H229" s="1101">
        <v>0</v>
      </c>
      <c r="I229" s="1290"/>
      <c r="J229" s="1290"/>
      <c r="K229" s="1297">
        <f t="shared" si="132"/>
        <v>0</v>
      </c>
      <c r="L229" s="1290"/>
      <c r="M229" s="1290"/>
      <c r="N229" s="1297">
        <f t="shared" si="133"/>
        <v>0</v>
      </c>
      <c r="O229" s="1298"/>
      <c r="P229" s="1290"/>
      <c r="Q229" s="1298"/>
      <c r="R229" s="1291">
        <f t="shared" si="134"/>
        <v>0</v>
      </c>
      <c r="S229" s="1292">
        <f t="shared" si="135"/>
        <v>0</v>
      </c>
      <c r="T229" s="935"/>
    </row>
    <row r="230" spans="2:20" s="431" customFormat="1" ht="25.5" x14ac:dyDescent="0.25">
      <c r="B230" s="919"/>
      <c r="C230" s="1244" t="s">
        <v>836</v>
      </c>
      <c r="D230" s="900" t="s">
        <v>382</v>
      </c>
      <c r="E230" s="901" t="s">
        <v>383</v>
      </c>
      <c r="F230" s="902" t="s">
        <v>160</v>
      </c>
      <c r="G230" s="900" t="s">
        <v>141</v>
      </c>
      <c r="H230" s="1101">
        <v>0</v>
      </c>
      <c r="I230" s="1290"/>
      <c r="J230" s="1290"/>
      <c r="K230" s="1297">
        <f t="shared" si="132"/>
        <v>0</v>
      </c>
      <c r="L230" s="1290"/>
      <c r="M230" s="1290"/>
      <c r="N230" s="1297">
        <f t="shared" si="133"/>
        <v>0</v>
      </c>
      <c r="O230" s="1298"/>
      <c r="P230" s="1290"/>
      <c r="Q230" s="1298"/>
      <c r="R230" s="1291">
        <f t="shared" si="134"/>
        <v>0</v>
      </c>
      <c r="S230" s="1292">
        <f t="shared" si="135"/>
        <v>0</v>
      </c>
      <c r="T230" s="935"/>
    </row>
    <row r="231" spans="2:20" s="431" customFormat="1" ht="25.5" x14ac:dyDescent="0.25">
      <c r="B231" s="919"/>
      <c r="C231" s="1244" t="s">
        <v>836</v>
      </c>
      <c r="D231" s="900" t="s">
        <v>386</v>
      </c>
      <c r="E231" s="901" t="s">
        <v>387</v>
      </c>
      <c r="F231" s="902" t="s">
        <v>160</v>
      </c>
      <c r="G231" s="900" t="s">
        <v>141</v>
      </c>
      <c r="H231" s="1101">
        <v>0</v>
      </c>
      <c r="I231" s="1290"/>
      <c r="J231" s="1290"/>
      <c r="K231" s="1297">
        <f t="shared" si="132"/>
        <v>0</v>
      </c>
      <c r="L231" s="1290"/>
      <c r="M231" s="1290"/>
      <c r="N231" s="1297">
        <f t="shared" si="133"/>
        <v>0</v>
      </c>
      <c r="O231" s="1298"/>
      <c r="P231" s="1290"/>
      <c r="Q231" s="1298"/>
      <c r="R231" s="1291">
        <f t="shared" si="134"/>
        <v>0</v>
      </c>
      <c r="S231" s="1292">
        <f t="shared" si="135"/>
        <v>0</v>
      </c>
      <c r="T231" s="935"/>
    </row>
    <row r="232" spans="2:20" s="431" customFormat="1" ht="25.5" x14ac:dyDescent="0.25">
      <c r="B232" s="919"/>
      <c r="C232" s="1244" t="s">
        <v>836</v>
      </c>
      <c r="D232" s="900" t="s">
        <v>682</v>
      </c>
      <c r="E232" s="901" t="s">
        <v>683</v>
      </c>
      <c r="F232" s="902" t="s">
        <v>160</v>
      </c>
      <c r="G232" s="900" t="s">
        <v>141</v>
      </c>
      <c r="H232" s="1101">
        <v>0</v>
      </c>
      <c r="I232" s="1290"/>
      <c r="J232" s="1290"/>
      <c r="K232" s="1297">
        <f t="shared" si="132"/>
        <v>0</v>
      </c>
      <c r="L232" s="1290"/>
      <c r="M232" s="1290"/>
      <c r="N232" s="1297">
        <f t="shared" si="133"/>
        <v>0</v>
      </c>
      <c r="O232" s="1298"/>
      <c r="P232" s="1290"/>
      <c r="Q232" s="1298"/>
      <c r="R232" s="1291">
        <f t="shared" si="134"/>
        <v>0</v>
      </c>
      <c r="S232" s="1292">
        <f t="shared" si="135"/>
        <v>0</v>
      </c>
      <c r="T232" s="935"/>
    </row>
    <row r="233" spans="2:20" s="431" customFormat="1" ht="25.5" x14ac:dyDescent="0.25">
      <c r="B233" s="919"/>
      <c r="C233" s="1244" t="s">
        <v>836</v>
      </c>
      <c r="D233" s="900" t="s">
        <v>408</v>
      </c>
      <c r="E233" s="901" t="s">
        <v>409</v>
      </c>
      <c r="F233" s="902" t="s">
        <v>160</v>
      </c>
      <c r="G233" s="900" t="s">
        <v>141</v>
      </c>
      <c r="H233" s="1101">
        <v>0</v>
      </c>
      <c r="I233" s="1290"/>
      <c r="J233" s="1290"/>
      <c r="K233" s="1297">
        <f t="shared" si="132"/>
        <v>0</v>
      </c>
      <c r="L233" s="1290"/>
      <c r="M233" s="1290"/>
      <c r="N233" s="1297">
        <f t="shared" si="133"/>
        <v>0</v>
      </c>
      <c r="O233" s="1298"/>
      <c r="P233" s="1290"/>
      <c r="Q233" s="1298"/>
      <c r="R233" s="1291">
        <f t="shared" si="134"/>
        <v>0</v>
      </c>
      <c r="S233" s="1292">
        <f t="shared" si="135"/>
        <v>0</v>
      </c>
      <c r="T233" s="935"/>
    </row>
    <row r="234" spans="2:20" s="431" customFormat="1" ht="25.5" x14ac:dyDescent="0.25">
      <c r="B234" s="919"/>
      <c r="C234" s="1244" t="s">
        <v>836</v>
      </c>
      <c r="D234" s="900" t="s">
        <v>480</v>
      </c>
      <c r="E234" s="901" t="s">
        <v>481</v>
      </c>
      <c r="F234" s="902" t="s">
        <v>160</v>
      </c>
      <c r="G234" s="900" t="s">
        <v>345</v>
      </c>
      <c r="H234" s="1101">
        <v>0</v>
      </c>
      <c r="I234" s="1290"/>
      <c r="J234" s="1290"/>
      <c r="K234" s="1297">
        <f t="shared" si="132"/>
        <v>0</v>
      </c>
      <c r="L234" s="1290"/>
      <c r="M234" s="1290"/>
      <c r="N234" s="1297">
        <f t="shared" si="133"/>
        <v>0</v>
      </c>
      <c r="O234" s="1298"/>
      <c r="P234" s="1290"/>
      <c r="Q234" s="1298"/>
      <c r="R234" s="1291">
        <f t="shared" si="134"/>
        <v>0</v>
      </c>
      <c r="S234" s="1292">
        <f t="shared" si="135"/>
        <v>0</v>
      </c>
      <c r="T234" s="935"/>
    </row>
    <row r="235" spans="2:20" s="431" customFormat="1" ht="25.5" x14ac:dyDescent="0.25">
      <c r="B235" s="919"/>
      <c r="C235" s="1244" t="s">
        <v>836</v>
      </c>
      <c r="D235" s="900" t="s">
        <v>494</v>
      </c>
      <c r="E235" s="901" t="s">
        <v>495</v>
      </c>
      <c r="F235" s="902" t="s">
        <v>160</v>
      </c>
      <c r="G235" s="900" t="s">
        <v>141</v>
      </c>
      <c r="H235" s="1101">
        <v>0</v>
      </c>
      <c r="I235" s="1290"/>
      <c r="J235" s="1290"/>
      <c r="K235" s="1297">
        <f t="shared" si="132"/>
        <v>0</v>
      </c>
      <c r="L235" s="1290"/>
      <c r="M235" s="1290"/>
      <c r="N235" s="1297">
        <f t="shared" si="133"/>
        <v>0</v>
      </c>
      <c r="O235" s="1298"/>
      <c r="P235" s="1290"/>
      <c r="Q235" s="1298"/>
      <c r="R235" s="1291">
        <f t="shared" si="134"/>
        <v>0</v>
      </c>
      <c r="S235" s="1292">
        <f t="shared" si="135"/>
        <v>0</v>
      </c>
      <c r="T235" s="935"/>
    </row>
    <row r="236" spans="2:20" s="431" customFormat="1" ht="25.5" x14ac:dyDescent="0.25">
      <c r="B236" s="919"/>
      <c r="C236" s="1244" t="s">
        <v>836</v>
      </c>
      <c r="D236" s="900" t="s">
        <v>484</v>
      </c>
      <c r="E236" s="901" t="s">
        <v>485</v>
      </c>
      <c r="F236" s="902" t="s">
        <v>160</v>
      </c>
      <c r="G236" s="900" t="s">
        <v>345</v>
      </c>
      <c r="H236" s="1101">
        <v>0</v>
      </c>
      <c r="I236" s="1290"/>
      <c r="J236" s="1290"/>
      <c r="K236" s="1297">
        <f t="shared" si="132"/>
        <v>0</v>
      </c>
      <c r="L236" s="1290"/>
      <c r="M236" s="1290"/>
      <c r="N236" s="1297">
        <f t="shared" si="133"/>
        <v>0</v>
      </c>
      <c r="O236" s="1298"/>
      <c r="P236" s="1290"/>
      <c r="Q236" s="1298"/>
      <c r="R236" s="1291">
        <f t="shared" si="134"/>
        <v>0</v>
      </c>
      <c r="S236" s="1292">
        <f t="shared" si="135"/>
        <v>0</v>
      </c>
      <c r="T236" s="935"/>
    </row>
    <row r="237" spans="2:20" s="431" customFormat="1" ht="25.5" x14ac:dyDescent="0.25">
      <c r="B237" s="919"/>
      <c r="C237" s="1244" t="s">
        <v>836</v>
      </c>
      <c r="D237" s="900" t="s">
        <v>498</v>
      </c>
      <c r="E237" s="901" t="s">
        <v>499</v>
      </c>
      <c r="F237" s="902" t="s">
        <v>160</v>
      </c>
      <c r="G237" s="900" t="s">
        <v>141</v>
      </c>
      <c r="H237" s="1101">
        <v>0</v>
      </c>
      <c r="I237" s="1290"/>
      <c r="J237" s="1290"/>
      <c r="K237" s="1297">
        <f t="shared" si="132"/>
        <v>0</v>
      </c>
      <c r="L237" s="1290"/>
      <c r="M237" s="1290"/>
      <c r="N237" s="1297">
        <f t="shared" si="133"/>
        <v>0</v>
      </c>
      <c r="O237" s="1298"/>
      <c r="P237" s="1290"/>
      <c r="Q237" s="1298"/>
      <c r="R237" s="1291">
        <f t="shared" si="134"/>
        <v>0</v>
      </c>
      <c r="S237" s="1292">
        <f t="shared" si="135"/>
        <v>0</v>
      </c>
      <c r="T237" s="935"/>
    </row>
    <row r="238" spans="2:20" s="431" customFormat="1" ht="25.5" x14ac:dyDescent="0.25">
      <c r="B238" s="919"/>
      <c r="C238" s="1244" t="s">
        <v>837</v>
      </c>
      <c r="D238" s="900" t="s">
        <v>838</v>
      </c>
      <c r="E238" s="1280" t="s">
        <v>839</v>
      </c>
      <c r="F238" s="902" t="s">
        <v>167</v>
      </c>
      <c r="G238" s="900" t="s">
        <v>345</v>
      </c>
      <c r="H238" s="1101">
        <v>0</v>
      </c>
      <c r="I238" s="1290"/>
      <c r="J238" s="1290"/>
      <c r="K238" s="1297">
        <f t="shared" si="132"/>
        <v>0</v>
      </c>
      <c r="L238" s="1290"/>
      <c r="M238" s="1290"/>
      <c r="N238" s="1297">
        <f t="shared" si="133"/>
        <v>0</v>
      </c>
      <c r="O238" s="1298"/>
      <c r="P238" s="1290"/>
      <c r="Q238" s="1298"/>
      <c r="R238" s="1291">
        <f t="shared" si="134"/>
        <v>0</v>
      </c>
      <c r="S238" s="1292">
        <f t="shared" si="135"/>
        <v>0</v>
      </c>
      <c r="T238" s="1596" t="s">
        <v>840</v>
      </c>
    </row>
    <row r="239" spans="2:20" s="431" customFormat="1" ht="38.25" x14ac:dyDescent="0.25">
      <c r="B239" s="919"/>
      <c r="C239" s="1244" t="s">
        <v>837</v>
      </c>
      <c r="D239" s="900" t="s">
        <v>841</v>
      </c>
      <c r="E239" s="1280" t="s">
        <v>842</v>
      </c>
      <c r="F239" s="902" t="s">
        <v>167</v>
      </c>
      <c r="G239" s="900" t="s">
        <v>345</v>
      </c>
      <c r="H239" s="1101">
        <v>0</v>
      </c>
      <c r="I239" s="1290"/>
      <c r="J239" s="1290"/>
      <c r="K239" s="1297">
        <f t="shared" si="132"/>
        <v>0</v>
      </c>
      <c r="L239" s="1290"/>
      <c r="M239" s="1290"/>
      <c r="N239" s="1297">
        <f t="shared" si="133"/>
        <v>0</v>
      </c>
      <c r="O239" s="1298"/>
      <c r="P239" s="1290"/>
      <c r="Q239" s="1298"/>
      <c r="R239" s="1291">
        <f t="shared" si="134"/>
        <v>0</v>
      </c>
      <c r="S239" s="1292">
        <f t="shared" si="135"/>
        <v>0</v>
      </c>
      <c r="T239" s="1597"/>
    </row>
    <row r="240" spans="2:20" s="431" customFormat="1" ht="38.25" x14ac:dyDescent="0.25">
      <c r="B240" s="919"/>
      <c r="C240" s="1244" t="s">
        <v>837</v>
      </c>
      <c r="D240" s="900" t="s">
        <v>843</v>
      </c>
      <c r="E240" s="1280" t="s">
        <v>844</v>
      </c>
      <c r="F240" s="902" t="s">
        <v>167</v>
      </c>
      <c r="G240" s="900" t="s">
        <v>345</v>
      </c>
      <c r="H240" s="1101">
        <v>0</v>
      </c>
      <c r="I240" s="1290"/>
      <c r="J240" s="1290"/>
      <c r="K240" s="1297">
        <f t="shared" si="132"/>
        <v>0</v>
      </c>
      <c r="L240" s="1290"/>
      <c r="M240" s="1290"/>
      <c r="N240" s="1297">
        <f t="shared" si="133"/>
        <v>0</v>
      </c>
      <c r="O240" s="1298"/>
      <c r="P240" s="1290"/>
      <c r="Q240" s="1298"/>
      <c r="R240" s="1291">
        <f t="shared" si="134"/>
        <v>0</v>
      </c>
      <c r="S240" s="1292">
        <f t="shared" si="135"/>
        <v>0</v>
      </c>
      <c r="T240" s="1597"/>
    </row>
    <row r="241" spans="2:20" s="431" customFormat="1" ht="25.5" x14ac:dyDescent="0.25">
      <c r="B241" s="919"/>
      <c r="C241" s="1244" t="s">
        <v>837</v>
      </c>
      <c r="D241" s="900" t="s">
        <v>845</v>
      </c>
      <c r="E241" s="1280" t="s">
        <v>846</v>
      </c>
      <c r="F241" s="902" t="s">
        <v>167</v>
      </c>
      <c r="G241" s="900" t="s">
        <v>345</v>
      </c>
      <c r="H241" s="1101">
        <v>0</v>
      </c>
      <c r="I241" s="1290"/>
      <c r="J241" s="1290"/>
      <c r="K241" s="1297">
        <f t="shared" si="132"/>
        <v>0</v>
      </c>
      <c r="L241" s="1290"/>
      <c r="M241" s="1290"/>
      <c r="N241" s="1297">
        <f t="shared" si="133"/>
        <v>0</v>
      </c>
      <c r="O241" s="1298"/>
      <c r="P241" s="1290"/>
      <c r="Q241" s="1298"/>
      <c r="R241" s="1291">
        <f t="shared" si="134"/>
        <v>0</v>
      </c>
      <c r="S241" s="1292">
        <f t="shared" si="135"/>
        <v>0</v>
      </c>
      <c r="T241" s="1597"/>
    </row>
    <row r="242" spans="2:20" s="431" customFormat="1" ht="51" x14ac:dyDescent="0.25">
      <c r="B242" s="919"/>
      <c r="C242" s="1244" t="s">
        <v>837</v>
      </c>
      <c r="D242" s="900" t="s">
        <v>847</v>
      </c>
      <c r="E242" s="1281" t="s">
        <v>848</v>
      </c>
      <c r="F242" s="902" t="s">
        <v>160</v>
      </c>
      <c r="G242" s="900" t="s">
        <v>345</v>
      </c>
      <c r="H242" s="1101">
        <v>0</v>
      </c>
      <c r="I242" s="1290"/>
      <c r="J242" s="1290"/>
      <c r="K242" s="1297">
        <f t="shared" si="132"/>
        <v>0</v>
      </c>
      <c r="L242" s="1290"/>
      <c r="M242" s="1290"/>
      <c r="N242" s="1297">
        <f t="shared" si="133"/>
        <v>0</v>
      </c>
      <c r="O242" s="1298"/>
      <c r="P242" s="1290"/>
      <c r="Q242" s="1298"/>
      <c r="R242" s="1291">
        <f t="shared" si="134"/>
        <v>0</v>
      </c>
      <c r="S242" s="1292">
        <f t="shared" si="135"/>
        <v>0</v>
      </c>
      <c r="T242" s="1598"/>
    </row>
    <row r="243" spans="2:20" ht="15" customHeight="1" x14ac:dyDescent="0.25">
      <c r="B243" s="1608" t="s">
        <v>100</v>
      </c>
      <c r="C243" s="1608"/>
      <c r="D243" s="1608"/>
      <c r="E243" s="1608"/>
      <c r="F243" s="1609" t="s">
        <v>154</v>
      </c>
      <c r="G243" s="1609"/>
      <c r="H243" s="1609"/>
      <c r="I243" s="1609"/>
      <c r="J243" s="1609"/>
      <c r="K243" s="1609"/>
      <c r="L243" s="1609"/>
      <c r="M243" s="1609"/>
      <c r="N243" s="1609"/>
      <c r="O243" s="1609"/>
      <c r="P243" s="1609"/>
      <c r="Q243" s="1609"/>
      <c r="R243" s="1609"/>
      <c r="S243" s="863">
        <f>SUMIFS(S248:S249,F248:F249,"Mandatory",E248:E249,"=*Supply")</f>
        <v>0</v>
      </c>
      <c r="T243" s="1221"/>
    </row>
    <row r="244" spans="2:20" ht="15" customHeight="1" x14ac:dyDescent="0.25">
      <c r="B244" s="1608"/>
      <c r="C244" s="1608"/>
      <c r="D244" s="1608"/>
      <c r="E244" s="1608"/>
      <c r="F244" s="1609" t="s">
        <v>156</v>
      </c>
      <c r="G244" s="1609"/>
      <c r="H244" s="1609"/>
      <c r="I244" s="1609"/>
      <c r="J244" s="1609"/>
      <c r="K244" s="1609"/>
      <c r="L244" s="1609"/>
      <c r="M244" s="1609"/>
      <c r="N244" s="1609"/>
      <c r="O244" s="1609"/>
      <c r="P244" s="1609"/>
      <c r="Q244" s="1609"/>
      <c r="R244" s="1609"/>
      <c r="S244" s="863">
        <f>SUMIFS(S248:S249,F248:F249,"Optional",E248:E249,"=*Supply")</f>
        <v>0</v>
      </c>
      <c r="T244" s="1221"/>
    </row>
    <row r="245" spans="2:20" ht="15" customHeight="1" x14ac:dyDescent="0.25">
      <c r="B245" s="1599" t="s">
        <v>684</v>
      </c>
      <c r="C245" s="1600"/>
      <c r="D245" s="1600"/>
      <c r="E245" s="1601"/>
      <c r="F245" s="1605" t="s">
        <v>154</v>
      </c>
      <c r="G245" s="1606"/>
      <c r="H245" s="1606"/>
      <c r="I245" s="1606"/>
      <c r="J245" s="1606"/>
      <c r="K245" s="1606"/>
      <c r="L245" s="1606"/>
      <c r="M245" s="1606"/>
      <c r="N245" s="1606"/>
      <c r="O245" s="1606"/>
      <c r="P245" s="1606"/>
      <c r="Q245" s="1606"/>
      <c r="R245" s="1607"/>
      <c r="S245" s="863">
        <f>SUMIFS(S248:S249,F248:F249,"Mandatory",E248:E249,"=*Installation*")</f>
        <v>0</v>
      </c>
      <c r="T245" s="1221"/>
    </row>
    <row r="246" spans="2:20" ht="15" customHeight="1" x14ac:dyDescent="0.25">
      <c r="B246" s="1602"/>
      <c r="C246" s="1603"/>
      <c r="D246" s="1603"/>
      <c r="E246" s="1604"/>
      <c r="F246" s="1605" t="s">
        <v>156</v>
      </c>
      <c r="G246" s="1606"/>
      <c r="H246" s="1606"/>
      <c r="I246" s="1606"/>
      <c r="J246" s="1606"/>
      <c r="K246" s="1606"/>
      <c r="L246" s="1606"/>
      <c r="M246" s="1606"/>
      <c r="N246" s="1606"/>
      <c r="O246" s="1606"/>
      <c r="P246" s="1606"/>
      <c r="Q246" s="1606"/>
      <c r="R246" s="1607"/>
      <c r="S246" s="863">
        <f>SUMIFS(S248:S249,F248:F249,"Optional",E248:E249,"=*Installation*")</f>
        <v>0</v>
      </c>
      <c r="T246" s="1221"/>
    </row>
    <row r="247" spans="2:20" s="431" customFormat="1" ht="18" customHeight="1" x14ac:dyDescent="0.25">
      <c r="B247" s="945"/>
      <c r="C247" s="928"/>
      <c r="D247" s="946" t="s">
        <v>685</v>
      </c>
      <c r="E247" s="928" t="s">
        <v>686</v>
      </c>
      <c r="F247" s="947"/>
      <c r="G247" s="947"/>
      <c r="H247" s="1100"/>
      <c r="I247" s="1100"/>
      <c r="J247" s="1100"/>
      <c r="K247" s="1100"/>
      <c r="L247" s="1100"/>
      <c r="M247" s="1100"/>
      <c r="N247" s="1100"/>
      <c r="O247" s="1100"/>
      <c r="P247" s="1100"/>
      <c r="Q247" s="1100"/>
      <c r="R247" s="947"/>
      <c r="S247" s="1127"/>
      <c r="T247" s="948"/>
    </row>
    <row r="248" spans="2:20" s="431" customFormat="1" ht="22.5" x14ac:dyDescent="0.25">
      <c r="B248" s="919"/>
      <c r="C248" s="1244" t="s">
        <v>191</v>
      </c>
      <c r="D248" s="900" t="s">
        <v>687</v>
      </c>
      <c r="E248" s="901" t="s">
        <v>688</v>
      </c>
      <c r="F248" s="902" t="s">
        <v>167</v>
      </c>
      <c r="G248" s="900" t="s">
        <v>141</v>
      </c>
      <c r="H248" s="1101">
        <v>0</v>
      </c>
      <c r="I248" s="1290"/>
      <c r="J248" s="1290"/>
      <c r="K248" s="1297">
        <f t="shared" ref="K248:K249" si="136">I248*J248</f>
        <v>0</v>
      </c>
      <c r="L248" s="1290"/>
      <c r="M248" s="1290"/>
      <c r="N248" s="1297">
        <f t="shared" ref="N248:N249" si="137">L248*M248</f>
        <v>0</v>
      </c>
      <c r="O248" s="1298"/>
      <c r="P248" s="1290"/>
      <c r="Q248" s="1298"/>
      <c r="R248" s="1291">
        <f t="shared" ref="R248:R249" si="138">P248+N248+K248</f>
        <v>0</v>
      </c>
      <c r="S248" s="1292">
        <f t="shared" ref="S248:S249" si="139">IF(F248="na","",H248*R248)</f>
        <v>0</v>
      </c>
      <c r="T248" s="935" t="s">
        <v>849</v>
      </c>
    </row>
    <row r="249" spans="2:20" s="431" customFormat="1" ht="22.5" x14ac:dyDescent="0.25">
      <c r="B249" s="1274"/>
      <c r="C249" s="1244" t="s">
        <v>191</v>
      </c>
      <c r="D249" s="1275" t="s">
        <v>689</v>
      </c>
      <c r="E249" s="1276" t="s">
        <v>690</v>
      </c>
      <c r="F249" s="1277" t="s">
        <v>167</v>
      </c>
      <c r="G249" s="1275" t="s">
        <v>141</v>
      </c>
      <c r="H249" s="1278">
        <v>0</v>
      </c>
      <c r="I249" s="1290"/>
      <c r="J249" s="1290"/>
      <c r="K249" s="1297">
        <f t="shared" si="136"/>
        <v>0</v>
      </c>
      <c r="L249" s="1290"/>
      <c r="M249" s="1290"/>
      <c r="N249" s="1297">
        <f t="shared" si="137"/>
        <v>0</v>
      </c>
      <c r="O249" s="1298"/>
      <c r="P249" s="1290"/>
      <c r="Q249" s="1298"/>
      <c r="R249" s="1291">
        <f t="shared" si="138"/>
        <v>0</v>
      </c>
      <c r="S249" s="1292">
        <f t="shared" si="139"/>
        <v>0</v>
      </c>
      <c r="T249" s="1279" t="s">
        <v>849</v>
      </c>
    </row>
  </sheetData>
  <autoFilter ref="B5:T249" xr:uid="{707F2709-E002-4D13-B02B-2481117FF5F7}"/>
  <mergeCells count="96">
    <mergeCell ref="B50:E51"/>
    <mergeCell ref="F50:R50"/>
    <mergeCell ref="F51:R51"/>
    <mergeCell ref="B52:E53"/>
    <mergeCell ref="F52:R52"/>
    <mergeCell ref="F53:R53"/>
    <mergeCell ref="B6:E7"/>
    <mergeCell ref="F6:R6"/>
    <mergeCell ref="F7:R7"/>
    <mergeCell ref="B48:E49"/>
    <mergeCell ref="F48:R48"/>
    <mergeCell ref="F49:R49"/>
    <mergeCell ref="B8:E9"/>
    <mergeCell ref="F8:R8"/>
    <mergeCell ref="F9:R9"/>
    <mergeCell ref="F10:R10"/>
    <mergeCell ref="B10:E11"/>
    <mergeCell ref="F11:R11"/>
    <mergeCell ref="F88:R88"/>
    <mergeCell ref="F89:R89"/>
    <mergeCell ref="B115:E116"/>
    <mergeCell ref="F115:R115"/>
    <mergeCell ref="F116:R116"/>
    <mergeCell ref="F90:R90"/>
    <mergeCell ref="F91:R91"/>
    <mergeCell ref="B92:E93"/>
    <mergeCell ref="F92:R92"/>
    <mergeCell ref="F93:R93"/>
    <mergeCell ref="B185:E186"/>
    <mergeCell ref="F185:R185"/>
    <mergeCell ref="F186:R186"/>
    <mergeCell ref="B145:E146"/>
    <mergeCell ref="F145:R145"/>
    <mergeCell ref="F146:R146"/>
    <mergeCell ref="B153:E154"/>
    <mergeCell ref="F153:R153"/>
    <mergeCell ref="F154:R154"/>
    <mergeCell ref="B155:E156"/>
    <mergeCell ref="F155:R155"/>
    <mergeCell ref="F156:R156"/>
    <mergeCell ref="F179:R179"/>
    <mergeCell ref="F245:R245"/>
    <mergeCell ref="B196:E197"/>
    <mergeCell ref="F196:R196"/>
    <mergeCell ref="F197:R197"/>
    <mergeCell ref="B243:E244"/>
    <mergeCell ref="F243:R243"/>
    <mergeCell ref="F244:R244"/>
    <mergeCell ref="B198:E199"/>
    <mergeCell ref="F198:R198"/>
    <mergeCell ref="F199:R199"/>
    <mergeCell ref="B200:E201"/>
    <mergeCell ref="F200:R200"/>
    <mergeCell ref="F201:R201"/>
    <mergeCell ref="B245:E246"/>
    <mergeCell ref="F246:R246"/>
    <mergeCell ref="C55:C57"/>
    <mergeCell ref="C59:C61"/>
    <mergeCell ref="C64:C65"/>
    <mergeCell ref="C69:C71"/>
    <mergeCell ref="B151:E152"/>
    <mergeCell ref="B90:E91"/>
    <mergeCell ref="B143:E144"/>
    <mergeCell ref="B88:E89"/>
    <mergeCell ref="B187:E188"/>
    <mergeCell ref="F187:R187"/>
    <mergeCell ref="F188:R188"/>
    <mergeCell ref="B117:E118"/>
    <mergeCell ref="F117:R117"/>
    <mergeCell ref="F118:R118"/>
    <mergeCell ref="B119:E120"/>
    <mergeCell ref="F119:R119"/>
    <mergeCell ref="F120:R120"/>
    <mergeCell ref="F151:R151"/>
    <mergeCell ref="F152:R152"/>
    <mergeCell ref="F143:R143"/>
    <mergeCell ref="F144:R144"/>
    <mergeCell ref="B176:E177"/>
    <mergeCell ref="F176:R176"/>
    <mergeCell ref="F177:R177"/>
    <mergeCell ref="T238:T242"/>
    <mergeCell ref="B4:B5"/>
    <mergeCell ref="C4:C5"/>
    <mergeCell ref="D4:D5"/>
    <mergeCell ref="E4:E5"/>
    <mergeCell ref="F4:F5"/>
    <mergeCell ref="G4:G5"/>
    <mergeCell ref="H4:H5"/>
    <mergeCell ref="I4:K4"/>
    <mergeCell ref="L4:O4"/>
    <mergeCell ref="P4:Q4"/>
    <mergeCell ref="R4:R5"/>
    <mergeCell ref="S4:S5"/>
    <mergeCell ref="T4:T5"/>
    <mergeCell ref="B178:E179"/>
    <mergeCell ref="F178:R178"/>
  </mergeCells>
  <dataValidations disablePrompts="1" count="2">
    <dataValidation type="list" allowBlank="1" showInputMessage="1" showErrorMessage="1" sqref="F13:F112 G149:G150 F210:G210 F248:F249 F211:F246 F114:F209" xr:uid="{9B26EA5A-C7E4-411E-87CA-D260FB5E0EA5}">
      <formula1>"Mandatory,Optional,NA"</formula1>
    </dataValidation>
    <dataValidation type="decimal" operator="greaterThanOrEqual" allowBlank="1" showInputMessage="1" showErrorMessage="1" sqref="P13:P30 L13:M30 I13:J30 P32:P34 L32:M34 I32:J34 P36:P45 L36:M45 I36:J45 P47 L47:M47 I47:J47 P55:P62 L55:M62 I55:J62 P64:P65 L64:M65 I64:J65 P67 L67:M67 I67:J67 P69:P74 L69:M74 I69:J74 P76:P77 L76:M77 I76:J77 P79 L79:M79 I79:J79 P81:P82 L81:M82 I81:J82 P84:P85 L84:M85 I84:J85 P87 L87:M87 I87:J87 P95:P99 L95:M99 I95:J99 P101:P106 L101:M106 I101:J106 P108:P112 L108:M112 I108:J112 P114 L114:M114 I114:J114 P122:P131 L122:M131 I122:J131 P133:P134 L133:M134 I133:J134 P136:P137 L136:M137 I136:J137 P139:P140 L139:M140 I139:J140 P142 L142:M142 I142:J142 P149:P150 L149:M150 I149:J150 P159:P170 L159:M170 I159:J170 P172:P173 L172:M173 I172:J173 P175 L175:M175 I175:J175 P181:P184 L181:M184 I181:J184 P191:P192 L191:M192 I191:J192 P194:P195 L194:M195 I194:J195 P204:P212 L204:M212 I204:J212 P214:P224 L214:M224 I214:J224 P226 L226:M226 I226:J226 P228:P242 L228:M242 I228:J242 P248:P249 L248:M249 I248:J249" xr:uid="{47606F2B-DCE5-4D1E-A80A-4FD5D8081055}">
      <formula1>0</formula1>
    </dataValidation>
  </dataValidations>
  <pageMargins left="0.7" right="0.7" top="0.75" bottom="0.75" header="0.3" footer="0.3"/>
  <pageSetup orientation="portrait" r:id="rId1"/>
  <headerFooter>
    <oddHeader>&amp;C&amp;"Arial"&amp;8&amp;K000000 INTERNAL&amp;1#_x000D_</oddHead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370126-D777-4DB0-8F66-99D707CC89AD}">
  <sheetPr>
    <tabColor rgb="FFFFFF00"/>
  </sheetPr>
  <dimension ref="A1:M255"/>
  <sheetViews>
    <sheetView topLeftCell="C15" zoomScale="115" zoomScaleNormal="115" workbookViewId="0">
      <selection activeCell="D96" sqref="D96"/>
    </sheetView>
  </sheetViews>
  <sheetFormatPr defaultColWidth="9.28515625" defaultRowHeight="15" x14ac:dyDescent="0.25"/>
  <cols>
    <col min="1" max="1" width="11.5703125" style="259" bestFit="1" customWidth="1"/>
    <col min="2" max="2" width="50.5703125" style="541" customWidth="1"/>
    <col min="3" max="3" width="35.28515625" style="542" customWidth="1"/>
    <col min="4" max="4" width="84.5703125" style="541" customWidth="1"/>
    <col min="5" max="5" width="11" style="541" customWidth="1"/>
    <col min="6" max="6" width="15.42578125" style="259" customWidth="1"/>
    <col min="7" max="7" width="13.5703125" style="264" bestFit="1" customWidth="1"/>
    <col min="8" max="8" width="15.42578125" style="264" bestFit="1" customWidth="1"/>
    <col min="9" max="9" width="6.5703125" style="264" bestFit="1" customWidth="1"/>
    <col min="10" max="10" width="8.5703125" style="259" hidden="1" customWidth="1"/>
    <col min="11" max="11" width="8.42578125" style="259" bestFit="1" customWidth="1"/>
    <col min="12" max="12" width="14.42578125" style="259" bestFit="1" customWidth="1"/>
    <col min="13" max="13" width="37.28515625" style="284" customWidth="1"/>
    <col min="14" max="16384" width="9.28515625" style="264"/>
  </cols>
  <sheetData>
    <row r="1" spans="1:13" s="259" customFormat="1" ht="31.5" customHeight="1" x14ac:dyDescent="0.25">
      <c r="A1" s="618" t="s">
        <v>850</v>
      </c>
      <c r="B1" s="569"/>
      <c r="C1" s="569"/>
      <c r="D1" s="256" t="s">
        <v>851</v>
      </c>
      <c r="E1" s="256"/>
      <c r="F1" s="617" t="s">
        <v>852</v>
      </c>
      <c r="G1" s="616"/>
      <c r="H1" s="257" t="s">
        <v>853</v>
      </c>
      <c r="I1" s="616"/>
      <c r="J1" s="258"/>
      <c r="M1" s="260"/>
    </row>
    <row r="2" spans="1:13" ht="15.75" x14ac:dyDescent="0.25">
      <c r="A2" s="261" t="s">
        <v>854</v>
      </c>
      <c r="B2" s="569"/>
      <c r="C2" s="569"/>
      <c r="D2" s="262" t="s">
        <v>855</v>
      </c>
      <c r="E2" s="262"/>
      <c r="F2" s="263" t="str">
        <f>+IF(COUNTIF(L4:L228,"=B")&gt;0,"BASE","OPTIONAL")</f>
        <v>BASE</v>
      </c>
      <c r="G2" s="616"/>
      <c r="H2" s="1622" t="s">
        <v>856</v>
      </c>
      <c r="I2" s="1622"/>
      <c r="J2" s="1615" t="s">
        <v>4</v>
      </c>
      <c r="K2" s="1615" t="s">
        <v>857</v>
      </c>
      <c r="L2" s="1615" t="s">
        <v>858</v>
      </c>
      <c r="M2" s="1615" t="s">
        <v>859</v>
      </c>
    </row>
    <row r="3" spans="1:13" ht="25.5" x14ac:dyDescent="0.25">
      <c r="A3" s="265" t="s">
        <v>860</v>
      </c>
      <c r="B3" s="568" t="s">
        <v>861</v>
      </c>
      <c r="C3" s="266" t="s">
        <v>862</v>
      </c>
      <c r="D3" s="266" t="s">
        <v>138</v>
      </c>
      <c r="E3" s="266" t="s">
        <v>863</v>
      </c>
      <c r="F3" s="267" t="s">
        <v>338</v>
      </c>
      <c r="G3" s="266" t="s">
        <v>864</v>
      </c>
      <c r="H3" s="267" t="s">
        <v>865</v>
      </c>
      <c r="I3" s="266" t="s">
        <v>133</v>
      </c>
      <c r="J3" s="1616"/>
      <c r="K3" s="1616"/>
      <c r="L3" s="1616"/>
      <c r="M3" s="1616"/>
    </row>
    <row r="4" spans="1:13" s="275" customFormat="1" ht="12.75" x14ac:dyDescent="0.25">
      <c r="A4" s="268" t="s">
        <v>866</v>
      </c>
      <c r="B4" s="269"/>
      <c r="C4" s="269"/>
      <c r="D4" s="270" t="s">
        <v>867</v>
      </c>
      <c r="E4" s="270" t="str">
        <f>IF(VLOOKUP(D4,'EMBOP-SI_ITA'!$D$4:$D$225,1,FALSE)=D4,"YES","NO")</f>
        <v>YES</v>
      </c>
      <c r="F4" s="269"/>
      <c r="G4" s="271"/>
      <c r="H4" s="272"/>
      <c r="I4" s="272"/>
      <c r="J4" s="273"/>
      <c r="K4" s="274"/>
      <c r="L4" s="274"/>
      <c r="M4" s="274"/>
    </row>
    <row r="5" spans="1:13" s="275" customFormat="1" ht="12.75" x14ac:dyDescent="0.25">
      <c r="A5" s="553" t="s">
        <v>868</v>
      </c>
      <c r="B5" s="551"/>
      <c r="C5" s="551"/>
      <c r="D5" s="552" t="s">
        <v>869</v>
      </c>
      <c r="E5" s="798" t="str">
        <f>IF(VLOOKUP(D5,'EMBOP-SI_ITA'!$D$4:$D$225,1,FALSE)=D5,"YES","NO")</f>
        <v>YES</v>
      </c>
      <c r="F5" s="551"/>
      <c r="G5" s="567"/>
      <c r="H5" s="565"/>
      <c r="I5" s="565"/>
      <c r="J5" s="549"/>
      <c r="K5" s="548"/>
      <c r="L5" s="548"/>
      <c r="M5" s="548"/>
    </row>
    <row r="6" spans="1:13" ht="12.75" x14ac:dyDescent="0.25">
      <c r="A6" s="276" t="str">
        <f t="shared" ref="A6:A18" si="0">+CONCATENATE($A$5,".",TEXT(ROW(A2)-ROW($A$1),0))</f>
        <v>ESC1.1.1</v>
      </c>
      <c r="B6" s="1617" t="s">
        <v>870</v>
      </c>
      <c r="C6" s="575" t="s">
        <v>413</v>
      </c>
      <c r="D6" s="277" t="s">
        <v>414</v>
      </c>
      <c r="E6" s="799" t="str">
        <f>IF(VLOOKUP(D6,'EMBOP-SI_ITA'!$D$4:$D$225,1,FALSE)=D6,"YES","NO")</f>
        <v>YES</v>
      </c>
      <c r="F6" s="278" t="s">
        <v>345</v>
      </c>
      <c r="G6" s="279">
        <v>0</v>
      </c>
      <c r="H6" s="280"/>
      <c r="I6" s="281">
        <f t="shared" ref="I6:I18" si="1">+G6*H6</f>
        <v>0</v>
      </c>
      <c r="J6" s="282" t="s">
        <v>871</v>
      </c>
      <c r="K6" s="283" t="s">
        <v>872</v>
      </c>
      <c r="L6" s="283" t="s">
        <v>873</v>
      </c>
      <c r="M6" s="283"/>
    </row>
    <row r="7" spans="1:13" ht="12.75" x14ac:dyDescent="0.25">
      <c r="A7" s="276" t="str">
        <f t="shared" si="0"/>
        <v>ESC1.1.2</v>
      </c>
      <c r="B7" s="1618"/>
      <c r="C7" s="575" t="s">
        <v>415</v>
      </c>
      <c r="D7" s="277" t="s">
        <v>416</v>
      </c>
      <c r="E7" s="799" t="str">
        <f>IF(VLOOKUP(D7,'EMBOP-SI_ITA'!$D$4:$D$225,1,FALSE)=D7,"YES","NO")</f>
        <v>YES</v>
      </c>
      <c r="F7" s="278" t="s">
        <v>345</v>
      </c>
      <c r="G7" s="279">
        <v>0</v>
      </c>
      <c r="H7" s="280"/>
      <c r="I7" s="281">
        <f t="shared" si="1"/>
        <v>0</v>
      </c>
      <c r="J7" s="282" t="s">
        <v>871</v>
      </c>
      <c r="K7" s="283" t="s">
        <v>872</v>
      </c>
      <c r="L7" s="283" t="s">
        <v>873</v>
      </c>
      <c r="M7" s="283"/>
    </row>
    <row r="8" spans="1:13" ht="36" customHeight="1" x14ac:dyDescent="0.25">
      <c r="A8" s="276" t="str">
        <f t="shared" si="0"/>
        <v>ESC1.1.3</v>
      </c>
      <c r="B8" s="1619"/>
      <c r="C8" s="575" t="s">
        <v>417</v>
      </c>
      <c r="D8" s="277" t="s">
        <v>418</v>
      </c>
      <c r="E8" s="799" t="str">
        <f>IF(VLOOKUP(D8,'EMBOP-SI_ITA'!$D$4:$D$225,1,FALSE)=D8,"YES","NO")</f>
        <v>YES</v>
      </c>
      <c r="F8" s="278" t="s">
        <v>345</v>
      </c>
      <c r="G8" s="279">
        <v>0</v>
      </c>
      <c r="H8" s="280"/>
      <c r="I8" s="281">
        <f t="shared" si="1"/>
        <v>0</v>
      </c>
      <c r="J8" s="282" t="s">
        <v>871</v>
      </c>
      <c r="K8" s="283" t="s">
        <v>872</v>
      </c>
      <c r="L8" s="283" t="s">
        <v>873</v>
      </c>
      <c r="M8" s="283"/>
    </row>
    <row r="9" spans="1:13" ht="13.5" customHeight="1" x14ac:dyDescent="0.25">
      <c r="A9" s="276" t="str">
        <f t="shared" si="0"/>
        <v>ESC1.1.4</v>
      </c>
      <c r="B9" s="1623" t="s">
        <v>874</v>
      </c>
      <c r="C9" s="575" t="s">
        <v>875</v>
      </c>
      <c r="D9" s="277" t="s">
        <v>876</v>
      </c>
      <c r="E9" s="799" t="str">
        <f>IF(VLOOKUP(D9,'EMBOP-SI_ITA'!$D$4:$D$225,1,FALSE)=D9,"YES","NO")</f>
        <v>YES</v>
      </c>
      <c r="F9" s="278" t="s">
        <v>141</v>
      </c>
      <c r="G9" s="279">
        <v>0</v>
      </c>
      <c r="H9" s="280"/>
      <c r="I9" s="281">
        <f t="shared" si="1"/>
        <v>0</v>
      </c>
      <c r="J9" s="282" t="s">
        <v>871</v>
      </c>
      <c r="K9" s="283" t="s">
        <v>872</v>
      </c>
      <c r="L9" s="283" t="s">
        <v>873</v>
      </c>
      <c r="M9" s="283"/>
    </row>
    <row r="10" spans="1:13" ht="13.5" customHeight="1" x14ac:dyDescent="0.25">
      <c r="A10" s="276" t="str">
        <f t="shared" si="0"/>
        <v>ESC1.1.5</v>
      </c>
      <c r="B10" s="1624"/>
      <c r="C10" s="575" t="s">
        <v>877</v>
      </c>
      <c r="D10" s="277" t="s">
        <v>878</v>
      </c>
      <c r="E10" s="799" t="str">
        <f>IF(VLOOKUP(D10,'EMBOP-SI_ITA'!$D$4:$D$225,1,FALSE)=D10,"YES","NO")</f>
        <v>YES</v>
      </c>
      <c r="F10" s="278" t="s">
        <v>141</v>
      </c>
      <c r="G10" s="279">
        <v>0</v>
      </c>
      <c r="H10" s="280"/>
      <c r="I10" s="281">
        <f t="shared" si="1"/>
        <v>0</v>
      </c>
      <c r="J10" s="282" t="s">
        <v>871</v>
      </c>
      <c r="K10" s="283" t="s">
        <v>872</v>
      </c>
      <c r="L10" s="283" t="s">
        <v>873</v>
      </c>
      <c r="M10" s="283"/>
    </row>
    <row r="11" spans="1:13" ht="12.75" x14ac:dyDescent="0.25">
      <c r="A11" s="276" t="str">
        <f t="shared" si="0"/>
        <v>ESC1.1.6</v>
      </c>
      <c r="B11" s="1624"/>
      <c r="C11" s="575" t="s">
        <v>879</v>
      </c>
      <c r="D11" s="277" t="s">
        <v>880</v>
      </c>
      <c r="E11" s="799" t="str">
        <f>IF(VLOOKUP(D11,'EMBOP-SI_ITA'!$D$4:$D$225,1,FALSE)=D11,"YES","NO")</f>
        <v>YES</v>
      </c>
      <c r="F11" s="278" t="s">
        <v>141</v>
      </c>
      <c r="G11" s="279">
        <v>0</v>
      </c>
      <c r="H11" s="280"/>
      <c r="I11" s="281">
        <f t="shared" si="1"/>
        <v>0</v>
      </c>
      <c r="J11" s="282"/>
      <c r="K11" s="283" t="s">
        <v>872</v>
      </c>
      <c r="L11" s="283" t="s">
        <v>873</v>
      </c>
      <c r="M11" s="283"/>
    </row>
    <row r="12" spans="1:13" ht="12.75" x14ac:dyDescent="0.25">
      <c r="A12" s="276" t="str">
        <f t="shared" si="0"/>
        <v>ESC1.1.7</v>
      </c>
      <c r="B12" s="1624"/>
      <c r="C12" s="575" t="s">
        <v>881</v>
      </c>
      <c r="D12" s="277" t="s">
        <v>882</v>
      </c>
      <c r="E12" s="799" t="str">
        <f>IF(VLOOKUP(D12,'EMBOP-SI_ITA'!$D$4:$D$225,1,FALSE)=D12,"YES","NO")</f>
        <v>YES</v>
      </c>
      <c r="F12" s="278" t="s">
        <v>141</v>
      </c>
      <c r="G12" s="279">
        <v>0</v>
      </c>
      <c r="H12" s="280"/>
      <c r="I12" s="281">
        <f t="shared" si="1"/>
        <v>0</v>
      </c>
      <c r="J12" s="282" t="s">
        <v>871</v>
      </c>
      <c r="K12" s="283" t="s">
        <v>883</v>
      </c>
      <c r="L12" s="283" t="s">
        <v>873</v>
      </c>
      <c r="M12" s="283"/>
    </row>
    <row r="13" spans="1:13" ht="12.75" x14ac:dyDescent="0.25">
      <c r="A13" s="276" t="str">
        <f t="shared" si="0"/>
        <v>ESC1.1.8</v>
      </c>
      <c r="B13" s="1624"/>
      <c r="C13" s="575" t="s">
        <v>884</v>
      </c>
      <c r="D13" s="277" t="s">
        <v>885</v>
      </c>
      <c r="E13" s="799" t="str">
        <f>IF(VLOOKUP(D13,'EMBOP-SI_ITA'!$D$4:$D$225,1,FALSE)=D13,"YES","NO")</f>
        <v>YES</v>
      </c>
      <c r="F13" s="278" t="s">
        <v>141</v>
      </c>
      <c r="G13" s="279">
        <v>0</v>
      </c>
      <c r="H13" s="280"/>
      <c r="I13" s="281">
        <f t="shared" si="1"/>
        <v>0</v>
      </c>
      <c r="J13" s="282" t="s">
        <v>871</v>
      </c>
      <c r="K13" s="283" t="s">
        <v>883</v>
      </c>
      <c r="L13" s="283" t="s">
        <v>873</v>
      </c>
      <c r="M13" s="283"/>
    </row>
    <row r="14" spans="1:13" ht="37.5" customHeight="1" x14ac:dyDescent="0.25">
      <c r="A14" s="276" t="str">
        <f t="shared" si="0"/>
        <v>ESC1.1.9</v>
      </c>
      <c r="B14" s="1624"/>
      <c r="C14" s="575" t="s">
        <v>886</v>
      </c>
      <c r="D14" s="277" t="s">
        <v>887</v>
      </c>
      <c r="E14" s="799" t="str">
        <f>IF(VLOOKUP(D14,'EMBOP-SI_ITA'!$D$4:$D$225,1,FALSE)=D14,"YES","NO")</f>
        <v>YES</v>
      </c>
      <c r="F14" s="278" t="s">
        <v>141</v>
      </c>
      <c r="G14" s="279">
        <v>0</v>
      </c>
      <c r="H14" s="280"/>
      <c r="I14" s="281">
        <f t="shared" si="1"/>
        <v>0</v>
      </c>
      <c r="J14" s="282" t="s">
        <v>871</v>
      </c>
      <c r="K14" s="283" t="s">
        <v>883</v>
      </c>
      <c r="L14" s="283" t="s">
        <v>873</v>
      </c>
      <c r="M14" s="283"/>
    </row>
    <row r="15" spans="1:13" ht="15" customHeight="1" x14ac:dyDescent="0.25">
      <c r="A15" s="276" t="str">
        <f t="shared" si="0"/>
        <v>ESC1.1.10</v>
      </c>
      <c r="B15" s="1620" t="s">
        <v>888</v>
      </c>
      <c r="C15" s="575" t="s">
        <v>889</v>
      </c>
      <c r="D15" s="277" t="s">
        <v>890</v>
      </c>
      <c r="E15" s="799" t="str">
        <f>IF(VLOOKUP(D15,'EMBOP-SI_ITA'!$D$4:$D$225,1,FALSE)=D15,"YES","NO")</f>
        <v>YES</v>
      </c>
      <c r="F15" s="278" t="s">
        <v>345</v>
      </c>
      <c r="G15" s="279">
        <v>0</v>
      </c>
      <c r="H15" s="280"/>
      <c r="I15" s="281">
        <f t="shared" si="1"/>
        <v>0</v>
      </c>
      <c r="J15" s="282" t="s">
        <v>871</v>
      </c>
      <c r="K15" s="283" t="s">
        <v>883</v>
      </c>
      <c r="L15" s="283" t="s">
        <v>873</v>
      </c>
      <c r="M15" s="283"/>
    </row>
    <row r="16" spans="1:13" ht="12.75" x14ac:dyDescent="0.25">
      <c r="A16" s="276" t="str">
        <f t="shared" si="0"/>
        <v>ESC1.1.11</v>
      </c>
      <c r="B16" s="1618"/>
      <c r="C16" s="575" t="s">
        <v>891</v>
      </c>
      <c r="D16" s="277" t="s">
        <v>892</v>
      </c>
      <c r="E16" s="799" t="str">
        <f>IF(VLOOKUP(D16,'EMBOP-SI_ITA'!$D$4:$D$225,1,FALSE)=D16,"YES","NO")</f>
        <v>YES</v>
      </c>
      <c r="F16" s="278" t="s">
        <v>345</v>
      </c>
      <c r="G16" s="279">
        <v>0</v>
      </c>
      <c r="H16" s="280"/>
      <c r="I16" s="281">
        <f t="shared" si="1"/>
        <v>0</v>
      </c>
      <c r="J16" s="282" t="s">
        <v>871</v>
      </c>
      <c r="K16" s="283" t="s">
        <v>883</v>
      </c>
      <c r="L16" s="283" t="s">
        <v>873</v>
      </c>
      <c r="M16" s="283"/>
    </row>
    <row r="17" spans="1:13" ht="25.5" customHeight="1" x14ac:dyDescent="0.25">
      <c r="A17" s="276" t="str">
        <f t="shared" si="0"/>
        <v>ESC1.1.12</v>
      </c>
      <c r="B17" s="1618"/>
      <c r="C17" s="575" t="s">
        <v>893</v>
      </c>
      <c r="D17" s="277" t="s">
        <v>894</v>
      </c>
      <c r="E17" s="799" t="str">
        <f>IF(VLOOKUP(D17,'EMBOP-SI_ITA'!$D$4:$D$225,1,FALSE)=D17,"YES","NO")</f>
        <v>YES</v>
      </c>
      <c r="F17" s="278" t="s">
        <v>345</v>
      </c>
      <c r="G17" s="279">
        <v>0</v>
      </c>
      <c r="H17" s="280"/>
      <c r="I17" s="281">
        <f t="shared" si="1"/>
        <v>0</v>
      </c>
      <c r="J17" s="282" t="s">
        <v>871</v>
      </c>
      <c r="K17" s="283" t="s">
        <v>883</v>
      </c>
      <c r="L17" s="283" t="s">
        <v>873</v>
      </c>
      <c r="M17" s="283"/>
    </row>
    <row r="18" spans="1:13" ht="12.75" x14ac:dyDescent="0.25">
      <c r="A18" s="631" t="str">
        <f t="shared" si="0"/>
        <v>ESC1.1.13</v>
      </c>
      <c r="B18" s="637" t="s">
        <v>895</v>
      </c>
      <c r="C18" s="684" t="s">
        <v>779</v>
      </c>
      <c r="D18" s="626" t="s">
        <v>780</v>
      </c>
      <c r="E18" s="800" t="str">
        <f>IF(VLOOKUP(D18,'EMBOP-SI_ITA'!$D$4:$D$225,1,FALSE)=D18,"YES","NO")</f>
        <v>YES</v>
      </c>
      <c r="F18" s="625" t="s">
        <v>781</v>
      </c>
      <c r="G18" s="624">
        <v>0</v>
      </c>
      <c r="H18" s="623"/>
      <c r="I18" s="622">
        <f t="shared" si="1"/>
        <v>0</v>
      </c>
      <c r="J18" s="621" t="s">
        <v>871</v>
      </c>
      <c r="K18" s="620" t="s">
        <v>883</v>
      </c>
      <c r="L18" s="620" t="s">
        <v>873</v>
      </c>
      <c r="M18" s="620"/>
    </row>
    <row r="19" spans="1:13" s="275" customFormat="1" ht="12.75" x14ac:dyDescent="0.25">
      <c r="A19" s="553" t="s">
        <v>896</v>
      </c>
      <c r="B19" s="551"/>
      <c r="C19" s="551"/>
      <c r="D19" s="552" t="s">
        <v>897</v>
      </c>
      <c r="E19" s="815" t="e">
        <f>IF(VLOOKUP(D19,'EMBOP-SI_ITA'!$D$4:$D$225,1,FALSE)=D19,"YES","NO")</f>
        <v>#N/A</v>
      </c>
      <c r="F19" s="551"/>
      <c r="G19" s="567"/>
      <c r="H19" s="565"/>
      <c r="I19" s="565"/>
      <c r="J19" s="549"/>
      <c r="K19" s="548"/>
      <c r="L19" s="548"/>
      <c r="M19" s="548"/>
    </row>
    <row r="20" spans="1:13" ht="12.75" x14ac:dyDescent="0.25">
      <c r="A20" s="276" t="str">
        <f>+CONCATENATE($A$19,".",TEXT(ROW(A8)-ROW($A$1),0))</f>
        <v>ESC1.2.7</v>
      </c>
      <c r="B20" s="1620" t="s">
        <v>898</v>
      </c>
      <c r="C20" s="575" t="s">
        <v>439</v>
      </c>
      <c r="D20" s="277" t="s">
        <v>440</v>
      </c>
      <c r="E20" s="799" t="str">
        <f>IF(VLOOKUP(D20,'EMBOP-SI_ITA'!$D$4:$D$225,1,FALSE)=D20,"YES","NO")</f>
        <v>YES</v>
      </c>
      <c r="F20" s="278" t="s">
        <v>345</v>
      </c>
      <c r="G20" s="279">
        <v>0</v>
      </c>
      <c r="H20" s="280"/>
      <c r="I20" s="281">
        <f t="shared" ref="I20:I32" si="2">+G20*H20</f>
        <v>0</v>
      </c>
      <c r="J20" s="282" t="s">
        <v>871</v>
      </c>
      <c r="K20" s="283" t="s">
        <v>872</v>
      </c>
      <c r="L20" s="283" t="s">
        <v>873</v>
      </c>
      <c r="M20" s="283"/>
    </row>
    <row r="21" spans="1:13" ht="12.75" x14ac:dyDescent="0.25">
      <c r="A21" s="276" t="str">
        <f>+CONCATENATE($A$19,".",TEXT(ROW(A9)-ROW($A$1),0))</f>
        <v>ESC1.2.8</v>
      </c>
      <c r="B21" s="1620"/>
      <c r="C21" s="575" t="s">
        <v>441</v>
      </c>
      <c r="D21" s="277" t="s">
        <v>442</v>
      </c>
      <c r="E21" s="799" t="str">
        <f>IF(VLOOKUP(D21,'EMBOP-SI_ITA'!$D$4:$D$225,1,FALSE)=D21,"YES","NO")</f>
        <v>YES</v>
      </c>
      <c r="F21" s="278" t="s">
        <v>345</v>
      </c>
      <c r="G21" s="279">
        <v>0</v>
      </c>
      <c r="H21" s="280"/>
      <c r="I21" s="281">
        <f t="shared" si="2"/>
        <v>0</v>
      </c>
      <c r="J21" s="282" t="s">
        <v>871</v>
      </c>
      <c r="K21" s="283" t="s">
        <v>872</v>
      </c>
      <c r="L21" s="283" t="s">
        <v>873</v>
      </c>
      <c r="M21" s="283"/>
    </row>
    <row r="22" spans="1:13" ht="12.75" x14ac:dyDescent="0.25">
      <c r="A22" s="276" t="str">
        <f>+CONCATENATE($A$19,".",TEXT(ROW(A10)-ROW($A$1),0))</f>
        <v>ESC1.2.9</v>
      </c>
      <c r="B22" s="1621"/>
      <c r="C22" s="575" t="s">
        <v>443</v>
      </c>
      <c r="D22" s="277" t="s">
        <v>444</v>
      </c>
      <c r="E22" s="799" t="str">
        <f>IF(VLOOKUP(D22,'EMBOP-SI_ITA'!$D$4:$D$225,1,FALSE)=D22,"YES","NO")</f>
        <v>YES</v>
      </c>
      <c r="F22" s="278" t="s">
        <v>345</v>
      </c>
      <c r="G22" s="279">
        <v>0</v>
      </c>
      <c r="H22" s="280"/>
      <c r="I22" s="281">
        <f t="shared" si="2"/>
        <v>0</v>
      </c>
      <c r="J22" s="282" t="s">
        <v>871</v>
      </c>
      <c r="K22" s="283" t="s">
        <v>872</v>
      </c>
      <c r="L22" s="283" t="s">
        <v>873</v>
      </c>
      <c r="M22" s="283"/>
    </row>
    <row r="23" spans="1:13" ht="12.75" x14ac:dyDescent="0.25">
      <c r="A23" s="276" t="str">
        <f t="shared" ref="A23:A28" si="3">+CONCATENATE($A$19,".",TEXT(ROW(A17)-ROW($A$1),0))</f>
        <v>ESC1.2.16</v>
      </c>
      <c r="B23" s="1617" t="s">
        <v>899</v>
      </c>
      <c r="C23" s="575" t="s">
        <v>900</v>
      </c>
      <c r="D23" s="277" t="s">
        <v>901</v>
      </c>
      <c r="E23" s="799" t="str">
        <f>IF(VLOOKUP(D23,'EMBOP-SI_ITA'!$D$4:$D$225,1,FALSE)=D23,"YES","NO")</f>
        <v>YES</v>
      </c>
      <c r="F23" s="278" t="s">
        <v>141</v>
      </c>
      <c r="G23" s="279">
        <v>0</v>
      </c>
      <c r="H23" s="280"/>
      <c r="I23" s="281">
        <f t="shared" si="2"/>
        <v>0</v>
      </c>
      <c r="J23" s="282" t="s">
        <v>871</v>
      </c>
      <c r="K23" s="283" t="s">
        <v>872</v>
      </c>
      <c r="L23" s="283" t="s">
        <v>873</v>
      </c>
      <c r="M23" s="283"/>
    </row>
    <row r="24" spans="1:13" ht="12.75" x14ac:dyDescent="0.25">
      <c r="A24" s="276" t="str">
        <f t="shared" si="3"/>
        <v>ESC1.2.17</v>
      </c>
      <c r="B24" s="1620"/>
      <c r="C24" s="575" t="s">
        <v>902</v>
      </c>
      <c r="D24" s="277" t="s">
        <v>903</v>
      </c>
      <c r="E24" s="799" t="str">
        <f>IF(VLOOKUP(D24,'EMBOP-SI_ITA'!$D$4:$D$225,1,FALSE)=D24,"YES","NO")</f>
        <v>YES</v>
      </c>
      <c r="F24" s="278" t="s">
        <v>141</v>
      </c>
      <c r="G24" s="279">
        <v>0</v>
      </c>
      <c r="H24" s="280"/>
      <c r="I24" s="281">
        <f t="shared" si="2"/>
        <v>0</v>
      </c>
      <c r="J24" s="282" t="s">
        <v>871</v>
      </c>
      <c r="K24" s="283" t="s">
        <v>872</v>
      </c>
      <c r="L24" s="283" t="s">
        <v>873</v>
      </c>
      <c r="M24" s="283"/>
    </row>
    <row r="25" spans="1:13" ht="12.75" x14ac:dyDescent="0.25">
      <c r="A25" s="276" t="str">
        <f t="shared" si="3"/>
        <v>ESC1.2.18</v>
      </c>
      <c r="B25" s="1621"/>
      <c r="C25" s="575" t="s">
        <v>904</v>
      </c>
      <c r="D25" s="277" t="s">
        <v>905</v>
      </c>
      <c r="E25" s="799" t="str">
        <f>IF(VLOOKUP(D25,'EMBOP-SI_ITA'!$D$4:$D$225,1,FALSE)=D25,"YES","NO")</f>
        <v>YES</v>
      </c>
      <c r="F25" s="278" t="s">
        <v>141</v>
      </c>
      <c r="G25" s="279">
        <v>0</v>
      </c>
      <c r="H25" s="280"/>
      <c r="I25" s="281">
        <f t="shared" si="2"/>
        <v>0</v>
      </c>
      <c r="J25" s="282" t="s">
        <v>871</v>
      </c>
      <c r="K25" s="283" t="s">
        <v>872</v>
      </c>
      <c r="L25" s="283" t="s">
        <v>873</v>
      </c>
      <c r="M25" s="283"/>
    </row>
    <row r="26" spans="1:13" ht="12.75" x14ac:dyDescent="0.25">
      <c r="A26" s="276" t="str">
        <f t="shared" si="3"/>
        <v>ESC1.2.19</v>
      </c>
      <c r="B26" s="1617" t="s">
        <v>906</v>
      </c>
      <c r="C26" s="575" t="s">
        <v>907</v>
      </c>
      <c r="D26" s="277" t="s">
        <v>908</v>
      </c>
      <c r="E26" s="799" t="str">
        <f>IF(VLOOKUP(D26,'EMBOP-SI_ITA'!$D$4:$D$225,1,FALSE)=D26,"YES","NO")</f>
        <v>YES</v>
      </c>
      <c r="F26" s="278" t="s">
        <v>141</v>
      </c>
      <c r="G26" s="279">
        <v>0</v>
      </c>
      <c r="H26" s="280"/>
      <c r="I26" s="281">
        <f t="shared" si="2"/>
        <v>0</v>
      </c>
      <c r="J26" s="282" t="s">
        <v>871</v>
      </c>
      <c r="K26" s="283" t="s">
        <v>883</v>
      </c>
      <c r="L26" s="283" t="s">
        <v>873</v>
      </c>
      <c r="M26" s="283"/>
    </row>
    <row r="27" spans="1:13" ht="12.75" x14ac:dyDescent="0.25">
      <c r="A27" s="276" t="str">
        <f t="shared" si="3"/>
        <v>ESC1.2.20</v>
      </c>
      <c r="B27" s="1620"/>
      <c r="C27" s="575" t="s">
        <v>909</v>
      </c>
      <c r="D27" s="277" t="s">
        <v>910</v>
      </c>
      <c r="E27" s="799" t="str">
        <f>IF(VLOOKUP(D27,'EMBOP-SI_ITA'!$D$4:$D$225,1,FALSE)=D27,"YES","NO")</f>
        <v>YES</v>
      </c>
      <c r="F27" s="278" t="s">
        <v>141</v>
      </c>
      <c r="G27" s="279">
        <v>0</v>
      </c>
      <c r="H27" s="280"/>
      <c r="I27" s="281">
        <f t="shared" si="2"/>
        <v>0</v>
      </c>
      <c r="J27" s="282" t="s">
        <v>871</v>
      </c>
      <c r="K27" s="283" t="s">
        <v>883</v>
      </c>
      <c r="L27" s="283" t="s">
        <v>873</v>
      </c>
      <c r="M27" s="283"/>
    </row>
    <row r="28" spans="1:13" ht="12.75" x14ac:dyDescent="0.25">
      <c r="A28" s="276" t="str">
        <f t="shared" si="3"/>
        <v>ESC1.2.21</v>
      </c>
      <c r="B28" s="1621"/>
      <c r="C28" s="575" t="s">
        <v>911</v>
      </c>
      <c r="D28" s="277" t="s">
        <v>912</v>
      </c>
      <c r="E28" s="799" t="str">
        <f>IF(VLOOKUP(D28,'EMBOP-SI_ITA'!$D$4:$D$225,1,FALSE)=D28,"YES","NO")</f>
        <v>YES</v>
      </c>
      <c r="F28" s="278" t="s">
        <v>141</v>
      </c>
      <c r="G28" s="279">
        <v>0</v>
      </c>
      <c r="H28" s="280"/>
      <c r="I28" s="281">
        <f t="shared" si="2"/>
        <v>0</v>
      </c>
      <c r="J28" s="282" t="s">
        <v>871</v>
      </c>
      <c r="K28" s="283" t="s">
        <v>883</v>
      </c>
      <c r="L28" s="283" t="s">
        <v>873</v>
      </c>
      <c r="M28" s="283"/>
    </row>
    <row r="29" spans="1:13" ht="12.75" x14ac:dyDescent="0.25">
      <c r="A29" s="276" t="str">
        <f>+CONCATENATE($A$19,".",TEXT(ROW(A25)-ROW($A$1),0))</f>
        <v>ESC1.2.24</v>
      </c>
      <c r="B29" s="1617" t="s">
        <v>913</v>
      </c>
      <c r="C29" s="605" t="s">
        <v>914</v>
      </c>
      <c r="D29" s="277" t="s">
        <v>915</v>
      </c>
      <c r="E29" s="799" t="str">
        <f>IF(VLOOKUP(D29,'EMBOP-SI_ITA'!$D$4:$D$225,1,FALSE)=D29,"YES","NO")</f>
        <v>YES</v>
      </c>
      <c r="F29" s="278" t="s">
        <v>345</v>
      </c>
      <c r="G29" s="279">
        <v>0</v>
      </c>
      <c r="H29" s="280"/>
      <c r="I29" s="281">
        <f t="shared" si="2"/>
        <v>0</v>
      </c>
      <c r="J29" s="282" t="s">
        <v>871</v>
      </c>
      <c r="K29" s="283" t="s">
        <v>883</v>
      </c>
      <c r="L29" s="283" t="s">
        <v>873</v>
      </c>
      <c r="M29" s="283"/>
    </row>
    <row r="30" spans="1:13" ht="12.75" x14ac:dyDescent="0.25">
      <c r="A30" s="276" t="e">
        <f>+CONCATENATE($A$19,".",TEXT(ROW(#REF!)-ROW($A$1),0))</f>
        <v>#REF!</v>
      </c>
      <c r="B30" s="1620"/>
      <c r="C30" s="605" t="s">
        <v>916</v>
      </c>
      <c r="D30" s="277" t="s">
        <v>917</v>
      </c>
      <c r="E30" s="799" t="str">
        <f>IF(VLOOKUP(D30,'EMBOP-SI_ITA'!$D$4:$D$225,1,FALSE)=D30,"YES","NO")</f>
        <v>YES</v>
      </c>
      <c r="F30" s="278" t="s">
        <v>345</v>
      </c>
      <c r="G30" s="279">
        <v>0</v>
      </c>
      <c r="H30" s="280"/>
      <c r="I30" s="281">
        <f t="shared" si="2"/>
        <v>0</v>
      </c>
      <c r="J30" s="282" t="s">
        <v>871</v>
      </c>
      <c r="K30" s="283" t="s">
        <v>883</v>
      </c>
      <c r="L30" s="283" t="s">
        <v>873</v>
      </c>
      <c r="M30" s="283"/>
    </row>
    <row r="31" spans="1:13" ht="12.75" x14ac:dyDescent="0.25">
      <c r="A31" s="276" t="e">
        <f>+CONCATENATE($A$19,".",TEXT(ROW(#REF!)-ROW($A$1),0))</f>
        <v>#REF!</v>
      </c>
      <c r="B31" s="1621"/>
      <c r="C31" s="605" t="s">
        <v>918</v>
      </c>
      <c r="D31" s="277" t="s">
        <v>919</v>
      </c>
      <c r="E31" s="799" t="str">
        <f>IF(VLOOKUP(D31,'EMBOP-SI_ITA'!$D$4:$D$225,1,FALSE)=D31,"YES","NO")</f>
        <v>YES</v>
      </c>
      <c r="F31" s="278" t="s">
        <v>345</v>
      </c>
      <c r="G31" s="279">
        <v>0</v>
      </c>
      <c r="H31" s="280"/>
      <c r="I31" s="281">
        <f t="shared" si="2"/>
        <v>0</v>
      </c>
      <c r="J31" s="282" t="s">
        <v>871</v>
      </c>
      <c r="K31" s="283" t="s">
        <v>883</v>
      </c>
      <c r="L31" s="283" t="s">
        <v>873</v>
      </c>
      <c r="M31" s="283"/>
    </row>
    <row r="32" spans="1:13" ht="38.25" customHeight="1" x14ac:dyDescent="0.25">
      <c r="A32" s="631" t="e">
        <f>+CONCATENATE($A$19,".",TEXT(ROW(#REF!)-ROW($A$1),0))</f>
        <v>#REF!</v>
      </c>
      <c r="B32" s="637" t="s">
        <v>920</v>
      </c>
      <c r="C32" s="684" t="s">
        <v>784</v>
      </c>
      <c r="D32" s="626" t="s">
        <v>785</v>
      </c>
      <c r="E32" s="800" t="str">
        <f>IF(VLOOKUP(D32,'EMBOP-SI_ITA'!$D$4:$D$225,1,FALSE)=D32,"YES","NO")</f>
        <v>YES</v>
      </c>
      <c r="F32" s="625" t="s">
        <v>921</v>
      </c>
      <c r="G32" s="624">
        <v>0</v>
      </c>
      <c r="H32" s="623"/>
      <c r="I32" s="622">
        <f t="shared" si="2"/>
        <v>0</v>
      </c>
      <c r="J32" s="621" t="s">
        <v>871</v>
      </c>
      <c r="K32" s="620" t="s">
        <v>883</v>
      </c>
      <c r="L32" s="620" t="s">
        <v>873</v>
      </c>
      <c r="M32" s="620"/>
    </row>
    <row r="33" spans="1:13" s="275" customFormat="1" ht="12.75" x14ac:dyDescent="0.25">
      <c r="A33" s="553" t="s">
        <v>922</v>
      </c>
      <c r="B33" s="551"/>
      <c r="C33" s="551"/>
      <c r="D33" s="552" t="s">
        <v>923</v>
      </c>
      <c r="E33" s="798" t="str">
        <f>IF(VLOOKUP(D33,'EMBOP-SI_ITA'!$D$4:$D$225,1,FALSE)=D33,"YES","NO")</f>
        <v>YES</v>
      </c>
      <c r="F33" s="551"/>
      <c r="G33" s="567"/>
      <c r="H33" s="565"/>
      <c r="I33" s="565"/>
      <c r="J33" s="549"/>
      <c r="K33" s="548"/>
      <c r="L33" s="548"/>
      <c r="M33" s="548"/>
    </row>
    <row r="34" spans="1:13" ht="12.75" x14ac:dyDescent="0.25">
      <c r="A34" s="276" t="str">
        <f>+CONCATENATE($A$33,".",TEXT(ROW(A5)-ROW($A$1),0))</f>
        <v>ESC1.3.4</v>
      </c>
      <c r="B34" s="1617" t="s">
        <v>924</v>
      </c>
      <c r="C34" s="575" t="s">
        <v>352</v>
      </c>
      <c r="D34" s="277" t="s">
        <v>353</v>
      </c>
      <c r="E34" s="799" t="str">
        <f>IF(VLOOKUP(D34,'EMBOP-SI_ITA'!$D$4:$D$225,1,FALSE)=D34,"YES","NO")</f>
        <v>YES</v>
      </c>
      <c r="F34" s="278" t="s">
        <v>345</v>
      </c>
      <c r="G34" s="279">
        <v>0</v>
      </c>
      <c r="H34" s="280"/>
      <c r="I34" s="281">
        <f t="shared" ref="I34:I48" si="4">+G34*H34</f>
        <v>0</v>
      </c>
      <c r="J34" s="282" t="s">
        <v>871</v>
      </c>
      <c r="K34" s="283" t="s">
        <v>872</v>
      </c>
      <c r="L34" s="283" t="s">
        <v>873</v>
      </c>
      <c r="M34" s="283"/>
    </row>
    <row r="35" spans="1:13" ht="12.75" x14ac:dyDescent="0.25">
      <c r="A35" s="276" t="str">
        <f>+CONCATENATE($A$33,".",TEXT(ROW(A6)-ROW($A$1),0))</f>
        <v>ESC1.3.5</v>
      </c>
      <c r="B35" s="1620"/>
      <c r="C35" s="575" t="s">
        <v>356</v>
      </c>
      <c r="D35" s="277" t="s">
        <v>357</v>
      </c>
      <c r="E35" s="799" t="str">
        <f>IF(VLOOKUP(D35,'EMBOP-SI_ITA'!$D$4:$D$225,1,FALSE)=D35,"YES","NO")</f>
        <v>YES</v>
      </c>
      <c r="F35" s="278" t="s">
        <v>345</v>
      </c>
      <c r="G35" s="279">
        <v>0</v>
      </c>
      <c r="H35" s="280"/>
      <c r="I35" s="281">
        <f t="shared" si="4"/>
        <v>0</v>
      </c>
      <c r="J35" s="282" t="s">
        <v>871</v>
      </c>
      <c r="K35" s="283" t="s">
        <v>872</v>
      </c>
      <c r="L35" s="283" t="s">
        <v>873</v>
      </c>
      <c r="M35" s="283"/>
    </row>
    <row r="36" spans="1:13" ht="12.75" x14ac:dyDescent="0.25">
      <c r="A36" s="276" t="str">
        <f>+CONCATENATE($A$33,".",TEXT(ROW(A7)-ROW($A$1),0))</f>
        <v>ESC1.3.6</v>
      </c>
      <c r="B36" s="1620"/>
      <c r="C36" s="575" t="s">
        <v>360</v>
      </c>
      <c r="D36" s="277" t="s">
        <v>361</v>
      </c>
      <c r="E36" s="799" t="str">
        <f>IF(VLOOKUP(D36,'EMBOP-SI_ITA'!$D$4:$D$225,1,FALSE)=D36,"YES","NO")</f>
        <v>YES</v>
      </c>
      <c r="F36" s="278" t="s">
        <v>345</v>
      </c>
      <c r="G36" s="279">
        <v>0</v>
      </c>
      <c r="H36" s="280"/>
      <c r="I36" s="281">
        <f t="shared" si="4"/>
        <v>0</v>
      </c>
      <c r="J36" s="282" t="s">
        <v>871</v>
      </c>
      <c r="K36" s="283" t="s">
        <v>872</v>
      </c>
      <c r="L36" s="283" t="s">
        <v>873</v>
      </c>
      <c r="M36" s="283"/>
    </row>
    <row r="37" spans="1:13" ht="12.75" x14ac:dyDescent="0.25">
      <c r="A37" s="276" t="str">
        <f>+CONCATENATE($A$33,".",TEXT(ROW(A8)-ROW($A$1),0))</f>
        <v>ESC1.3.7</v>
      </c>
      <c r="B37" s="1620"/>
      <c r="C37" s="575" t="s">
        <v>364</v>
      </c>
      <c r="D37" s="277" t="s">
        <v>365</v>
      </c>
      <c r="E37" s="799" t="str">
        <f>IF(VLOOKUP(D37,'EMBOP-SI_ITA'!$D$4:$D$225,1,FALSE)=D37,"YES","NO")</f>
        <v>YES</v>
      </c>
      <c r="F37" s="278" t="s">
        <v>345</v>
      </c>
      <c r="G37" s="279">
        <v>0</v>
      </c>
      <c r="H37" s="280"/>
      <c r="I37" s="281">
        <f t="shared" si="4"/>
        <v>0</v>
      </c>
      <c r="J37" s="282" t="s">
        <v>871</v>
      </c>
      <c r="K37" s="283" t="s">
        <v>872</v>
      </c>
      <c r="L37" s="283" t="s">
        <v>873</v>
      </c>
      <c r="M37" s="283"/>
    </row>
    <row r="38" spans="1:13" ht="12.75" x14ac:dyDescent="0.25">
      <c r="A38" s="276" t="str">
        <f>+CONCATENATE($A$33,".",TEXT(ROW(A9)-ROW($A$1),0))</f>
        <v>ESC1.3.8</v>
      </c>
      <c r="B38" s="1620"/>
      <c r="C38" s="575" t="s">
        <v>368</v>
      </c>
      <c r="D38" s="277" t="s">
        <v>369</v>
      </c>
      <c r="E38" s="799" t="str">
        <f>IF(VLOOKUP(D38,'EMBOP-SI_ITA'!$D$4:$D$225,1,FALSE)=D38,"YES","NO")</f>
        <v>YES</v>
      </c>
      <c r="F38" s="278" t="s">
        <v>345</v>
      </c>
      <c r="G38" s="279">
        <v>0</v>
      </c>
      <c r="H38" s="280"/>
      <c r="I38" s="281">
        <f t="shared" si="4"/>
        <v>0</v>
      </c>
      <c r="J38" s="282" t="s">
        <v>871</v>
      </c>
      <c r="K38" s="283" t="s">
        <v>872</v>
      </c>
      <c r="L38" s="283" t="s">
        <v>873</v>
      </c>
      <c r="M38" s="283"/>
    </row>
    <row r="39" spans="1:13" ht="12.75" x14ac:dyDescent="0.25">
      <c r="A39" s="276" t="str">
        <f>+CONCATENATE($A$33,".",TEXT(ROW(A11)-ROW($A$1),0))</f>
        <v>ESC1.3.10</v>
      </c>
      <c r="B39" s="1620"/>
      <c r="C39" s="575" t="s">
        <v>372</v>
      </c>
      <c r="D39" s="277" t="s">
        <v>373</v>
      </c>
      <c r="E39" s="799" t="str">
        <f>IF(VLOOKUP(D39,'EMBOP-SI_ITA'!$D$4:$D$225,1,FALSE)=D39,"YES","NO")</f>
        <v>YES</v>
      </c>
      <c r="F39" s="278" t="s">
        <v>345</v>
      </c>
      <c r="G39" s="279">
        <v>0</v>
      </c>
      <c r="H39" s="280"/>
      <c r="I39" s="281">
        <f t="shared" si="4"/>
        <v>0</v>
      </c>
      <c r="J39" s="282" t="s">
        <v>871</v>
      </c>
      <c r="K39" s="283" t="s">
        <v>872</v>
      </c>
      <c r="L39" s="283" t="s">
        <v>873</v>
      </c>
      <c r="M39" s="283"/>
    </row>
    <row r="40" spans="1:13" ht="12.75" x14ac:dyDescent="0.25">
      <c r="A40" s="276" t="e">
        <f>+CONCATENATE($A$33,".",TEXT(ROW(#REF!)-ROW($A$1),0))</f>
        <v>#REF!</v>
      </c>
      <c r="B40" s="1621"/>
      <c r="C40" s="575" t="s">
        <v>376</v>
      </c>
      <c r="D40" s="277" t="s">
        <v>377</v>
      </c>
      <c r="E40" s="799" t="str">
        <f>IF(VLOOKUP(D40,'EMBOP-SI_ITA'!$D$4:$D$225,1,FALSE)=D40,"YES","NO")</f>
        <v>YES</v>
      </c>
      <c r="F40" s="278" t="s">
        <v>345</v>
      </c>
      <c r="G40" s="279">
        <v>0</v>
      </c>
      <c r="H40" s="280"/>
      <c r="I40" s="281">
        <f t="shared" si="4"/>
        <v>0</v>
      </c>
      <c r="J40" s="282" t="s">
        <v>871</v>
      </c>
      <c r="K40" s="283" t="s">
        <v>872</v>
      </c>
      <c r="L40" s="283" t="s">
        <v>873</v>
      </c>
      <c r="M40" s="283"/>
    </row>
    <row r="41" spans="1:13" ht="12.75" x14ac:dyDescent="0.25">
      <c r="A41" s="276" t="e">
        <f>+CONCATENATE($A$33,".",TEXT(ROW(#REF!)-ROW($A$1),0))</f>
        <v>#REF!</v>
      </c>
      <c r="B41" s="1617" t="s">
        <v>925</v>
      </c>
      <c r="C41" s="575" t="s">
        <v>926</v>
      </c>
      <c r="D41" s="277" t="s">
        <v>927</v>
      </c>
      <c r="E41" s="799" t="str">
        <f>IF(VLOOKUP(D41,'EMBOP-SI_ITA'!$D$4:$D$225,1,FALSE)=D41,"YES","NO")</f>
        <v>YES</v>
      </c>
      <c r="F41" s="278" t="s">
        <v>141</v>
      </c>
      <c r="G41" s="279">
        <v>0</v>
      </c>
      <c r="H41" s="280"/>
      <c r="I41" s="281">
        <f t="shared" si="4"/>
        <v>0</v>
      </c>
      <c r="J41" s="282" t="s">
        <v>871</v>
      </c>
      <c r="K41" s="283" t="s">
        <v>872</v>
      </c>
      <c r="L41" s="283" t="s">
        <v>873</v>
      </c>
      <c r="M41" s="283"/>
    </row>
    <row r="42" spans="1:13" ht="12.75" x14ac:dyDescent="0.25">
      <c r="A42" s="276" t="e">
        <f>+CONCATENATE($A$33,".",TEXT(ROW(#REF!)-ROW($A$1),0))</f>
        <v>#REF!</v>
      </c>
      <c r="B42" s="1618"/>
      <c r="C42" s="575" t="s">
        <v>928</v>
      </c>
      <c r="D42" s="277" t="s">
        <v>929</v>
      </c>
      <c r="E42" s="799" t="str">
        <f>IF(VLOOKUP(D42,'EMBOP-SI_ITA'!$D$4:$D$225,1,FALSE)=D42,"YES","NO")</f>
        <v>YES</v>
      </c>
      <c r="F42" s="278" t="s">
        <v>141</v>
      </c>
      <c r="G42" s="279">
        <v>0</v>
      </c>
      <c r="H42" s="280"/>
      <c r="I42" s="281">
        <f t="shared" si="4"/>
        <v>0</v>
      </c>
      <c r="J42" s="282" t="s">
        <v>871</v>
      </c>
      <c r="K42" s="283" t="s">
        <v>872</v>
      </c>
      <c r="L42" s="283" t="s">
        <v>873</v>
      </c>
      <c r="M42" s="283"/>
    </row>
    <row r="43" spans="1:13" ht="12.75" x14ac:dyDescent="0.25">
      <c r="A43" s="276" t="e">
        <f>+CONCATENATE($A$33,".",TEXT(ROW(#REF!)-ROW($A$1),0))</f>
        <v>#REF!</v>
      </c>
      <c r="B43" s="1618"/>
      <c r="C43" s="575" t="s">
        <v>930</v>
      </c>
      <c r="D43" s="277" t="s">
        <v>931</v>
      </c>
      <c r="E43" s="799" t="str">
        <f>IF(VLOOKUP(D43,'EMBOP-SI_ITA'!$D$4:$D$225,1,FALSE)=D43,"YES","NO")</f>
        <v>YES</v>
      </c>
      <c r="F43" s="278" t="s">
        <v>141</v>
      </c>
      <c r="G43" s="279">
        <v>0</v>
      </c>
      <c r="H43" s="280"/>
      <c r="I43" s="281">
        <f t="shared" si="4"/>
        <v>0</v>
      </c>
      <c r="J43" s="282" t="s">
        <v>871</v>
      </c>
      <c r="K43" s="283" t="s">
        <v>872</v>
      </c>
      <c r="L43" s="283" t="s">
        <v>873</v>
      </c>
      <c r="M43" s="283"/>
    </row>
    <row r="44" spans="1:13" ht="12.75" x14ac:dyDescent="0.25">
      <c r="A44" s="276" t="e">
        <f>+CONCATENATE($A$33,".",TEXT(ROW(#REF!)-ROW($A$1),0))</f>
        <v>#REF!</v>
      </c>
      <c r="B44" s="1618"/>
      <c r="C44" s="575" t="s">
        <v>932</v>
      </c>
      <c r="D44" s="277" t="s">
        <v>933</v>
      </c>
      <c r="E44" s="799" t="str">
        <f>IF(VLOOKUP(D44,'EMBOP-SI_ITA'!$D$4:$D$225,1,FALSE)=D44,"YES","NO")</f>
        <v>YES</v>
      </c>
      <c r="F44" s="278" t="s">
        <v>141</v>
      </c>
      <c r="G44" s="279">
        <v>0</v>
      </c>
      <c r="H44" s="280"/>
      <c r="I44" s="281">
        <f t="shared" si="4"/>
        <v>0</v>
      </c>
      <c r="J44" s="282" t="s">
        <v>871</v>
      </c>
      <c r="K44" s="283" t="s">
        <v>872</v>
      </c>
      <c r="L44" s="283" t="s">
        <v>873</v>
      </c>
      <c r="M44" s="283"/>
    </row>
    <row r="45" spans="1:13" ht="12.75" x14ac:dyDescent="0.25">
      <c r="A45" s="276" t="e">
        <f>+CONCATENATE($A$33,".",TEXT(ROW(#REF!)-ROW($A$1),0))</f>
        <v>#REF!</v>
      </c>
      <c r="B45" s="1618"/>
      <c r="C45" s="575" t="s">
        <v>934</v>
      </c>
      <c r="D45" s="277" t="s">
        <v>935</v>
      </c>
      <c r="E45" s="799" t="str">
        <f>IF(VLOOKUP(D45,'EMBOP-SI_ITA'!$D$4:$D$225,1,FALSE)=D45,"YES","NO")</f>
        <v>YES</v>
      </c>
      <c r="F45" s="278" t="s">
        <v>141</v>
      </c>
      <c r="G45" s="279">
        <v>0</v>
      </c>
      <c r="H45" s="280"/>
      <c r="I45" s="281">
        <f t="shared" si="4"/>
        <v>0</v>
      </c>
      <c r="J45" s="282" t="s">
        <v>871</v>
      </c>
      <c r="K45" s="283" t="s">
        <v>872</v>
      </c>
      <c r="L45" s="283" t="s">
        <v>873</v>
      </c>
      <c r="M45" s="283"/>
    </row>
    <row r="46" spans="1:13" ht="12.75" x14ac:dyDescent="0.25">
      <c r="A46" s="276" t="e">
        <f>+CONCATENATE($A$33,".",TEXT(ROW(#REF!)-ROW($A$1),0))</f>
        <v>#REF!</v>
      </c>
      <c r="B46" s="1618"/>
      <c r="C46" s="575" t="s">
        <v>936</v>
      </c>
      <c r="D46" s="277" t="s">
        <v>937</v>
      </c>
      <c r="E46" s="799" t="str">
        <f>IF(VLOOKUP(D46,'EMBOP-SI_ITA'!$D$4:$D$225,1,FALSE)=D46,"YES","NO")</f>
        <v>YES</v>
      </c>
      <c r="F46" s="278" t="s">
        <v>141</v>
      </c>
      <c r="G46" s="279">
        <v>0</v>
      </c>
      <c r="H46" s="280"/>
      <c r="I46" s="281">
        <f t="shared" si="4"/>
        <v>0</v>
      </c>
      <c r="J46" s="282" t="s">
        <v>871</v>
      </c>
      <c r="K46" s="283" t="s">
        <v>872</v>
      </c>
      <c r="L46" s="283" t="s">
        <v>873</v>
      </c>
      <c r="M46" s="283"/>
    </row>
    <row r="47" spans="1:13" ht="12.75" x14ac:dyDescent="0.25">
      <c r="A47" s="276" t="e">
        <f>+CONCATENATE($A$33,".",TEXT(ROW(#REF!)-ROW($A$1),0))</f>
        <v>#REF!</v>
      </c>
      <c r="B47" s="1618"/>
      <c r="C47" s="575" t="s">
        <v>938</v>
      </c>
      <c r="D47" s="277" t="s">
        <v>939</v>
      </c>
      <c r="E47" s="799" t="str">
        <f>IF(VLOOKUP(D47,'EMBOP-SI_ITA'!$D$4:$D$225,1,FALSE)=D47,"YES","NO")</f>
        <v>YES</v>
      </c>
      <c r="F47" s="278" t="s">
        <v>141</v>
      </c>
      <c r="G47" s="279">
        <v>0</v>
      </c>
      <c r="H47" s="280"/>
      <c r="I47" s="281">
        <f t="shared" si="4"/>
        <v>0</v>
      </c>
      <c r="J47" s="282" t="s">
        <v>871</v>
      </c>
      <c r="K47" s="283" t="s">
        <v>872</v>
      </c>
      <c r="L47" s="283" t="s">
        <v>873</v>
      </c>
      <c r="M47" s="283"/>
    </row>
    <row r="48" spans="1:13" ht="12.75" x14ac:dyDescent="0.25">
      <c r="A48" s="276" t="e">
        <f>+CONCATENATE($A$33,".",TEXT(ROW(#REF!)-ROW($A$1),0))</f>
        <v>#REF!</v>
      </c>
      <c r="B48" s="1618"/>
      <c r="C48" s="575" t="s">
        <v>940</v>
      </c>
      <c r="D48" s="277" t="s">
        <v>941</v>
      </c>
      <c r="E48" s="799" t="str">
        <f>IF(VLOOKUP(D48,'EMBOP-SI_ITA'!$D$4:$D$225,1,FALSE)=D48,"YES","NO")</f>
        <v>YES</v>
      </c>
      <c r="F48" s="278" t="s">
        <v>141</v>
      </c>
      <c r="G48" s="279">
        <v>0</v>
      </c>
      <c r="H48" s="280"/>
      <c r="I48" s="281">
        <f t="shared" si="4"/>
        <v>0</v>
      </c>
      <c r="J48" s="282" t="s">
        <v>871</v>
      </c>
      <c r="K48" s="283" t="s">
        <v>872</v>
      </c>
      <c r="L48" s="283" t="s">
        <v>873</v>
      </c>
      <c r="M48" s="283"/>
    </row>
    <row r="49" spans="1:13" ht="12.75" x14ac:dyDescent="0.25">
      <c r="A49" s="276"/>
      <c r="B49" s="1618"/>
      <c r="C49" s="575" t="s">
        <v>942</v>
      </c>
      <c r="D49" s="277" t="s">
        <v>943</v>
      </c>
      <c r="E49" s="799" t="str">
        <f>IF(VLOOKUP(D49,'EMBOP-SI_ITA'!$D$4:$D$225,1,FALSE)=D49,"YES","NO")</f>
        <v>YES</v>
      </c>
      <c r="F49" s="278" t="s">
        <v>141</v>
      </c>
      <c r="G49" s="279">
        <v>0</v>
      </c>
      <c r="H49" s="280"/>
      <c r="I49" s="281">
        <f>G49*H49</f>
        <v>0</v>
      </c>
      <c r="J49" s="282"/>
      <c r="K49" s="283" t="s">
        <v>872</v>
      </c>
      <c r="L49" s="283" t="s">
        <v>873</v>
      </c>
      <c r="M49" s="283"/>
    </row>
    <row r="50" spans="1:13" ht="12.75" x14ac:dyDescent="0.25">
      <c r="A50" s="276" t="str">
        <f>+CONCATENATE($A$33,".",TEXT(ROW(A20)-ROW($A$1),0))</f>
        <v>ESC1.3.19</v>
      </c>
      <c r="B50" s="1619"/>
      <c r="C50" s="575" t="s">
        <v>944</v>
      </c>
      <c r="D50" s="277" t="s">
        <v>945</v>
      </c>
      <c r="E50" s="799" t="str">
        <f>IF(VLOOKUP(D50,'EMBOP-SI_ITA'!$D$4:$D$225,1,FALSE)=D50,"YES","NO")</f>
        <v>YES</v>
      </c>
      <c r="F50" s="278" t="s">
        <v>141</v>
      </c>
      <c r="G50" s="279">
        <v>0</v>
      </c>
      <c r="H50" s="280"/>
      <c r="I50" s="281">
        <f t="shared" ref="I50:I70" si="5">+G50*H50</f>
        <v>0</v>
      </c>
      <c r="J50" s="282" t="s">
        <v>871</v>
      </c>
      <c r="K50" s="283" t="s">
        <v>872</v>
      </c>
      <c r="L50" s="283" t="s">
        <v>873</v>
      </c>
      <c r="M50" s="283"/>
    </row>
    <row r="51" spans="1:13" ht="33.75" customHeight="1" x14ac:dyDescent="0.25">
      <c r="A51" s="276" t="str">
        <f>+CONCATENATE($A$33,".",TEXT(ROW(A21)-ROW($A$1),0))</f>
        <v>ESC1.3.20</v>
      </c>
      <c r="B51" s="1617" t="s">
        <v>946</v>
      </c>
      <c r="C51" s="575" t="s">
        <v>947</v>
      </c>
      <c r="D51" s="277" t="s">
        <v>948</v>
      </c>
      <c r="E51" s="799" t="str">
        <f>IF(VLOOKUP(D51,'EMBOP-SI_ITA'!$D$4:$D$225,1,FALSE)=D51,"YES","NO")</f>
        <v>YES</v>
      </c>
      <c r="F51" s="278" t="s">
        <v>464</v>
      </c>
      <c r="G51" s="279">
        <v>0</v>
      </c>
      <c r="H51" s="280"/>
      <c r="I51" s="281">
        <f t="shared" si="5"/>
        <v>0</v>
      </c>
      <c r="J51" s="282" t="s">
        <v>871</v>
      </c>
      <c r="K51" s="283" t="s">
        <v>872</v>
      </c>
      <c r="L51" s="283" t="s">
        <v>873</v>
      </c>
      <c r="M51" s="283"/>
    </row>
    <row r="52" spans="1:13" ht="27.75" customHeight="1" x14ac:dyDescent="0.25">
      <c r="A52" s="276" t="str">
        <f>+CONCATENATE($A$33,".",TEXT(ROW(A22)-ROW($A$1),0))</f>
        <v>ESC1.3.21</v>
      </c>
      <c r="B52" s="1619"/>
      <c r="C52" s="575" t="s">
        <v>949</v>
      </c>
      <c r="D52" s="277" t="s">
        <v>950</v>
      </c>
      <c r="E52" s="799" t="str">
        <f>IF(VLOOKUP(D52,'EMBOP-SI_ITA'!$D$4:$D$225,1,FALSE)=D52,"YES","NO")</f>
        <v>YES</v>
      </c>
      <c r="F52" s="278" t="s">
        <v>464</v>
      </c>
      <c r="G52" s="279">
        <v>0</v>
      </c>
      <c r="H52" s="280"/>
      <c r="I52" s="281">
        <f t="shared" si="5"/>
        <v>0</v>
      </c>
      <c r="J52" s="282" t="s">
        <v>871</v>
      </c>
      <c r="K52" s="283" t="s">
        <v>872</v>
      </c>
      <c r="L52" s="283" t="s">
        <v>873</v>
      </c>
      <c r="M52" s="283"/>
    </row>
    <row r="53" spans="1:13" s="614" customFormat="1" ht="14.65" customHeight="1" x14ac:dyDescent="0.25">
      <c r="A53" s="537"/>
      <c r="B53" s="1617" t="s">
        <v>951</v>
      </c>
      <c r="C53" s="605" t="s">
        <v>952</v>
      </c>
      <c r="D53" s="554" t="s">
        <v>953</v>
      </c>
      <c r="E53" s="801" t="str">
        <f>IF(VLOOKUP(D53,'EMBOP-SI_ITA'!$D$4:$D$225,1,FALSE)=D53,"YES","NO")</f>
        <v>YES</v>
      </c>
      <c r="F53" s="278" t="s">
        <v>141</v>
      </c>
      <c r="G53" s="279">
        <v>0</v>
      </c>
      <c r="H53" s="280"/>
      <c r="I53" s="281">
        <f t="shared" si="5"/>
        <v>0</v>
      </c>
      <c r="J53" s="282" t="s">
        <v>871</v>
      </c>
      <c r="K53" s="283" t="s">
        <v>883</v>
      </c>
      <c r="L53" s="283" t="s">
        <v>873</v>
      </c>
      <c r="M53" s="615"/>
    </row>
    <row r="54" spans="1:13" s="614" customFormat="1" ht="12.75" x14ac:dyDescent="0.25">
      <c r="A54" s="537"/>
      <c r="B54" s="1620"/>
      <c r="C54" s="605" t="s">
        <v>954</v>
      </c>
      <c r="D54" s="554" t="s">
        <v>955</v>
      </c>
      <c r="E54" s="801" t="str">
        <f>IF(VLOOKUP(D54,'EMBOP-SI_ITA'!$D$4:$D$225,1,FALSE)=D54,"YES","NO")</f>
        <v>YES</v>
      </c>
      <c r="F54" s="278" t="s">
        <v>141</v>
      </c>
      <c r="G54" s="279">
        <v>0</v>
      </c>
      <c r="H54" s="280"/>
      <c r="I54" s="281">
        <f t="shared" si="5"/>
        <v>0</v>
      </c>
      <c r="J54" s="282" t="s">
        <v>871</v>
      </c>
      <c r="K54" s="283" t="s">
        <v>883</v>
      </c>
      <c r="L54" s="283" t="s">
        <v>873</v>
      </c>
      <c r="M54" s="615"/>
    </row>
    <row r="55" spans="1:13" s="614" customFormat="1" ht="12.75" x14ac:dyDescent="0.25">
      <c r="A55" s="537"/>
      <c r="B55" s="1620"/>
      <c r="C55" s="605" t="s">
        <v>956</v>
      </c>
      <c r="D55" s="554" t="s">
        <v>957</v>
      </c>
      <c r="E55" s="801" t="str">
        <f>IF(VLOOKUP(D55,'EMBOP-SI_ITA'!$D$4:$D$225,1,FALSE)=D55,"YES","NO")</f>
        <v>YES</v>
      </c>
      <c r="F55" s="278" t="s">
        <v>141</v>
      </c>
      <c r="G55" s="279">
        <v>0</v>
      </c>
      <c r="H55" s="280"/>
      <c r="I55" s="281">
        <f t="shared" si="5"/>
        <v>0</v>
      </c>
      <c r="J55" s="282" t="s">
        <v>871</v>
      </c>
      <c r="K55" s="283" t="s">
        <v>883</v>
      </c>
      <c r="L55" s="283" t="s">
        <v>873</v>
      </c>
      <c r="M55" s="615"/>
    </row>
    <row r="56" spans="1:13" s="614" customFormat="1" ht="12.75" x14ac:dyDescent="0.25">
      <c r="A56" s="537"/>
      <c r="B56" s="1620"/>
      <c r="C56" s="605" t="s">
        <v>958</v>
      </c>
      <c r="D56" s="554" t="s">
        <v>959</v>
      </c>
      <c r="E56" s="801" t="str">
        <f>IF(VLOOKUP(D56,'EMBOP-SI_ITA'!$D$4:$D$225,1,FALSE)=D56,"YES","NO")</f>
        <v>YES</v>
      </c>
      <c r="F56" s="278" t="s">
        <v>141</v>
      </c>
      <c r="G56" s="279">
        <v>0</v>
      </c>
      <c r="H56" s="280"/>
      <c r="I56" s="281">
        <f t="shared" si="5"/>
        <v>0</v>
      </c>
      <c r="J56" s="282" t="s">
        <v>871</v>
      </c>
      <c r="K56" s="283" t="s">
        <v>883</v>
      </c>
      <c r="L56" s="283" t="s">
        <v>873</v>
      </c>
      <c r="M56" s="615"/>
    </row>
    <row r="57" spans="1:13" s="614" customFormat="1" ht="12.75" x14ac:dyDescent="0.25">
      <c r="A57" s="537"/>
      <c r="B57" s="1620"/>
      <c r="C57" s="605" t="s">
        <v>960</v>
      </c>
      <c r="D57" s="554" t="s">
        <v>961</v>
      </c>
      <c r="E57" s="801" t="str">
        <f>IF(VLOOKUP(D57,'EMBOP-SI_ITA'!$D$4:$D$225,1,FALSE)=D57,"YES","NO")</f>
        <v>YES</v>
      </c>
      <c r="F57" s="278" t="s">
        <v>141</v>
      </c>
      <c r="G57" s="279">
        <v>0</v>
      </c>
      <c r="H57" s="280"/>
      <c r="I57" s="281">
        <f t="shared" si="5"/>
        <v>0</v>
      </c>
      <c r="J57" s="282" t="s">
        <v>871</v>
      </c>
      <c r="K57" s="283" t="s">
        <v>883</v>
      </c>
      <c r="L57" s="283" t="s">
        <v>873</v>
      </c>
      <c r="M57" s="615"/>
    </row>
    <row r="58" spans="1:13" s="614" customFormat="1" ht="12.75" x14ac:dyDescent="0.25">
      <c r="A58" s="537"/>
      <c r="B58" s="1620"/>
      <c r="C58" s="605" t="s">
        <v>962</v>
      </c>
      <c r="D58" s="554" t="s">
        <v>963</v>
      </c>
      <c r="E58" s="801" t="str">
        <f>IF(VLOOKUP(D58,'EMBOP-SI_ITA'!$D$4:$D$225,1,FALSE)=D58,"YES","NO")</f>
        <v>YES</v>
      </c>
      <c r="F58" s="278" t="s">
        <v>141</v>
      </c>
      <c r="G58" s="279">
        <v>0</v>
      </c>
      <c r="H58" s="280"/>
      <c r="I58" s="281">
        <f t="shared" si="5"/>
        <v>0</v>
      </c>
      <c r="J58" s="282" t="s">
        <v>871</v>
      </c>
      <c r="K58" s="283" t="s">
        <v>883</v>
      </c>
      <c r="L58" s="283" t="s">
        <v>873</v>
      </c>
      <c r="M58" s="615"/>
    </row>
    <row r="59" spans="1:13" s="614" customFormat="1" ht="12.75" x14ac:dyDescent="0.25">
      <c r="A59" s="537"/>
      <c r="B59" s="1620"/>
      <c r="C59" s="605" t="s">
        <v>964</v>
      </c>
      <c r="D59" s="554" t="s">
        <v>965</v>
      </c>
      <c r="E59" s="801" t="str">
        <f>IF(VLOOKUP(D59,'EMBOP-SI_ITA'!$D$4:$D$225,1,FALSE)=D59,"YES","NO")</f>
        <v>YES</v>
      </c>
      <c r="F59" s="278" t="s">
        <v>141</v>
      </c>
      <c r="G59" s="279">
        <v>0</v>
      </c>
      <c r="H59" s="280"/>
      <c r="I59" s="281">
        <f t="shared" si="5"/>
        <v>0</v>
      </c>
      <c r="J59" s="282" t="s">
        <v>871</v>
      </c>
      <c r="K59" s="283" t="s">
        <v>883</v>
      </c>
      <c r="L59" s="283" t="s">
        <v>873</v>
      </c>
      <c r="M59" s="615"/>
    </row>
    <row r="60" spans="1:13" s="614" customFormat="1" ht="12.75" x14ac:dyDescent="0.25">
      <c r="A60" s="537"/>
      <c r="B60" s="1620"/>
      <c r="C60" s="605" t="s">
        <v>966</v>
      </c>
      <c r="D60" s="554" t="s">
        <v>967</v>
      </c>
      <c r="E60" s="801" t="str">
        <f>IF(VLOOKUP(D60,'EMBOP-SI_ITA'!$D$4:$D$225,1,FALSE)=D60,"YES","NO")</f>
        <v>YES</v>
      </c>
      <c r="F60" s="278" t="s">
        <v>141</v>
      </c>
      <c r="G60" s="279">
        <v>0</v>
      </c>
      <c r="H60" s="280"/>
      <c r="I60" s="281">
        <f t="shared" si="5"/>
        <v>0</v>
      </c>
      <c r="J60" s="282" t="s">
        <v>871</v>
      </c>
      <c r="K60" s="283" t="s">
        <v>883</v>
      </c>
      <c r="L60" s="283" t="s">
        <v>873</v>
      </c>
      <c r="M60" s="615"/>
    </row>
    <row r="61" spans="1:13" s="614" customFormat="1" ht="12.75" x14ac:dyDescent="0.25">
      <c r="A61" s="537"/>
      <c r="B61" s="1620"/>
      <c r="C61" s="605" t="s">
        <v>968</v>
      </c>
      <c r="D61" s="277" t="s">
        <v>969</v>
      </c>
      <c r="E61" s="799" t="str">
        <f>IF(VLOOKUP(D61,'EMBOP-SI_ITA'!$D$4:$D$225,1,FALSE)=D61,"YES","NO")</f>
        <v>YES</v>
      </c>
      <c r="F61" s="278" t="s">
        <v>141</v>
      </c>
      <c r="G61" s="279">
        <v>0</v>
      </c>
      <c r="H61" s="280"/>
      <c r="I61" s="281">
        <f t="shared" si="5"/>
        <v>0</v>
      </c>
      <c r="J61" s="282" t="s">
        <v>871</v>
      </c>
      <c r="K61" s="283" t="s">
        <v>883</v>
      </c>
      <c r="L61" s="283" t="s">
        <v>873</v>
      </c>
      <c r="M61" s="615"/>
    </row>
    <row r="62" spans="1:13" s="614" customFormat="1" ht="12.75" x14ac:dyDescent="0.25">
      <c r="A62" s="537"/>
      <c r="B62" s="1621"/>
      <c r="C62" s="605" t="s">
        <v>970</v>
      </c>
      <c r="D62" s="554" t="s">
        <v>971</v>
      </c>
      <c r="E62" s="801" t="str">
        <f>IF(VLOOKUP(D62,'EMBOP-SI_ITA'!$D$4:$D$225,1,FALSE)=D62,"YES","NO")</f>
        <v>YES</v>
      </c>
      <c r="F62" s="278" t="s">
        <v>141</v>
      </c>
      <c r="G62" s="279">
        <v>0</v>
      </c>
      <c r="H62" s="280"/>
      <c r="I62" s="281">
        <f t="shared" si="5"/>
        <v>0</v>
      </c>
      <c r="J62" s="282" t="s">
        <v>871</v>
      </c>
      <c r="K62" s="283" t="s">
        <v>883</v>
      </c>
      <c r="L62" s="283" t="s">
        <v>873</v>
      </c>
      <c r="M62" s="615"/>
    </row>
    <row r="63" spans="1:13" ht="14.65" customHeight="1" x14ac:dyDescent="0.25">
      <c r="A63" s="276" t="e">
        <f>+CONCATENATE($A$33,".",TEXT(ROW(#REF!)-ROW($A$1),0))</f>
        <v>#REF!</v>
      </c>
      <c r="B63" s="1617" t="s">
        <v>972</v>
      </c>
      <c r="C63" s="605" t="s">
        <v>354</v>
      </c>
      <c r="D63" s="277" t="s">
        <v>355</v>
      </c>
      <c r="E63" s="799" t="str">
        <f>IF(VLOOKUP(D63,'EMBOP-SI_ITA'!$D$4:$D$225,1,FALSE)=D63,"YES","NO")</f>
        <v>YES</v>
      </c>
      <c r="F63" s="278" t="s">
        <v>345</v>
      </c>
      <c r="G63" s="279">
        <v>0</v>
      </c>
      <c r="H63" s="280"/>
      <c r="I63" s="281">
        <f t="shared" si="5"/>
        <v>0</v>
      </c>
      <c r="J63" s="282" t="s">
        <v>871</v>
      </c>
      <c r="K63" s="283" t="s">
        <v>883</v>
      </c>
      <c r="L63" s="283" t="s">
        <v>873</v>
      </c>
      <c r="M63" s="283"/>
    </row>
    <row r="64" spans="1:13" ht="12.75" x14ac:dyDescent="0.25">
      <c r="A64" s="276" t="e">
        <f>+CONCATENATE($A$33,".",TEXT(ROW(#REF!)-ROW($A$1),0))</f>
        <v>#REF!</v>
      </c>
      <c r="B64" s="1620"/>
      <c r="C64" s="605" t="s">
        <v>358</v>
      </c>
      <c r="D64" s="277" t="s">
        <v>359</v>
      </c>
      <c r="E64" s="799" t="str">
        <f>IF(VLOOKUP(D64,'EMBOP-SI_ITA'!$D$4:$D$225,1,FALSE)=D64,"YES","NO")</f>
        <v>YES</v>
      </c>
      <c r="F64" s="278" t="s">
        <v>345</v>
      </c>
      <c r="G64" s="279">
        <v>0</v>
      </c>
      <c r="H64" s="280"/>
      <c r="I64" s="281">
        <f t="shared" si="5"/>
        <v>0</v>
      </c>
      <c r="J64" s="282" t="s">
        <v>871</v>
      </c>
      <c r="K64" s="283" t="s">
        <v>883</v>
      </c>
      <c r="L64" s="283" t="s">
        <v>873</v>
      </c>
      <c r="M64" s="283"/>
    </row>
    <row r="65" spans="1:13" ht="12.75" x14ac:dyDescent="0.25">
      <c r="A65" s="276" t="e">
        <f>+CONCATENATE($A$33,".",TEXT(ROW(#REF!)-ROW($A$1),0))</f>
        <v>#REF!</v>
      </c>
      <c r="B65" s="1620"/>
      <c r="C65" s="605" t="s">
        <v>362</v>
      </c>
      <c r="D65" s="277" t="s">
        <v>363</v>
      </c>
      <c r="E65" s="799" t="str">
        <f>IF(VLOOKUP(D65,'EMBOP-SI_ITA'!$D$4:$D$225,1,FALSE)=D65,"YES","NO")</f>
        <v>YES</v>
      </c>
      <c r="F65" s="278" t="s">
        <v>345</v>
      </c>
      <c r="G65" s="279">
        <v>0</v>
      </c>
      <c r="H65" s="280"/>
      <c r="I65" s="281">
        <f t="shared" si="5"/>
        <v>0</v>
      </c>
      <c r="J65" s="282" t="s">
        <v>871</v>
      </c>
      <c r="K65" s="283" t="s">
        <v>883</v>
      </c>
      <c r="L65" s="283" t="s">
        <v>873</v>
      </c>
      <c r="M65" s="283"/>
    </row>
    <row r="66" spans="1:13" ht="12.75" x14ac:dyDescent="0.25">
      <c r="A66" s="276" t="str">
        <f>+CONCATENATE($A$33,".",TEXT(ROW(A29)-ROW($A$1),0))</f>
        <v>ESC1.3.28</v>
      </c>
      <c r="B66" s="1620"/>
      <c r="C66" s="605" t="s">
        <v>366</v>
      </c>
      <c r="D66" s="277" t="s">
        <v>367</v>
      </c>
      <c r="E66" s="799" t="str">
        <f>IF(VLOOKUP(D66,'EMBOP-SI_ITA'!$D$4:$D$225,1,FALSE)=D66,"YES","NO")</f>
        <v>YES</v>
      </c>
      <c r="F66" s="278" t="s">
        <v>345</v>
      </c>
      <c r="G66" s="279">
        <v>0</v>
      </c>
      <c r="H66" s="280"/>
      <c r="I66" s="281">
        <f t="shared" si="5"/>
        <v>0</v>
      </c>
      <c r="J66" s="282" t="s">
        <v>871</v>
      </c>
      <c r="K66" s="283" t="s">
        <v>883</v>
      </c>
      <c r="L66" s="283" t="s">
        <v>873</v>
      </c>
      <c r="M66" s="283"/>
    </row>
    <row r="67" spans="1:13" ht="12.75" x14ac:dyDescent="0.25">
      <c r="A67" s="276" t="str">
        <f>+CONCATENATE($A$33,".",TEXT(ROW(A30)-ROW($A$1),0))</f>
        <v>ESC1.3.29</v>
      </c>
      <c r="B67" s="1620"/>
      <c r="C67" s="605" t="s">
        <v>370</v>
      </c>
      <c r="D67" s="277" t="s">
        <v>371</v>
      </c>
      <c r="E67" s="799" t="str">
        <f>IF(VLOOKUP(D67,'EMBOP-SI_ITA'!$D$4:$D$225,1,FALSE)=D67,"YES","NO")</f>
        <v>YES</v>
      </c>
      <c r="F67" s="278" t="s">
        <v>345</v>
      </c>
      <c r="G67" s="279">
        <v>0</v>
      </c>
      <c r="H67" s="280"/>
      <c r="I67" s="281">
        <f t="shared" si="5"/>
        <v>0</v>
      </c>
      <c r="J67" s="282" t="s">
        <v>871</v>
      </c>
      <c r="K67" s="283" t="s">
        <v>883</v>
      </c>
      <c r="L67" s="283" t="s">
        <v>873</v>
      </c>
      <c r="M67" s="283"/>
    </row>
    <row r="68" spans="1:13" ht="12.75" x14ac:dyDescent="0.25">
      <c r="A68" s="276" t="str">
        <f>+CONCATENATE($A$33,".",TEXT(ROW(A31)-ROW($A$1),0))</f>
        <v>ESC1.3.30</v>
      </c>
      <c r="B68" s="1620"/>
      <c r="C68" s="605" t="s">
        <v>374</v>
      </c>
      <c r="D68" s="277" t="s">
        <v>375</v>
      </c>
      <c r="E68" s="799" t="str">
        <f>IF(VLOOKUP(D68,'EMBOP-SI_ITA'!$D$4:$D$225,1,FALSE)=D68,"YES","NO")</f>
        <v>YES</v>
      </c>
      <c r="F68" s="278" t="s">
        <v>345</v>
      </c>
      <c r="G68" s="279">
        <v>0</v>
      </c>
      <c r="H68" s="280"/>
      <c r="I68" s="281">
        <f t="shared" si="5"/>
        <v>0</v>
      </c>
      <c r="J68" s="282" t="s">
        <v>871</v>
      </c>
      <c r="K68" s="283" t="s">
        <v>883</v>
      </c>
      <c r="L68" s="283" t="s">
        <v>873</v>
      </c>
      <c r="M68" s="283"/>
    </row>
    <row r="69" spans="1:13" ht="12.75" x14ac:dyDescent="0.25">
      <c r="A69" s="276" t="str">
        <f>+CONCATENATE($A$33,".",TEXT(ROW(A32)-ROW($A$1),0))</f>
        <v>ESC1.3.31</v>
      </c>
      <c r="B69" s="1621"/>
      <c r="C69" s="605" t="s">
        <v>378</v>
      </c>
      <c r="D69" s="277" t="s">
        <v>379</v>
      </c>
      <c r="E69" s="799" t="str">
        <f>IF(VLOOKUP(D69,'EMBOP-SI_ITA'!$D$4:$D$225,1,FALSE)=D69,"YES","NO")</f>
        <v>YES</v>
      </c>
      <c r="F69" s="278" t="s">
        <v>345</v>
      </c>
      <c r="G69" s="279">
        <v>0</v>
      </c>
      <c r="H69" s="280"/>
      <c r="I69" s="281">
        <f t="shared" si="5"/>
        <v>0</v>
      </c>
      <c r="J69" s="282" t="s">
        <v>871</v>
      </c>
      <c r="K69" s="283" t="s">
        <v>883</v>
      </c>
      <c r="L69" s="283" t="s">
        <v>873</v>
      </c>
      <c r="M69" s="283"/>
    </row>
    <row r="70" spans="1:13" ht="38.25" x14ac:dyDescent="0.25">
      <c r="A70" s="631" t="str">
        <f>+CONCATENATE($A$33,".",TEXT(ROW(A33)-ROW($A$1),0))</f>
        <v>ESC1.3.32</v>
      </c>
      <c r="B70" s="637" t="s">
        <v>973</v>
      </c>
      <c r="C70" s="684" t="s">
        <v>772</v>
      </c>
      <c r="D70" s="626" t="s">
        <v>773</v>
      </c>
      <c r="E70" s="800" t="str">
        <f>IF(VLOOKUP(D70,'EMBOP-SI_ITA'!$D$4:$D$225,1,FALSE)=D70,"YES","NO")</f>
        <v>YES</v>
      </c>
      <c r="F70" s="625" t="s">
        <v>974</v>
      </c>
      <c r="G70" s="624">
        <v>0</v>
      </c>
      <c r="H70" s="623"/>
      <c r="I70" s="622">
        <f t="shared" si="5"/>
        <v>0</v>
      </c>
      <c r="J70" s="621" t="s">
        <v>871</v>
      </c>
      <c r="K70" s="620" t="s">
        <v>883</v>
      </c>
      <c r="L70" s="620" t="s">
        <v>873</v>
      </c>
      <c r="M70" s="620"/>
    </row>
    <row r="71" spans="1:13" s="275" customFormat="1" ht="25.5" x14ac:dyDescent="0.25">
      <c r="A71" s="553" t="s">
        <v>975</v>
      </c>
      <c r="B71" s="551"/>
      <c r="C71" s="551"/>
      <c r="D71" s="552" t="s">
        <v>976</v>
      </c>
      <c r="E71" s="798" t="str">
        <f>IF(VLOOKUP(D71,'EMBOP-SI_ITA'!$D$4:$D$225,1,FALSE)=D71,"YES","NO")</f>
        <v>YES</v>
      </c>
      <c r="F71" s="551"/>
      <c r="G71" s="567"/>
      <c r="H71" s="565"/>
      <c r="I71" s="565"/>
      <c r="J71" s="549"/>
      <c r="K71" s="548"/>
      <c r="L71" s="548"/>
      <c r="M71" s="548"/>
    </row>
    <row r="72" spans="1:13" ht="38.25" x14ac:dyDescent="0.25">
      <c r="A72" s="276" t="str">
        <f>+CONCATENATE($A$71,".",TEXT(ROW(A2)-ROW($A$1),0))</f>
        <v>ESC1.4.1</v>
      </c>
      <c r="B72" s="608" t="s">
        <v>977</v>
      </c>
      <c r="C72" s="609" t="s">
        <v>978</v>
      </c>
      <c r="D72" s="277" t="s">
        <v>979</v>
      </c>
      <c r="E72" s="801" t="str">
        <f>IF(VLOOKUP(D72,'EMBOP-SI_ITA'!$D$4:$D$225,1,FALSE)=D72,"YES","NO")</f>
        <v>YES</v>
      </c>
      <c r="F72" s="562" t="s">
        <v>464</v>
      </c>
      <c r="G72" s="613">
        <v>0</v>
      </c>
      <c r="H72" s="612"/>
      <c r="I72" s="611">
        <f>+G72*H72</f>
        <v>0</v>
      </c>
      <c r="J72" s="560" t="s">
        <v>871</v>
      </c>
      <c r="K72" s="559" t="s">
        <v>872</v>
      </c>
      <c r="L72" s="559" t="s">
        <v>873</v>
      </c>
      <c r="M72" s="283"/>
    </row>
    <row r="73" spans="1:13" ht="51" x14ac:dyDescent="0.25">
      <c r="A73" s="276" t="str">
        <f>+CONCATENATE($A$71,".",TEXT(ROW(A3)-ROW($A$1),0))</f>
        <v>ESC1.4.2</v>
      </c>
      <c r="B73" s="610" t="s">
        <v>980</v>
      </c>
      <c r="C73" s="609" t="s">
        <v>469</v>
      </c>
      <c r="D73" s="277" t="s">
        <v>981</v>
      </c>
      <c r="E73" s="799" t="str">
        <f>IF(VLOOKUP(D73,'EMBOP-SI_ITA'!$D$4:$D$225,1,FALSE)=D73,"YES","NO")</f>
        <v>YES</v>
      </c>
      <c r="F73" s="278" t="s">
        <v>464</v>
      </c>
      <c r="G73" s="279">
        <v>0</v>
      </c>
      <c r="H73" s="280"/>
      <c r="I73" s="281">
        <f>+G73*H73</f>
        <v>0</v>
      </c>
      <c r="J73" s="282" t="s">
        <v>871</v>
      </c>
      <c r="K73" s="283" t="s">
        <v>872</v>
      </c>
      <c r="L73" s="283" t="s">
        <v>873</v>
      </c>
      <c r="M73" s="283"/>
    </row>
    <row r="74" spans="1:13" ht="63.75" x14ac:dyDescent="0.25">
      <c r="A74" s="276" t="str">
        <f>+CONCATENATE($A$71,".",TEXT(ROW(A4)-ROW($A$1),0))</f>
        <v>ESC1.4.3</v>
      </c>
      <c r="B74" s="608" t="s">
        <v>982</v>
      </c>
      <c r="C74" s="607" t="s">
        <v>983</v>
      </c>
      <c r="D74" s="277" t="s">
        <v>984</v>
      </c>
      <c r="E74" s="799" t="str">
        <f>IF(VLOOKUP(D74,'EMBOP-SI_ITA'!$D$4:$D$225,1,FALSE)=D74,"YES","NO")</f>
        <v>YES</v>
      </c>
      <c r="F74" s="278" t="s">
        <v>464</v>
      </c>
      <c r="G74" s="279">
        <v>0</v>
      </c>
      <c r="H74" s="280"/>
      <c r="I74" s="281">
        <f>+G74*H74</f>
        <v>0</v>
      </c>
      <c r="J74" s="282" t="s">
        <v>871</v>
      </c>
      <c r="K74" s="283" t="s">
        <v>883</v>
      </c>
      <c r="L74" s="283" t="s">
        <v>873</v>
      </c>
      <c r="M74" s="283"/>
    </row>
    <row r="75" spans="1:13" ht="63.75" x14ac:dyDescent="0.25">
      <c r="A75" s="276" t="str">
        <f>+CONCATENATE($A$71,".",TEXT(ROW(A5)-ROW($A$1),0))</f>
        <v>ESC1.4.4</v>
      </c>
      <c r="B75" s="577" t="s">
        <v>985</v>
      </c>
      <c r="C75" s="607" t="s">
        <v>986</v>
      </c>
      <c r="D75" s="277" t="s">
        <v>987</v>
      </c>
      <c r="E75" s="799" t="str">
        <f>IF(VLOOKUP(D75,'EMBOP-SI_ITA'!$D$4:$D$225,1,FALSE)=D75,"YES","NO")</f>
        <v>YES</v>
      </c>
      <c r="F75" s="278" t="s">
        <v>464</v>
      </c>
      <c r="G75" s="279">
        <v>0</v>
      </c>
      <c r="H75" s="280"/>
      <c r="I75" s="281">
        <f>+G75*H75</f>
        <v>0</v>
      </c>
      <c r="J75" s="282" t="s">
        <v>871</v>
      </c>
      <c r="K75" s="283" t="s">
        <v>883</v>
      </c>
      <c r="L75" s="283" t="s">
        <v>873</v>
      </c>
      <c r="M75" s="283"/>
    </row>
    <row r="76" spans="1:13" ht="38.25" x14ac:dyDescent="0.25">
      <c r="A76" s="631" t="str">
        <f>+CONCATENATE($A$71,".",TEXT(ROW(A6)-ROW($A$1),0))</f>
        <v>ESC1.4.5</v>
      </c>
      <c r="B76" s="637" t="s">
        <v>988</v>
      </c>
      <c r="C76" s="684" t="s">
        <v>788</v>
      </c>
      <c r="D76" s="626" t="s">
        <v>789</v>
      </c>
      <c r="E76" s="800" t="str">
        <f>IF(VLOOKUP(D76,'EMBOP-SI_ITA'!$D$4:$D$225,1,FALSE)=D76,"YES","NO")</f>
        <v>YES</v>
      </c>
      <c r="F76" s="625" t="s">
        <v>464</v>
      </c>
      <c r="G76" s="624">
        <v>0</v>
      </c>
      <c r="H76" s="623"/>
      <c r="I76" s="622">
        <f>+G76*H76</f>
        <v>0</v>
      </c>
      <c r="J76" s="621" t="s">
        <v>871</v>
      </c>
      <c r="K76" s="620" t="s">
        <v>883</v>
      </c>
      <c r="L76" s="620" t="s">
        <v>873</v>
      </c>
      <c r="M76" s="620"/>
    </row>
    <row r="77" spans="1:13" s="275" customFormat="1" ht="12.75" x14ac:dyDescent="0.25">
      <c r="A77" s="553" t="s">
        <v>989</v>
      </c>
      <c r="B77" s="551"/>
      <c r="C77" s="551"/>
      <c r="D77" s="552" t="s">
        <v>990</v>
      </c>
      <c r="E77" s="798" t="str">
        <f>IF(VLOOKUP(D77,'EMBOP-SI_ITA'!$D$4:$D$225,1,FALSE)=D77,"YES","NO")</f>
        <v>YES</v>
      </c>
      <c r="F77" s="551"/>
      <c r="G77" s="567"/>
      <c r="H77" s="565"/>
      <c r="I77" s="565"/>
      <c r="J77" s="549"/>
      <c r="K77" s="548"/>
      <c r="L77" s="548"/>
      <c r="M77" s="548"/>
    </row>
    <row r="78" spans="1:13" ht="12.75" x14ac:dyDescent="0.25">
      <c r="A78" s="276"/>
      <c r="B78" s="1617" t="s">
        <v>991</v>
      </c>
      <c r="C78" s="575" t="s">
        <v>992</v>
      </c>
      <c r="D78" s="277" t="s">
        <v>993</v>
      </c>
      <c r="E78" s="799" t="str">
        <f>IF(VLOOKUP(D78,'EMBOP-SI_ITA'!$D$4:$D$225,1,FALSE)=D78,"YES","NO")</f>
        <v>YES</v>
      </c>
      <c r="F78" s="278" t="s">
        <v>464</v>
      </c>
      <c r="G78" s="279">
        <v>0</v>
      </c>
      <c r="H78" s="280"/>
      <c r="I78" s="281">
        <f t="shared" ref="I78:I106" si="6">+G78*H78</f>
        <v>0</v>
      </c>
      <c r="J78" s="282" t="s">
        <v>871</v>
      </c>
      <c r="K78" s="283" t="s">
        <v>872</v>
      </c>
      <c r="L78" s="283" t="s">
        <v>873</v>
      </c>
      <c r="M78" s="283"/>
    </row>
    <row r="79" spans="1:13" ht="12.75" x14ac:dyDescent="0.25">
      <c r="A79" s="276"/>
      <c r="B79" s="1618"/>
      <c r="C79" s="575" t="s">
        <v>994</v>
      </c>
      <c r="D79" s="277" t="s">
        <v>995</v>
      </c>
      <c r="E79" s="799" t="str">
        <f>IF(VLOOKUP(D79,'EMBOP-SI_ITA'!$D$4:$D$225,1,FALSE)=D79,"YES","NO")</f>
        <v>YES</v>
      </c>
      <c r="F79" s="278" t="s">
        <v>464</v>
      </c>
      <c r="G79" s="279">
        <v>0</v>
      </c>
      <c r="H79" s="280"/>
      <c r="I79" s="281">
        <f t="shared" si="6"/>
        <v>0</v>
      </c>
      <c r="J79" s="282" t="s">
        <v>871</v>
      </c>
      <c r="K79" s="283" t="s">
        <v>872</v>
      </c>
      <c r="L79" s="283" t="s">
        <v>873</v>
      </c>
      <c r="M79" s="283"/>
    </row>
    <row r="80" spans="1:13" ht="12.75" x14ac:dyDescent="0.25">
      <c r="A80" s="276"/>
      <c r="B80" s="1618"/>
      <c r="C80" s="575" t="s">
        <v>996</v>
      </c>
      <c r="D80" s="277" t="s">
        <v>997</v>
      </c>
      <c r="E80" s="799" t="str">
        <f>IF(VLOOKUP(D80,'EMBOP-SI_ITA'!$D$4:$D$225,1,FALSE)=D80,"YES","NO")</f>
        <v>YES</v>
      </c>
      <c r="F80" s="278" t="s">
        <v>464</v>
      </c>
      <c r="G80" s="279">
        <v>0</v>
      </c>
      <c r="H80" s="280"/>
      <c r="I80" s="281">
        <f t="shared" si="6"/>
        <v>0</v>
      </c>
      <c r="J80" s="282" t="s">
        <v>871</v>
      </c>
      <c r="K80" s="283" t="s">
        <v>872</v>
      </c>
      <c r="L80" s="283" t="s">
        <v>873</v>
      </c>
      <c r="M80" s="283"/>
    </row>
    <row r="81" spans="1:13" ht="12.75" x14ac:dyDescent="0.25">
      <c r="A81" s="276"/>
      <c r="B81" s="1619"/>
      <c r="C81" s="575" t="s">
        <v>998</v>
      </c>
      <c r="D81" s="277" t="s">
        <v>999</v>
      </c>
      <c r="E81" s="799" t="str">
        <f>IF(VLOOKUP(D81,'EMBOP-SI_ITA'!$D$4:$D$225,1,FALSE)=D81,"YES","NO")</f>
        <v>YES</v>
      </c>
      <c r="F81" s="278" t="s">
        <v>464</v>
      </c>
      <c r="G81" s="279">
        <v>0</v>
      </c>
      <c r="H81" s="280"/>
      <c r="I81" s="281">
        <f t="shared" si="6"/>
        <v>0</v>
      </c>
      <c r="J81" s="282" t="s">
        <v>871</v>
      </c>
      <c r="K81" s="283" t="s">
        <v>872</v>
      </c>
      <c r="L81" s="283" t="s">
        <v>873</v>
      </c>
      <c r="M81" s="283"/>
    </row>
    <row r="82" spans="1:13" ht="12.75" x14ac:dyDescent="0.25">
      <c r="A82" s="276"/>
      <c r="B82" s="1629" t="s">
        <v>991</v>
      </c>
      <c r="C82" s="575" t="s">
        <v>1000</v>
      </c>
      <c r="D82" s="277" t="s">
        <v>1001</v>
      </c>
      <c r="E82" s="799" t="str">
        <f>IF(VLOOKUP(D82,'EMBOP-SI_ITA'!$D$4:$D$225,1,FALSE)=D82,"YES","NO")</f>
        <v>YES</v>
      </c>
      <c r="F82" s="278" t="s">
        <v>464</v>
      </c>
      <c r="G82" s="279">
        <v>0</v>
      </c>
      <c r="H82" s="280"/>
      <c r="I82" s="281">
        <f t="shared" si="6"/>
        <v>0</v>
      </c>
      <c r="J82" s="282" t="s">
        <v>871</v>
      </c>
      <c r="K82" s="283" t="s">
        <v>872</v>
      </c>
      <c r="L82" s="283" t="s">
        <v>873</v>
      </c>
      <c r="M82" s="283"/>
    </row>
    <row r="83" spans="1:13" ht="12.75" x14ac:dyDescent="0.25">
      <c r="A83" s="276"/>
      <c r="B83" s="1618"/>
      <c r="C83" s="575" t="s">
        <v>1002</v>
      </c>
      <c r="D83" s="277" t="s">
        <v>1003</v>
      </c>
      <c r="E83" s="799" t="str">
        <f>IF(VLOOKUP(D83,'EMBOP-SI_ITA'!$D$4:$D$225,1,FALSE)=D83,"YES","NO")</f>
        <v>YES</v>
      </c>
      <c r="F83" s="278" t="s">
        <v>464</v>
      </c>
      <c r="G83" s="279">
        <v>0</v>
      </c>
      <c r="H83" s="280"/>
      <c r="I83" s="281">
        <f t="shared" si="6"/>
        <v>0</v>
      </c>
      <c r="J83" s="282" t="s">
        <v>871</v>
      </c>
      <c r="K83" s="283" t="s">
        <v>872</v>
      </c>
      <c r="L83" s="283" t="s">
        <v>873</v>
      </c>
      <c r="M83" s="283"/>
    </row>
    <row r="84" spans="1:13" ht="26.25" customHeight="1" x14ac:dyDescent="0.25">
      <c r="A84" s="276"/>
      <c r="B84" s="1618"/>
      <c r="C84" s="575" t="s">
        <v>1004</v>
      </c>
      <c r="D84" s="277" t="s">
        <v>1005</v>
      </c>
      <c r="E84" s="799" t="str">
        <f>IF(VLOOKUP(D84,'EMBOP-SI_ITA'!$D$4:$D$225,1,FALSE)=D84,"YES","NO")</f>
        <v>YES</v>
      </c>
      <c r="F84" s="278" t="s">
        <v>464</v>
      </c>
      <c r="G84" s="279">
        <v>0</v>
      </c>
      <c r="H84" s="280"/>
      <c r="I84" s="281">
        <f t="shared" si="6"/>
        <v>0</v>
      </c>
      <c r="J84" s="282" t="s">
        <v>871</v>
      </c>
      <c r="K84" s="283" t="s">
        <v>872</v>
      </c>
      <c r="L84" s="283" t="s">
        <v>873</v>
      </c>
      <c r="M84" s="283"/>
    </row>
    <row r="85" spans="1:13" ht="12.75" x14ac:dyDescent="0.25">
      <c r="A85" s="276"/>
      <c r="B85" s="1618"/>
      <c r="C85" s="575" t="s">
        <v>1006</v>
      </c>
      <c r="D85" s="277" t="s">
        <v>1007</v>
      </c>
      <c r="E85" s="799" t="str">
        <f>IF(VLOOKUP(D85,'EMBOP-SI_ITA'!$D$4:$D$225,1,FALSE)=D85,"YES","NO")</f>
        <v>YES</v>
      </c>
      <c r="F85" s="278" t="s">
        <v>464</v>
      </c>
      <c r="G85" s="279">
        <v>0</v>
      </c>
      <c r="H85" s="280"/>
      <c r="I85" s="281">
        <f t="shared" si="6"/>
        <v>0</v>
      </c>
      <c r="J85" s="282" t="s">
        <v>871</v>
      </c>
      <c r="K85" s="283" t="s">
        <v>872</v>
      </c>
      <c r="L85" s="283" t="s">
        <v>873</v>
      </c>
      <c r="M85" s="283"/>
    </row>
    <row r="86" spans="1:13" ht="12.75" x14ac:dyDescent="0.25">
      <c r="A86" s="276"/>
      <c r="B86" s="1618"/>
      <c r="C86" s="575" t="s">
        <v>1008</v>
      </c>
      <c r="D86" s="277" t="s">
        <v>1009</v>
      </c>
      <c r="E86" s="799" t="str">
        <f>IF(VLOOKUP(D86,'EMBOP-SI_ITA'!$D$4:$D$225,1,FALSE)=D86,"YES","NO")</f>
        <v>YES</v>
      </c>
      <c r="F86" s="278" t="s">
        <v>464</v>
      </c>
      <c r="G86" s="279">
        <v>0</v>
      </c>
      <c r="H86" s="280"/>
      <c r="I86" s="281">
        <f t="shared" si="6"/>
        <v>0</v>
      </c>
      <c r="J86" s="282" t="s">
        <v>871</v>
      </c>
      <c r="K86" s="283" t="s">
        <v>872</v>
      </c>
      <c r="L86" s="283" t="s">
        <v>873</v>
      </c>
      <c r="M86" s="283"/>
    </row>
    <row r="87" spans="1:13" ht="12.75" x14ac:dyDescent="0.25">
      <c r="A87" s="276"/>
      <c r="B87" s="1619"/>
      <c r="C87" s="575" t="s">
        <v>1010</v>
      </c>
      <c r="D87" s="277" t="s">
        <v>1011</v>
      </c>
      <c r="E87" s="799" t="str">
        <f>IF(VLOOKUP(D87,'EMBOP-SI_ITA'!$D$4:$D$225,1,FALSE)=D87,"YES","NO")</f>
        <v>YES</v>
      </c>
      <c r="F87" s="278" t="s">
        <v>464</v>
      </c>
      <c r="G87" s="279">
        <v>0</v>
      </c>
      <c r="H87" s="280"/>
      <c r="I87" s="281">
        <f t="shared" si="6"/>
        <v>0</v>
      </c>
      <c r="J87" s="282" t="s">
        <v>871</v>
      </c>
      <c r="K87" s="283" t="s">
        <v>872</v>
      </c>
      <c r="L87" s="283" t="s">
        <v>873</v>
      </c>
      <c r="M87" s="283"/>
    </row>
    <row r="88" spans="1:13" ht="12.75" x14ac:dyDescent="0.25">
      <c r="A88" s="276"/>
      <c r="B88" s="1617" t="s">
        <v>1012</v>
      </c>
      <c r="C88" s="605" t="s">
        <v>1013</v>
      </c>
      <c r="D88" s="277" t="s">
        <v>1014</v>
      </c>
      <c r="E88" s="799" t="str">
        <f>IF(VLOOKUP(D88,'EMBOP-SI_ITA'!$D$4:$D$225,1,FALSE)=D88,"YES","NO")</f>
        <v>YES</v>
      </c>
      <c r="F88" s="278" t="s">
        <v>464</v>
      </c>
      <c r="G88" s="279">
        <v>0</v>
      </c>
      <c r="H88" s="280"/>
      <c r="I88" s="281">
        <f t="shared" si="6"/>
        <v>0</v>
      </c>
      <c r="J88" s="282" t="s">
        <v>871</v>
      </c>
      <c r="K88" s="283" t="s">
        <v>883</v>
      </c>
      <c r="L88" s="283" t="s">
        <v>873</v>
      </c>
      <c r="M88" s="283"/>
    </row>
    <row r="89" spans="1:13" ht="12.75" x14ac:dyDescent="0.25">
      <c r="A89" s="276"/>
      <c r="B89" s="1618"/>
      <c r="C89" s="605" t="s">
        <v>1015</v>
      </c>
      <c r="D89" s="277" t="s">
        <v>1016</v>
      </c>
      <c r="E89" s="799" t="str">
        <f>IF(VLOOKUP(D89,'EMBOP-SI_ITA'!$D$4:$D$225,1,FALSE)=D89,"YES","NO")</f>
        <v>YES</v>
      </c>
      <c r="F89" s="278" t="s">
        <v>464</v>
      </c>
      <c r="G89" s="279">
        <v>0</v>
      </c>
      <c r="H89" s="280"/>
      <c r="I89" s="281">
        <f t="shared" si="6"/>
        <v>0</v>
      </c>
      <c r="J89" s="282" t="s">
        <v>871</v>
      </c>
      <c r="K89" s="283" t="s">
        <v>883</v>
      </c>
      <c r="L89" s="283" t="s">
        <v>873</v>
      </c>
      <c r="M89" s="283"/>
    </row>
    <row r="90" spans="1:13" ht="12.75" x14ac:dyDescent="0.25">
      <c r="A90" s="276"/>
      <c r="B90" s="1618"/>
      <c r="C90" s="605" t="s">
        <v>1017</v>
      </c>
      <c r="D90" s="277" t="s">
        <v>1018</v>
      </c>
      <c r="E90" s="799" t="str">
        <f>IF(VLOOKUP(D90,'EMBOP-SI_ITA'!$D$4:$D$225,1,FALSE)=D90,"YES","NO")</f>
        <v>YES</v>
      </c>
      <c r="F90" s="278" t="s">
        <v>464</v>
      </c>
      <c r="G90" s="279">
        <v>0</v>
      </c>
      <c r="H90" s="280"/>
      <c r="I90" s="281">
        <f t="shared" si="6"/>
        <v>0</v>
      </c>
      <c r="J90" s="282" t="s">
        <v>871</v>
      </c>
      <c r="K90" s="283" t="s">
        <v>883</v>
      </c>
      <c r="L90" s="283" t="s">
        <v>873</v>
      </c>
      <c r="M90" s="283"/>
    </row>
    <row r="91" spans="1:13" ht="12.75" x14ac:dyDescent="0.25">
      <c r="A91" s="276"/>
      <c r="B91" s="1619"/>
      <c r="C91" s="605" t="s">
        <v>1019</v>
      </c>
      <c r="D91" s="277" t="s">
        <v>1020</v>
      </c>
      <c r="E91" s="799" t="str">
        <f>IF(VLOOKUP(D91,'EMBOP-SI_ITA'!$D$4:$D$225,1,FALSE)=D91,"YES","NO")</f>
        <v>YES</v>
      </c>
      <c r="F91" s="278" t="s">
        <v>464</v>
      </c>
      <c r="G91" s="279">
        <v>0</v>
      </c>
      <c r="H91" s="280"/>
      <c r="I91" s="281">
        <f t="shared" si="6"/>
        <v>0</v>
      </c>
      <c r="J91" s="282" t="s">
        <v>871</v>
      </c>
      <c r="K91" s="283" t="s">
        <v>883</v>
      </c>
      <c r="L91" s="283" t="s">
        <v>873</v>
      </c>
      <c r="M91" s="283"/>
    </row>
    <row r="92" spans="1:13" ht="12.75" x14ac:dyDescent="0.25">
      <c r="A92" s="276"/>
      <c r="B92" s="1617" t="s">
        <v>1021</v>
      </c>
      <c r="C92" s="605" t="s">
        <v>1022</v>
      </c>
      <c r="D92" s="277" t="s">
        <v>1023</v>
      </c>
      <c r="E92" s="799" t="str">
        <f>IF(VLOOKUP(D92,'EMBOP-SI_ITA'!$D$4:$D$225,1,FALSE)=D92,"YES","NO")</f>
        <v>YES</v>
      </c>
      <c r="F92" s="278" t="s">
        <v>464</v>
      </c>
      <c r="G92" s="279">
        <v>0</v>
      </c>
      <c r="H92" s="280"/>
      <c r="I92" s="281">
        <f t="shared" si="6"/>
        <v>0</v>
      </c>
      <c r="J92" s="282" t="s">
        <v>871</v>
      </c>
      <c r="K92" s="283" t="s">
        <v>883</v>
      </c>
      <c r="L92" s="283" t="s">
        <v>873</v>
      </c>
      <c r="M92" s="283"/>
    </row>
    <row r="93" spans="1:13" ht="12.75" x14ac:dyDescent="0.25">
      <c r="A93" s="276"/>
      <c r="B93" s="1618"/>
      <c r="C93" s="605" t="s">
        <v>1024</v>
      </c>
      <c r="D93" s="277" t="s">
        <v>1025</v>
      </c>
      <c r="E93" s="799" t="str">
        <f>IF(VLOOKUP(D93,'EMBOP-SI_ITA'!$D$4:$D$225,1,FALSE)=D93,"YES","NO")</f>
        <v>YES</v>
      </c>
      <c r="F93" s="278" t="s">
        <v>464</v>
      </c>
      <c r="G93" s="279">
        <v>0</v>
      </c>
      <c r="H93" s="280"/>
      <c r="I93" s="281">
        <f t="shared" si="6"/>
        <v>0</v>
      </c>
      <c r="J93" s="282" t="s">
        <v>871</v>
      </c>
      <c r="K93" s="283" t="s">
        <v>883</v>
      </c>
      <c r="L93" s="283" t="s">
        <v>873</v>
      </c>
      <c r="M93" s="283"/>
    </row>
    <row r="94" spans="1:13" ht="12.75" x14ac:dyDescent="0.25">
      <c r="A94" s="276"/>
      <c r="B94" s="1618"/>
      <c r="C94" s="605" t="s">
        <v>1026</v>
      </c>
      <c r="D94" s="277" t="s">
        <v>1027</v>
      </c>
      <c r="E94" s="799" t="str">
        <f>IF(VLOOKUP(D94,'EMBOP-SI_ITA'!$D$4:$D$225,1,FALSE)=D94,"YES","NO")</f>
        <v>YES</v>
      </c>
      <c r="F94" s="278" t="s">
        <v>464</v>
      </c>
      <c r="G94" s="279">
        <v>0</v>
      </c>
      <c r="H94" s="280"/>
      <c r="I94" s="281">
        <f t="shared" si="6"/>
        <v>0</v>
      </c>
      <c r="J94" s="282" t="s">
        <v>871</v>
      </c>
      <c r="K94" s="283" t="s">
        <v>883</v>
      </c>
      <c r="L94" s="283" t="s">
        <v>873</v>
      </c>
      <c r="M94" s="283"/>
    </row>
    <row r="95" spans="1:13" ht="12.75" x14ac:dyDescent="0.25">
      <c r="A95" s="276"/>
      <c r="B95" s="1618"/>
      <c r="C95" s="605" t="s">
        <v>1028</v>
      </c>
      <c r="D95" s="277" t="s">
        <v>1029</v>
      </c>
      <c r="E95" s="799" t="str">
        <f>IF(VLOOKUP(D95,'EMBOP-SI_ITA'!$D$4:$D$225,1,FALSE)=D95,"YES","NO")</f>
        <v>YES</v>
      </c>
      <c r="F95" s="278" t="s">
        <v>464</v>
      </c>
      <c r="G95" s="279">
        <v>0</v>
      </c>
      <c r="H95" s="280"/>
      <c r="I95" s="281">
        <f t="shared" si="6"/>
        <v>0</v>
      </c>
      <c r="J95" s="282" t="s">
        <v>871</v>
      </c>
      <c r="K95" s="283" t="s">
        <v>883</v>
      </c>
      <c r="L95" s="283" t="s">
        <v>873</v>
      </c>
      <c r="M95" s="283"/>
    </row>
    <row r="96" spans="1:13" ht="12.75" x14ac:dyDescent="0.25">
      <c r="A96" s="276"/>
      <c r="B96" s="1618"/>
      <c r="C96" s="605" t="s">
        <v>1030</v>
      </c>
      <c r="D96" s="277" t="s">
        <v>1031</v>
      </c>
      <c r="E96" s="799" t="str">
        <f>IF(VLOOKUP(D96,'EMBOP-SI_ITA'!$D$4:$D$225,1,FALSE)=D96,"YES","NO")</f>
        <v>YES</v>
      </c>
      <c r="F96" s="278" t="s">
        <v>464</v>
      </c>
      <c r="G96" s="279">
        <v>0</v>
      </c>
      <c r="H96" s="280"/>
      <c r="I96" s="281">
        <f t="shared" si="6"/>
        <v>0</v>
      </c>
      <c r="J96" s="282" t="s">
        <v>871</v>
      </c>
      <c r="K96" s="283" t="s">
        <v>883</v>
      </c>
      <c r="L96" s="283" t="s">
        <v>873</v>
      </c>
      <c r="M96" s="283"/>
    </row>
    <row r="97" spans="1:13" ht="12.75" x14ac:dyDescent="0.25">
      <c r="A97" s="276"/>
      <c r="B97" s="1619"/>
      <c r="C97" s="605" t="s">
        <v>1032</v>
      </c>
      <c r="D97" s="277" t="s">
        <v>1033</v>
      </c>
      <c r="E97" s="799" t="str">
        <f>IF(VLOOKUP(D97,'EMBOP-SI_ITA'!$D$4:$D$225,1,FALSE)=D97,"YES","NO")</f>
        <v>YES</v>
      </c>
      <c r="F97" s="278" t="s">
        <v>464</v>
      </c>
      <c r="G97" s="279">
        <v>0</v>
      </c>
      <c r="H97" s="280"/>
      <c r="I97" s="281">
        <f t="shared" si="6"/>
        <v>0</v>
      </c>
      <c r="J97" s="282" t="s">
        <v>871</v>
      </c>
      <c r="K97" s="283" t="s">
        <v>883</v>
      </c>
      <c r="L97" s="283" t="s">
        <v>873</v>
      </c>
      <c r="M97" s="283"/>
    </row>
    <row r="98" spans="1:13" ht="12.75" x14ac:dyDescent="0.25">
      <c r="A98" s="276"/>
      <c r="B98" s="1617" t="s">
        <v>988</v>
      </c>
      <c r="C98" s="605" t="s">
        <v>794</v>
      </c>
      <c r="D98" s="960" t="s">
        <v>795</v>
      </c>
      <c r="E98" s="799" t="str">
        <f>IF(VLOOKUP(D98,'EMBOP-SI_ITA'!$D$4:$D$225,1,FALSE)=D98,"YES","NO")</f>
        <v>YES</v>
      </c>
      <c r="F98" s="278" t="s">
        <v>464</v>
      </c>
      <c r="G98" s="279">
        <v>0</v>
      </c>
      <c r="H98" s="280"/>
      <c r="I98" s="281">
        <f t="shared" si="6"/>
        <v>0</v>
      </c>
      <c r="J98" s="282" t="s">
        <v>871</v>
      </c>
      <c r="K98" s="283" t="s">
        <v>883</v>
      </c>
      <c r="L98" s="283" t="s">
        <v>873</v>
      </c>
      <c r="M98" s="283"/>
    </row>
    <row r="99" spans="1:13" ht="12.75" x14ac:dyDescent="0.25">
      <c r="A99" s="276"/>
      <c r="B99" s="1620"/>
      <c r="C99" s="605" t="s">
        <v>796</v>
      </c>
      <c r="D99" s="960" t="s">
        <v>797</v>
      </c>
      <c r="E99" s="799" t="str">
        <f>IF(VLOOKUP(D99,'EMBOP-SI_ITA'!$D$4:$D$225,1,FALSE)=D99,"YES","NO")</f>
        <v>YES</v>
      </c>
      <c r="F99" s="278" t="s">
        <v>464</v>
      </c>
      <c r="G99" s="279">
        <v>0</v>
      </c>
      <c r="H99" s="280"/>
      <c r="I99" s="281">
        <f t="shared" si="6"/>
        <v>0</v>
      </c>
      <c r="J99" s="282" t="s">
        <v>871</v>
      </c>
      <c r="K99" s="283" t="s">
        <v>883</v>
      </c>
      <c r="L99" s="283" t="s">
        <v>873</v>
      </c>
      <c r="M99" s="283"/>
    </row>
    <row r="100" spans="1:13" ht="12.75" x14ac:dyDescent="0.25">
      <c r="A100" s="276"/>
      <c r="B100" s="1621"/>
      <c r="C100" s="605" t="s">
        <v>798</v>
      </c>
      <c r="D100" s="961" t="s">
        <v>799</v>
      </c>
      <c r="E100" s="802" t="str">
        <f>IF(VLOOKUP(D100,'EMBOP-SI_ITA'!$D$4:$D$225,1,FALSE)=D100,"YES","NO")</f>
        <v>YES</v>
      </c>
      <c r="F100" s="278" t="s">
        <v>464</v>
      </c>
      <c r="G100" s="279">
        <v>0</v>
      </c>
      <c r="H100" s="280"/>
      <c r="I100" s="281">
        <f t="shared" si="6"/>
        <v>0</v>
      </c>
      <c r="J100" s="282" t="s">
        <v>871</v>
      </c>
      <c r="K100" s="283" t="s">
        <v>883</v>
      </c>
      <c r="L100" s="283" t="s">
        <v>873</v>
      </c>
      <c r="M100" s="283"/>
    </row>
    <row r="101" spans="1:13" ht="25.5" x14ac:dyDescent="0.25">
      <c r="A101" s="276" t="str">
        <f>+CONCATENATE($A$77,".",TEXT(ROW(A7)-ROW($A$1),0))</f>
        <v>ESC1.5.6</v>
      </c>
      <c r="B101" s="564" t="s">
        <v>991</v>
      </c>
      <c r="C101" s="575" t="s">
        <v>1034</v>
      </c>
      <c r="D101" s="277" t="s">
        <v>1035</v>
      </c>
      <c r="E101" s="799" t="str">
        <f>IF(VLOOKUP(D101,'EMBOP-SI_ITA'!$D$4:$D$225,1,FALSE)=D101,"YES","NO")</f>
        <v>YES</v>
      </c>
      <c r="F101" s="278" t="s">
        <v>464</v>
      </c>
      <c r="G101" s="279">
        <v>0</v>
      </c>
      <c r="H101" s="280"/>
      <c r="I101" s="281">
        <f t="shared" si="6"/>
        <v>0</v>
      </c>
      <c r="J101" s="282" t="s">
        <v>871</v>
      </c>
      <c r="K101" s="283" t="s">
        <v>872</v>
      </c>
      <c r="L101" s="283" t="s">
        <v>873</v>
      </c>
      <c r="M101" s="283"/>
    </row>
    <row r="102" spans="1:13" ht="25.5" x14ac:dyDescent="0.25">
      <c r="A102" s="276" t="str">
        <f>+CONCATENATE($A$77,".",TEXT(ROW(A8)-ROW($A$1),0))</f>
        <v>ESC1.5.7</v>
      </c>
      <c r="B102" s="564" t="s">
        <v>991</v>
      </c>
      <c r="C102" s="575" t="s">
        <v>1036</v>
      </c>
      <c r="D102" s="277" t="s">
        <v>1037</v>
      </c>
      <c r="E102" s="799" t="str">
        <f>IF(VLOOKUP(D102,'EMBOP-SI_ITA'!$D$4:$D$225,1,FALSE)=D102,"YES","NO")</f>
        <v>YES</v>
      </c>
      <c r="F102" s="278" t="s">
        <v>464</v>
      </c>
      <c r="G102" s="279">
        <v>0</v>
      </c>
      <c r="H102" s="280"/>
      <c r="I102" s="281">
        <f t="shared" si="6"/>
        <v>0</v>
      </c>
      <c r="J102" s="282" t="s">
        <v>871</v>
      </c>
      <c r="K102" s="283" t="s">
        <v>872</v>
      </c>
      <c r="L102" s="283" t="s">
        <v>873</v>
      </c>
      <c r="M102" s="283"/>
    </row>
    <row r="103" spans="1:13" ht="51" x14ac:dyDescent="0.25">
      <c r="A103" s="276" t="str">
        <f>+CONCATENATE($A$77,".",TEXT(ROW(A9)-ROW($A$1),0))</f>
        <v>ESC1.5.8</v>
      </c>
      <c r="B103" s="564" t="s">
        <v>1012</v>
      </c>
      <c r="C103" s="605" t="s">
        <v>1038</v>
      </c>
      <c r="D103" s="277" t="s">
        <v>1039</v>
      </c>
      <c r="E103" s="799" t="str">
        <f>IF(VLOOKUP(D103,'EMBOP-SI_ITA'!$D$4:$D$225,1,FALSE)=D103,"YES","NO")</f>
        <v>YES</v>
      </c>
      <c r="F103" s="278" t="s">
        <v>464</v>
      </c>
      <c r="G103" s="279">
        <v>0</v>
      </c>
      <c r="H103" s="280"/>
      <c r="I103" s="281">
        <f t="shared" si="6"/>
        <v>0</v>
      </c>
      <c r="J103" s="282" t="s">
        <v>871</v>
      </c>
      <c r="K103" s="283" t="s">
        <v>883</v>
      </c>
      <c r="L103" s="283" t="s">
        <v>873</v>
      </c>
      <c r="M103" s="283"/>
    </row>
    <row r="104" spans="1:13" ht="51" x14ac:dyDescent="0.25">
      <c r="A104" s="276" t="str">
        <f>+CONCATENATE($A$77,".",TEXT(ROW(A11)-ROW($A$1),0))</f>
        <v>ESC1.5.10</v>
      </c>
      <c r="B104" s="564" t="s">
        <v>1012</v>
      </c>
      <c r="C104" s="605" t="s">
        <v>1040</v>
      </c>
      <c r="D104" s="277" t="s">
        <v>1041</v>
      </c>
      <c r="E104" s="799" t="str">
        <f>IF(VLOOKUP(D104,'EMBOP-SI_ITA'!$D$4:$D$225,1,FALSE)=D104,"YES","NO")</f>
        <v>YES</v>
      </c>
      <c r="F104" s="278" t="s">
        <v>464</v>
      </c>
      <c r="G104" s="279">
        <v>0</v>
      </c>
      <c r="H104" s="280"/>
      <c r="I104" s="281">
        <f t="shared" si="6"/>
        <v>0</v>
      </c>
      <c r="J104" s="282" t="s">
        <v>871</v>
      </c>
      <c r="K104" s="283" t="s">
        <v>883</v>
      </c>
      <c r="L104" s="283" t="s">
        <v>873</v>
      </c>
      <c r="M104" s="283"/>
    </row>
    <row r="105" spans="1:13" ht="38.25" x14ac:dyDescent="0.25">
      <c r="A105" s="276" t="e">
        <f>+CONCATENATE($A$77,".",TEXT(ROW(#REF!)-ROW($A$1),0))</f>
        <v>#REF!</v>
      </c>
      <c r="B105" s="564" t="s">
        <v>973</v>
      </c>
      <c r="C105" s="605" t="s">
        <v>800</v>
      </c>
      <c r="D105" s="960" t="s">
        <v>801</v>
      </c>
      <c r="E105" s="799" t="str">
        <f>IF(VLOOKUP(D105,'EMBOP-SI_ITA'!$D$4:$D$225,1,FALSE)=D105,"YES","NO")</f>
        <v>YES</v>
      </c>
      <c r="F105" s="278" t="s">
        <v>464</v>
      </c>
      <c r="G105" s="279">
        <v>0</v>
      </c>
      <c r="H105" s="280"/>
      <c r="I105" s="281">
        <f t="shared" si="6"/>
        <v>0</v>
      </c>
      <c r="J105" s="282" t="s">
        <v>871</v>
      </c>
      <c r="K105" s="283" t="s">
        <v>883</v>
      </c>
      <c r="L105" s="283" t="s">
        <v>873</v>
      </c>
      <c r="M105" s="283"/>
    </row>
    <row r="106" spans="1:13" ht="38.25" x14ac:dyDescent="0.25">
      <c r="A106" s="276" t="e">
        <f>+CONCATENATE($A$77,".",TEXT(ROW(#REF!)-ROW($A$1),0))</f>
        <v>#REF!</v>
      </c>
      <c r="B106" s="564" t="s">
        <v>1042</v>
      </c>
      <c r="C106" s="575" t="s">
        <v>480</v>
      </c>
      <c r="D106" s="277" t="s">
        <v>1043</v>
      </c>
      <c r="E106" s="799" t="str">
        <f>IF(VLOOKUP(D106,'EMBOP-SI_ITA'!$D$4:$D$225,1,FALSE)=D106,"YES","NO")</f>
        <v>YES</v>
      </c>
      <c r="F106" s="278" t="s">
        <v>345</v>
      </c>
      <c r="G106" s="279">
        <v>0</v>
      </c>
      <c r="H106" s="280"/>
      <c r="I106" s="281">
        <f t="shared" si="6"/>
        <v>0</v>
      </c>
      <c r="J106" s="282" t="s">
        <v>871</v>
      </c>
      <c r="K106" s="283" t="s">
        <v>872</v>
      </c>
      <c r="L106" s="283" t="s">
        <v>873</v>
      </c>
      <c r="M106" s="283"/>
    </row>
    <row r="107" spans="1:13" ht="38.25" x14ac:dyDescent="0.25">
      <c r="A107" s="276"/>
      <c r="B107" s="564" t="s">
        <v>1042</v>
      </c>
      <c r="C107" s="575" t="s">
        <v>482</v>
      </c>
      <c r="D107" s="277" t="s">
        <v>1044</v>
      </c>
      <c r="E107" s="799" t="str">
        <f>IF(VLOOKUP(D107,'EMBOP-SI_ITA'!$D$4:$D$225,1,FALSE)=D107,"YES","NO")</f>
        <v>YES</v>
      </c>
      <c r="F107" s="278" t="s">
        <v>345</v>
      </c>
      <c r="G107" s="279">
        <v>0</v>
      </c>
      <c r="H107" s="280"/>
      <c r="I107" s="281">
        <f>G107*H107</f>
        <v>0</v>
      </c>
      <c r="J107" s="282"/>
      <c r="K107" s="283" t="s">
        <v>872</v>
      </c>
      <c r="L107" s="283" t="s">
        <v>873</v>
      </c>
      <c r="M107" s="283"/>
    </row>
    <row r="108" spans="1:13" ht="12.75" x14ac:dyDescent="0.25">
      <c r="A108" s="276"/>
      <c r="B108" s="564"/>
      <c r="C108" s="575" t="s">
        <v>494</v>
      </c>
      <c r="D108" s="277" t="s">
        <v>495</v>
      </c>
      <c r="E108" s="799" t="str">
        <f>IF(VLOOKUP(D108,'EMBOP-SI_ITA'!$D$4:$D$225,1,FALSE)=D108,"YES","NO")</f>
        <v>YES</v>
      </c>
      <c r="F108" s="278" t="s">
        <v>345</v>
      </c>
      <c r="G108" s="279">
        <v>0</v>
      </c>
      <c r="H108" s="280"/>
      <c r="I108" s="281">
        <f>G108*H108</f>
        <v>0</v>
      </c>
      <c r="J108" s="282"/>
      <c r="K108" s="283" t="s">
        <v>872</v>
      </c>
      <c r="L108" s="283" t="s">
        <v>873</v>
      </c>
      <c r="M108" s="283"/>
    </row>
    <row r="109" spans="1:13" ht="38.25" x14ac:dyDescent="0.25">
      <c r="A109" s="276" t="str">
        <f>+CONCATENATE($A$77,".",TEXT(ROW(A18)-ROW($A$1),0))</f>
        <v>ESC1.5.17</v>
      </c>
      <c r="B109" s="564" t="s">
        <v>1042</v>
      </c>
      <c r="C109" s="575" t="s">
        <v>492</v>
      </c>
      <c r="D109" s="277" t="s">
        <v>493</v>
      </c>
      <c r="E109" s="799" t="str">
        <f>IF(VLOOKUP(D109,'EMBOP-SI_ITA'!$D$4:$D$225,1,FALSE)=D109,"YES","NO")</f>
        <v>YES</v>
      </c>
      <c r="F109" s="278" t="s">
        <v>1045</v>
      </c>
      <c r="G109" s="279">
        <v>0</v>
      </c>
      <c r="H109" s="280"/>
      <c r="I109" s="281">
        <f>+G109*H109</f>
        <v>0</v>
      </c>
      <c r="J109" s="282" t="s">
        <v>871</v>
      </c>
      <c r="K109" s="283" t="s">
        <v>872</v>
      </c>
      <c r="L109" s="283" t="s">
        <v>873</v>
      </c>
      <c r="M109" s="283"/>
    </row>
    <row r="110" spans="1:13" ht="63.75" x14ac:dyDescent="0.25">
      <c r="A110" s="276" t="str">
        <f>+CONCATENATE($A$77,".",TEXT(ROW(A19)-ROW($A$1),0))</f>
        <v>ESC1.5.18</v>
      </c>
      <c r="B110" s="564" t="s">
        <v>1046</v>
      </c>
      <c r="C110" s="605" t="s">
        <v>1047</v>
      </c>
      <c r="D110" s="277" t="s">
        <v>1048</v>
      </c>
      <c r="E110" s="799" t="str">
        <f>IF(VLOOKUP(D110,'EMBOP-SI_ITA'!$D$4:$D$225,1,FALSE)=D110,"YES","NO")</f>
        <v>YES</v>
      </c>
      <c r="F110" s="278" t="s">
        <v>345</v>
      </c>
      <c r="G110" s="279">
        <v>0</v>
      </c>
      <c r="H110" s="280"/>
      <c r="I110" s="281">
        <f>+G110*H110</f>
        <v>0</v>
      </c>
      <c r="J110" s="282" t="s">
        <v>871</v>
      </c>
      <c r="K110" s="283" t="s">
        <v>883</v>
      </c>
      <c r="L110" s="283" t="s">
        <v>873</v>
      </c>
      <c r="M110" s="278"/>
    </row>
    <row r="111" spans="1:13" ht="12.75" x14ac:dyDescent="0.25">
      <c r="A111" s="276"/>
      <c r="B111" s="564"/>
      <c r="C111" s="605" t="s">
        <v>1049</v>
      </c>
      <c r="D111" s="277" t="s">
        <v>1050</v>
      </c>
      <c r="E111" s="799" t="str">
        <f>IF(VLOOKUP(D111,'EMBOP-SI_ITA'!$D$4:$D$225,1,FALSE)=D111,"YES","NO")</f>
        <v>YES</v>
      </c>
      <c r="F111" s="278" t="s">
        <v>345</v>
      </c>
      <c r="G111" s="279">
        <v>0</v>
      </c>
      <c r="H111" s="280"/>
      <c r="I111" s="281">
        <f>G111*H111</f>
        <v>0</v>
      </c>
      <c r="J111" s="282"/>
      <c r="K111" s="283" t="s">
        <v>883</v>
      </c>
      <c r="L111" s="283" t="s">
        <v>873</v>
      </c>
      <c r="M111" s="278"/>
    </row>
    <row r="112" spans="1:13" ht="76.5" x14ac:dyDescent="0.25">
      <c r="A112" s="276" t="e">
        <f>+CONCATENATE($A$77,".",TEXT(ROW(#REF!)-ROW($A$1),0))</f>
        <v>#REF!</v>
      </c>
      <c r="B112" s="564" t="s">
        <v>1051</v>
      </c>
      <c r="C112" s="605" t="s">
        <v>498</v>
      </c>
      <c r="D112" s="277" t="s">
        <v>1052</v>
      </c>
      <c r="E112" s="799" t="str">
        <f>IF(VLOOKUP(D112,'EMBOP-SI_ITA'!$D$4:$D$225,1,FALSE)=D112,"YES","NO")</f>
        <v>YES</v>
      </c>
      <c r="F112" s="278" t="s">
        <v>1045</v>
      </c>
      <c r="G112" s="279">
        <v>0</v>
      </c>
      <c r="H112" s="280"/>
      <c r="I112" s="281">
        <f>+G112*H112</f>
        <v>0</v>
      </c>
      <c r="J112" s="282" t="s">
        <v>871</v>
      </c>
      <c r="K112" s="283" t="s">
        <v>883</v>
      </c>
      <c r="L112" s="283" t="s">
        <v>873</v>
      </c>
      <c r="M112" s="283"/>
    </row>
    <row r="113" spans="1:13" ht="12.75" x14ac:dyDescent="0.25">
      <c r="A113" s="276"/>
      <c r="B113" s="564"/>
      <c r="C113" s="605" t="s">
        <v>496</v>
      </c>
      <c r="D113" s="277" t="s">
        <v>1053</v>
      </c>
      <c r="E113" s="799" t="str">
        <f>IF(VLOOKUP(D113,'EMBOP-SI_ITA'!$D$4:$D$225,1,FALSE)=D113,"YES","NO")</f>
        <v>YES</v>
      </c>
      <c r="F113" s="278" t="s">
        <v>345</v>
      </c>
      <c r="G113" s="279">
        <v>0</v>
      </c>
      <c r="H113" s="280"/>
      <c r="I113" s="281">
        <f>G113*H113</f>
        <v>0</v>
      </c>
      <c r="J113" s="282"/>
      <c r="K113" s="283" t="s">
        <v>883</v>
      </c>
      <c r="L113" s="283" t="s">
        <v>873</v>
      </c>
      <c r="M113" s="283"/>
    </row>
    <row r="114" spans="1:13" ht="51" x14ac:dyDescent="0.25">
      <c r="A114" s="631" t="e">
        <f>+CONCATENATE($A$77,".",TEXT(ROW(#REF!)-ROW($A$1),0))</f>
        <v>#REF!</v>
      </c>
      <c r="B114" s="637" t="s">
        <v>1054</v>
      </c>
      <c r="C114" s="684" t="s">
        <v>802</v>
      </c>
      <c r="D114" s="626" t="s">
        <v>803</v>
      </c>
      <c r="E114" s="800" t="str">
        <f>IF(VLOOKUP(D114,'EMBOP-SI_ITA'!$D$4:$D$225,1,FALSE)=D114,"YES","NO")</f>
        <v>YES</v>
      </c>
      <c r="F114" s="625" t="s">
        <v>1055</v>
      </c>
      <c r="G114" s="624">
        <v>0</v>
      </c>
      <c r="H114" s="623"/>
      <c r="I114" s="622">
        <f>+G114*H114</f>
        <v>0</v>
      </c>
      <c r="J114" s="621" t="s">
        <v>871</v>
      </c>
      <c r="K114" s="620" t="s">
        <v>883</v>
      </c>
      <c r="L114" s="620" t="s">
        <v>873</v>
      </c>
      <c r="M114" s="620"/>
    </row>
    <row r="115" spans="1:13" s="275" customFormat="1" ht="12.75" x14ac:dyDescent="0.25">
      <c r="A115" s="553" t="s">
        <v>1056</v>
      </c>
      <c r="B115" s="551"/>
      <c r="C115" s="551"/>
      <c r="D115" s="552" t="s">
        <v>1057</v>
      </c>
      <c r="E115" s="798" t="str">
        <f>IF(VLOOKUP(D115,'EMBOP-SI_ITA'!$D$4:$D$225,1,FALSE)=D115,"YES","NO")</f>
        <v>YES</v>
      </c>
      <c r="F115" s="551"/>
      <c r="G115" s="567"/>
      <c r="H115" s="565"/>
      <c r="I115" s="565"/>
      <c r="J115" s="549"/>
      <c r="K115" s="548"/>
      <c r="L115" s="548"/>
      <c r="M115" s="548"/>
    </row>
    <row r="116" spans="1:13" s="275" customFormat="1" ht="13.5" customHeight="1" x14ac:dyDescent="0.25">
      <c r="A116" s="276" t="str">
        <f>+CONCATENATE($A$115,".",TEXT(ROW(A2)-ROW($A$1),0))</f>
        <v>ESC1.7.1</v>
      </c>
      <c r="B116" s="1617" t="s">
        <v>1058</v>
      </c>
      <c r="C116" s="574" t="s">
        <v>1059</v>
      </c>
      <c r="D116" s="277" t="s">
        <v>1060</v>
      </c>
      <c r="E116" s="799" t="str">
        <f>IF(VLOOKUP(D116,'EMBOP-SI_ITA'!$D$4:$D$225,1,FALSE)=D116,"YES","NO")</f>
        <v>YES</v>
      </c>
      <c r="F116" s="278" t="s">
        <v>464</v>
      </c>
      <c r="G116" s="601">
        <v>0</v>
      </c>
      <c r="H116" s="600"/>
      <c r="I116" s="561">
        <f t="shared" ref="I116:I142" si="7">+G116*H116</f>
        <v>0</v>
      </c>
      <c r="J116" s="604" t="s">
        <v>871</v>
      </c>
      <c r="K116" s="559" t="s">
        <v>872</v>
      </c>
      <c r="L116" s="559" t="s">
        <v>873</v>
      </c>
      <c r="M116" s="283"/>
    </row>
    <row r="117" spans="1:13" ht="12.75" x14ac:dyDescent="0.25">
      <c r="A117" s="276" t="str">
        <f>+CONCATENATE($A$115,".",TEXT(ROW(A3)-ROW($A$1),0))</f>
        <v>ESC1.7.2</v>
      </c>
      <c r="B117" s="1618"/>
      <c r="C117" s="574" t="s">
        <v>1061</v>
      </c>
      <c r="D117" s="277" t="s">
        <v>1062</v>
      </c>
      <c r="E117" s="799" t="str">
        <f>IF(VLOOKUP(D117,'EMBOP-SI_ITA'!$D$4:$D$225,1,FALSE)=D117,"YES","NO")</f>
        <v>YES</v>
      </c>
      <c r="F117" s="278" t="s">
        <v>464</v>
      </c>
      <c r="G117" s="601">
        <v>0</v>
      </c>
      <c r="H117" s="600"/>
      <c r="I117" s="561">
        <f t="shared" si="7"/>
        <v>0</v>
      </c>
      <c r="J117" s="603"/>
      <c r="K117" s="559" t="s">
        <v>872</v>
      </c>
      <c r="L117" s="559" t="s">
        <v>873</v>
      </c>
      <c r="M117" s="283"/>
    </row>
    <row r="118" spans="1:13" ht="12.75" x14ac:dyDescent="0.25">
      <c r="A118" s="276" t="str">
        <f>+CONCATENATE($A$115,".",TEXT(ROW(A4)-ROW($A$1),0))</f>
        <v>ESC1.7.3</v>
      </c>
      <c r="B118" s="1618"/>
      <c r="C118" s="574" t="s">
        <v>1063</v>
      </c>
      <c r="D118" s="277" t="s">
        <v>1064</v>
      </c>
      <c r="E118" s="799" t="str">
        <f>IF(VLOOKUP(D118,'EMBOP-SI_ITA'!$D$4:$D$225,1,FALSE)=D118,"YES","NO")</f>
        <v>YES</v>
      </c>
      <c r="F118" s="278" t="s">
        <v>464</v>
      </c>
      <c r="G118" s="601">
        <v>0</v>
      </c>
      <c r="H118" s="600"/>
      <c r="I118" s="561">
        <f t="shared" si="7"/>
        <v>0</v>
      </c>
      <c r="J118" s="603"/>
      <c r="K118" s="559" t="s">
        <v>872</v>
      </c>
      <c r="L118" s="559" t="s">
        <v>873</v>
      </c>
      <c r="M118" s="283"/>
    </row>
    <row r="119" spans="1:13" ht="12.75" x14ac:dyDescent="0.25">
      <c r="A119" s="276"/>
      <c r="B119" s="1618"/>
      <c r="C119" s="574" t="s">
        <v>1065</v>
      </c>
      <c r="D119" s="277" t="s">
        <v>1066</v>
      </c>
      <c r="E119" s="799" t="str">
        <f>IF(VLOOKUP(D119,'EMBOP-SI_ITA'!$D$4:$D$225,1,FALSE)=D119,"YES","NO")</f>
        <v>YES</v>
      </c>
      <c r="F119" s="278" t="s">
        <v>464</v>
      </c>
      <c r="G119" s="601">
        <v>0</v>
      </c>
      <c r="H119" s="600"/>
      <c r="I119" s="561">
        <f t="shared" si="7"/>
        <v>0</v>
      </c>
      <c r="J119" s="603"/>
      <c r="K119" s="559" t="s">
        <v>872</v>
      </c>
      <c r="L119" s="559" t="s">
        <v>873</v>
      </c>
      <c r="M119" s="283"/>
    </row>
    <row r="120" spans="1:13" ht="12.75" x14ac:dyDescent="0.25">
      <c r="A120" s="276"/>
      <c r="B120" s="1618"/>
      <c r="C120" s="574" t="s">
        <v>1067</v>
      </c>
      <c r="D120" s="277" t="s">
        <v>1068</v>
      </c>
      <c r="E120" s="799" t="str">
        <f>IF(VLOOKUP(D120,'EMBOP-SI_ITA'!$D$4:$D$225,1,FALSE)=D120,"YES","NO")</f>
        <v>YES</v>
      </c>
      <c r="F120" s="278" t="s">
        <v>464</v>
      </c>
      <c r="G120" s="601">
        <v>0</v>
      </c>
      <c r="H120" s="600"/>
      <c r="I120" s="561">
        <f t="shared" si="7"/>
        <v>0</v>
      </c>
      <c r="J120" s="603"/>
      <c r="K120" s="559" t="s">
        <v>872</v>
      </c>
      <c r="L120" s="559" t="s">
        <v>873</v>
      </c>
      <c r="M120" s="283"/>
    </row>
    <row r="121" spans="1:13" ht="12.75" x14ac:dyDescent="0.25">
      <c r="A121" s="276"/>
      <c r="B121" s="1618"/>
      <c r="C121" s="574" t="s">
        <v>1069</v>
      </c>
      <c r="D121" s="277" t="s">
        <v>1070</v>
      </c>
      <c r="E121" s="799" t="str">
        <f>IF(VLOOKUP(D121,'EMBOP-SI_ITA'!$D$4:$D$225,1,FALSE)=D121,"YES","NO")</f>
        <v>YES</v>
      </c>
      <c r="F121" s="278" t="s">
        <v>464</v>
      </c>
      <c r="G121" s="601">
        <v>0</v>
      </c>
      <c r="H121" s="600"/>
      <c r="I121" s="561">
        <f t="shared" si="7"/>
        <v>0</v>
      </c>
      <c r="J121" s="603"/>
      <c r="K121" s="559" t="s">
        <v>872</v>
      </c>
      <c r="L121" s="559" t="s">
        <v>873</v>
      </c>
      <c r="M121" s="283"/>
    </row>
    <row r="122" spans="1:13" ht="12.75" x14ac:dyDescent="0.25">
      <c r="A122" s="276"/>
      <c r="B122" s="1618"/>
      <c r="C122" s="574" t="s">
        <v>1071</v>
      </c>
      <c r="D122" s="277" t="s">
        <v>1072</v>
      </c>
      <c r="E122" s="799" t="str">
        <f>IF(VLOOKUP(D122,'EMBOP-SI_ITA'!$D$4:$D$225,1,FALSE)=D122,"YES","NO")</f>
        <v>YES</v>
      </c>
      <c r="F122" s="278" t="s">
        <v>464</v>
      </c>
      <c r="G122" s="601">
        <v>0</v>
      </c>
      <c r="H122" s="600"/>
      <c r="I122" s="561">
        <f t="shared" si="7"/>
        <v>0</v>
      </c>
      <c r="J122" s="603"/>
      <c r="K122" s="559" t="s">
        <v>872</v>
      </c>
      <c r="L122" s="559" t="s">
        <v>873</v>
      </c>
      <c r="M122" s="283"/>
    </row>
    <row r="123" spans="1:13" ht="12.75" x14ac:dyDescent="0.25">
      <c r="A123" s="276"/>
      <c r="B123" s="1618"/>
      <c r="C123" s="574" t="s">
        <v>1073</v>
      </c>
      <c r="D123" s="277" t="s">
        <v>1074</v>
      </c>
      <c r="E123" s="799" t="str">
        <f>IF(VLOOKUP(D123,'EMBOP-SI_ITA'!$D$4:$D$225,1,FALSE)=D123,"YES","NO")</f>
        <v>YES</v>
      </c>
      <c r="F123" s="278" t="s">
        <v>464</v>
      </c>
      <c r="G123" s="601">
        <v>0</v>
      </c>
      <c r="H123" s="600"/>
      <c r="I123" s="561">
        <f t="shared" si="7"/>
        <v>0</v>
      </c>
      <c r="J123" s="603"/>
      <c r="K123" s="559" t="s">
        <v>872</v>
      </c>
      <c r="L123" s="559" t="s">
        <v>873</v>
      </c>
      <c r="M123" s="283"/>
    </row>
    <row r="124" spans="1:13" ht="12.75" x14ac:dyDescent="0.25">
      <c r="A124" s="276"/>
      <c r="B124" s="1618"/>
      <c r="C124" s="574" t="s">
        <v>1075</v>
      </c>
      <c r="D124" s="277" t="s">
        <v>1076</v>
      </c>
      <c r="E124" s="799" t="str">
        <f>IF(VLOOKUP(D124,'EMBOP-SI_ITA'!$D$4:$D$225,1,FALSE)=D124,"YES","NO")</f>
        <v>YES</v>
      </c>
      <c r="F124" s="278" t="s">
        <v>464</v>
      </c>
      <c r="G124" s="601">
        <v>0</v>
      </c>
      <c r="H124" s="600"/>
      <c r="I124" s="561">
        <f t="shared" si="7"/>
        <v>0</v>
      </c>
      <c r="J124" s="603"/>
      <c r="K124" s="559" t="s">
        <v>872</v>
      </c>
      <c r="L124" s="559" t="s">
        <v>873</v>
      </c>
      <c r="M124" s="283"/>
    </row>
    <row r="125" spans="1:13" ht="15" customHeight="1" x14ac:dyDescent="0.25">
      <c r="A125" s="276" t="str">
        <f t="shared" ref="A125:A139" si="8">+CONCATENATE($A$115,".",TEXT(ROW(A5)-ROW($A$1),0))</f>
        <v>ESC1.7.4</v>
      </c>
      <c r="B125" s="1618"/>
      <c r="C125" s="574" t="s">
        <v>1077</v>
      </c>
      <c r="D125" s="277" t="s">
        <v>1078</v>
      </c>
      <c r="E125" s="799" t="str">
        <f>IF(VLOOKUP(D125,'EMBOP-SI_ITA'!$D$4:$D$225,1,FALSE)=D125,"YES","NO")</f>
        <v>YES</v>
      </c>
      <c r="F125" s="278" t="s">
        <v>464</v>
      </c>
      <c r="G125" s="601">
        <v>0</v>
      </c>
      <c r="H125" s="600"/>
      <c r="I125" s="561">
        <f t="shared" si="7"/>
        <v>0</v>
      </c>
      <c r="J125" s="1630" t="s">
        <v>871</v>
      </c>
      <c r="K125" s="559" t="s">
        <v>872</v>
      </c>
      <c r="L125" s="559" t="s">
        <v>873</v>
      </c>
      <c r="M125" s="283"/>
    </row>
    <row r="126" spans="1:13" ht="15" customHeight="1" x14ac:dyDescent="0.25">
      <c r="A126" s="276" t="str">
        <f t="shared" si="8"/>
        <v>ESC1.7.5</v>
      </c>
      <c r="B126" s="1618"/>
      <c r="C126" s="574" t="s">
        <v>1079</v>
      </c>
      <c r="D126" s="277" t="s">
        <v>1080</v>
      </c>
      <c r="E126" s="799" t="str">
        <f>IF(VLOOKUP(D126,'EMBOP-SI_ITA'!$D$4:$D$225,1,FALSE)=D126,"YES","NO")</f>
        <v>YES</v>
      </c>
      <c r="F126" s="278" t="s">
        <v>464</v>
      </c>
      <c r="G126" s="601">
        <v>0</v>
      </c>
      <c r="H126" s="600"/>
      <c r="I126" s="561">
        <f t="shared" si="7"/>
        <v>0</v>
      </c>
      <c r="J126" s="1631"/>
      <c r="K126" s="559" t="s">
        <v>872</v>
      </c>
      <c r="L126" s="559" t="s">
        <v>873</v>
      </c>
      <c r="M126" s="283"/>
    </row>
    <row r="127" spans="1:13" ht="12.75" x14ac:dyDescent="0.25">
      <c r="A127" s="276" t="str">
        <f t="shared" si="8"/>
        <v>ESC1.7.6</v>
      </c>
      <c r="B127" s="1618"/>
      <c r="C127" s="574" t="s">
        <v>1081</v>
      </c>
      <c r="D127" s="277" t="s">
        <v>1082</v>
      </c>
      <c r="E127" s="799" t="str">
        <f>IF(VLOOKUP(D127,'EMBOP-SI_ITA'!$D$4:$D$225,1,FALSE)=D127,"YES","NO")</f>
        <v>YES</v>
      </c>
      <c r="F127" s="278" t="s">
        <v>464</v>
      </c>
      <c r="G127" s="601">
        <v>0</v>
      </c>
      <c r="H127" s="600"/>
      <c r="I127" s="561">
        <f t="shared" si="7"/>
        <v>0</v>
      </c>
      <c r="J127" s="1631"/>
      <c r="K127" s="559" t="s">
        <v>872</v>
      </c>
      <c r="L127" s="559" t="s">
        <v>873</v>
      </c>
      <c r="M127" s="283"/>
    </row>
    <row r="128" spans="1:13" ht="12.75" x14ac:dyDescent="0.25">
      <c r="A128" s="276" t="str">
        <f t="shared" si="8"/>
        <v>ESC1.7.7</v>
      </c>
      <c r="B128" s="1618"/>
      <c r="C128" s="574" t="s">
        <v>1083</v>
      </c>
      <c r="D128" s="277" t="s">
        <v>1084</v>
      </c>
      <c r="E128" s="799" t="str">
        <f>IF(VLOOKUP(D128,'EMBOP-SI_ITA'!$D$4:$D$225,1,FALSE)=D128,"YES","NO")</f>
        <v>YES</v>
      </c>
      <c r="F128" s="278" t="s">
        <v>464</v>
      </c>
      <c r="G128" s="601">
        <v>0</v>
      </c>
      <c r="H128" s="600"/>
      <c r="I128" s="561">
        <f t="shared" si="7"/>
        <v>0</v>
      </c>
      <c r="J128" s="1631"/>
      <c r="K128" s="559" t="s">
        <v>872</v>
      </c>
      <c r="L128" s="559" t="s">
        <v>873</v>
      </c>
      <c r="M128" s="283"/>
    </row>
    <row r="129" spans="1:13" ht="12.75" x14ac:dyDescent="0.25">
      <c r="A129" s="276" t="str">
        <f t="shared" si="8"/>
        <v>ESC1.7.8</v>
      </c>
      <c r="B129" s="1618"/>
      <c r="C129" s="574" t="s">
        <v>1085</v>
      </c>
      <c r="D129" s="277" t="s">
        <v>1086</v>
      </c>
      <c r="E129" s="799" t="str">
        <f>IF(VLOOKUP(D129,'EMBOP-SI_ITA'!$D$4:$D$225,1,FALSE)=D129,"YES","NO")</f>
        <v>YES</v>
      </c>
      <c r="F129" s="278" t="s">
        <v>464</v>
      </c>
      <c r="G129" s="601">
        <v>0</v>
      </c>
      <c r="H129" s="600"/>
      <c r="I129" s="561">
        <f t="shared" si="7"/>
        <v>0</v>
      </c>
      <c r="J129" s="1632"/>
      <c r="K129" s="559" t="s">
        <v>872</v>
      </c>
      <c r="L129" s="559" t="s">
        <v>873</v>
      </c>
      <c r="M129" s="283"/>
    </row>
    <row r="130" spans="1:13" ht="12.75" x14ac:dyDescent="0.25">
      <c r="A130" s="276" t="str">
        <f t="shared" si="8"/>
        <v>ESC1.7.9</v>
      </c>
      <c r="B130" s="1618"/>
      <c r="C130" s="574" t="s">
        <v>1087</v>
      </c>
      <c r="D130" s="277" t="s">
        <v>1088</v>
      </c>
      <c r="E130" s="799" t="str">
        <f>IF(VLOOKUP(D130,'EMBOP-SI_ITA'!$D$4:$D$225,1,FALSE)=D130,"YES","NO")</f>
        <v>YES</v>
      </c>
      <c r="F130" s="278" t="s">
        <v>464</v>
      </c>
      <c r="G130" s="601">
        <v>0</v>
      </c>
      <c r="H130" s="600"/>
      <c r="I130" s="561">
        <f t="shared" si="7"/>
        <v>0</v>
      </c>
      <c r="J130" s="602"/>
      <c r="K130" s="559" t="s">
        <v>872</v>
      </c>
      <c r="L130" s="559" t="s">
        <v>873</v>
      </c>
      <c r="M130" s="283"/>
    </row>
    <row r="131" spans="1:13" ht="12.75" x14ac:dyDescent="0.25">
      <c r="A131" s="276" t="str">
        <f t="shared" si="8"/>
        <v>ESC1.7.10</v>
      </c>
      <c r="B131" s="1618"/>
      <c r="C131" s="574" t="s">
        <v>1089</v>
      </c>
      <c r="D131" s="277" t="s">
        <v>1090</v>
      </c>
      <c r="E131" s="799" t="str">
        <f>IF(VLOOKUP(D131,'EMBOP-SI_ITA'!$D$4:$D$225,1,FALSE)=D131,"YES","NO")</f>
        <v>YES</v>
      </c>
      <c r="F131" s="278" t="s">
        <v>464</v>
      </c>
      <c r="G131" s="601">
        <v>0</v>
      </c>
      <c r="H131" s="600"/>
      <c r="I131" s="561">
        <f t="shared" si="7"/>
        <v>0</v>
      </c>
      <c r="J131" s="602"/>
      <c r="K131" s="559" t="s">
        <v>872</v>
      </c>
      <c r="L131" s="559" t="s">
        <v>873</v>
      </c>
      <c r="M131" s="283"/>
    </row>
    <row r="132" spans="1:13" ht="12.75" x14ac:dyDescent="0.25">
      <c r="A132" s="276" t="str">
        <f t="shared" si="8"/>
        <v>ESC1.7.11</v>
      </c>
      <c r="B132" s="1618"/>
      <c r="C132" s="574" t="s">
        <v>1091</v>
      </c>
      <c r="D132" s="277" t="s">
        <v>1092</v>
      </c>
      <c r="E132" s="799" t="str">
        <f>IF(VLOOKUP(D132,'EMBOP-SI_ITA'!$D$4:$D$225,1,FALSE)=D132,"YES","NO")</f>
        <v>YES</v>
      </c>
      <c r="F132" s="278" t="s">
        <v>464</v>
      </c>
      <c r="G132" s="601">
        <v>0</v>
      </c>
      <c r="H132" s="600"/>
      <c r="I132" s="561">
        <f t="shared" si="7"/>
        <v>0</v>
      </c>
      <c r="J132" s="602"/>
      <c r="K132" s="283" t="s">
        <v>872</v>
      </c>
      <c r="L132" s="283" t="s">
        <v>873</v>
      </c>
      <c r="M132" s="283"/>
    </row>
    <row r="133" spans="1:13" ht="12.75" x14ac:dyDescent="0.25">
      <c r="A133" s="276" t="str">
        <f t="shared" si="8"/>
        <v>ESC1.7.12</v>
      </c>
      <c r="B133" s="1618"/>
      <c r="C133" s="574" t="s">
        <v>1093</v>
      </c>
      <c r="D133" s="277" t="s">
        <v>1094</v>
      </c>
      <c r="E133" s="799" t="str">
        <f>IF(VLOOKUP(D133,'EMBOP-SI_ITA'!$D$4:$D$225,1,FALSE)=D133,"YES","NO")</f>
        <v>YES</v>
      </c>
      <c r="F133" s="278" t="s">
        <v>464</v>
      </c>
      <c r="G133" s="601">
        <v>0</v>
      </c>
      <c r="H133" s="600"/>
      <c r="I133" s="561">
        <f t="shared" si="7"/>
        <v>0</v>
      </c>
      <c r="J133" s="602"/>
      <c r="K133" s="283" t="s">
        <v>883</v>
      </c>
      <c r="L133" s="283" t="s">
        <v>873</v>
      </c>
      <c r="M133" s="283"/>
    </row>
    <row r="134" spans="1:13" ht="12.75" x14ac:dyDescent="0.25">
      <c r="A134" s="276" t="str">
        <f t="shared" si="8"/>
        <v>ESC1.7.13</v>
      </c>
      <c r="B134" s="1618"/>
      <c r="C134" s="574" t="s">
        <v>1095</v>
      </c>
      <c r="D134" s="277" t="s">
        <v>1096</v>
      </c>
      <c r="E134" s="799" t="str">
        <f>IF(VLOOKUP(D134,'EMBOP-SI_ITA'!$D$4:$D$225,1,FALSE)=D134,"YES","NO")</f>
        <v>YES</v>
      </c>
      <c r="F134" s="278" t="s">
        <v>464</v>
      </c>
      <c r="G134" s="601">
        <v>0</v>
      </c>
      <c r="H134" s="600"/>
      <c r="I134" s="561">
        <f t="shared" si="7"/>
        <v>0</v>
      </c>
      <c r="J134" s="602"/>
      <c r="K134" s="283" t="s">
        <v>872</v>
      </c>
      <c r="L134" s="283" t="s">
        <v>873</v>
      </c>
      <c r="M134" s="283"/>
    </row>
    <row r="135" spans="1:13" ht="12.75" x14ac:dyDescent="0.25">
      <c r="A135" s="276" t="str">
        <f t="shared" si="8"/>
        <v>ESC1.7.14</v>
      </c>
      <c r="B135" s="1618"/>
      <c r="C135" s="574" t="s">
        <v>1097</v>
      </c>
      <c r="D135" s="277" t="s">
        <v>1098</v>
      </c>
      <c r="E135" s="799" t="str">
        <f>IF(VLOOKUP(D135,'EMBOP-SI_ITA'!$D$4:$D$225,1,FALSE)=D135,"YES","NO")</f>
        <v>YES</v>
      </c>
      <c r="F135" s="278" t="s">
        <v>464</v>
      </c>
      <c r="G135" s="601">
        <v>0</v>
      </c>
      <c r="H135" s="600"/>
      <c r="I135" s="561">
        <f t="shared" si="7"/>
        <v>0</v>
      </c>
      <c r="J135" s="282" t="s">
        <v>871</v>
      </c>
      <c r="K135" s="283" t="s">
        <v>883</v>
      </c>
      <c r="L135" s="283" t="s">
        <v>873</v>
      </c>
      <c r="M135" s="283"/>
    </row>
    <row r="136" spans="1:13" ht="12.75" x14ac:dyDescent="0.25">
      <c r="A136" s="276" t="str">
        <f t="shared" si="8"/>
        <v>ESC1.7.15</v>
      </c>
      <c r="B136" s="1618"/>
      <c r="C136" s="574" t="s">
        <v>1099</v>
      </c>
      <c r="D136" s="277" t="s">
        <v>1100</v>
      </c>
      <c r="E136" s="799" t="str">
        <f>IF(VLOOKUP(D136,'EMBOP-SI_ITA'!$D$4:$D$225,1,FALSE)=D136,"YES","NO")</f>
        <v>YES</v>
      </c>
      <c r="F136" s="278" t="s">
        <v>464</v>
      </c>
      <c r="G136" s="601">
        <v>0</v>
      </c>
      <c r="H136" s="600"/>
      <c r="I136" s="561">
        <f t="shared" si="7"/>
        <v>0</v>
      </c>
      <c r="J136" s="282"/>
      <c r="K136" s="283" t="s">
        <v>872</v>
      </c>
      <c r="L136" s="283" t="s">
        <v>873</v>
      </c>
      <c r="M136" s="283"/>
    </row>
    <row r="137" spans="1:13" ht="12.75" x14ac:dyDescent="0.25">
      <c r="A137" s="276" t="str">
        <f t="shared" si="8"/>
        <v>ESC1.7.16</v>
      </c>
      <c r="B137" s="1618"/>
      <c r="C137" s="574" t="s">
        <v>1101</v>
      </c>
      <c r="D137" s="277" t="s">
        <v>1102</v>
      </c>
      <c r="E137" s="799" t="str">
        <f>IF(VLOOKUP(D137,'EMBOP-SI_ITA'!$D$4:$D$225,1,FALSE)=D137,"YES","NO")</f>
        <v>YES</v>
      </c>
      <c r="F137" s="278" t="s">
        <v>464</v>
      </c>
      <c r="G137" s="601">
        <v>0</v>
      </c>
      <c r="H137" s="600"/>
      <c r="I137" s="561">
        <f t="shared" si="7"/>
        <v>0</v>
      </c>
      <c r="J137" s="282" t="s">
        <v>871</v>
      </c>
      <c r="K137" s="283" t="s">
        <v>883</v>
      </c>
      <c r="L137" s="283" t="s">
        <v>873</v>
      </c>
      <c r="M137" s="283"/>
    </row>
    <row r="138" spans="1:13" ht="12.75" x14ac:dyDescent="0.25">
      <c r="A138" s="276" t="str">
        <f t="shared" si="8"/>
        <v>ESC1.7.17</v>
      </c>
      <c r="B138" s="1618"/>
      <c r="C138" s="574" t="s">
        <v>1103</v>
      </c>
      <c r="D138" s="277" t="s">
        <v>1104</v>
      </c>
      <c r="E138" s="799" t="str">
        <f>IF(VLOOKUP(D138,'EMBOP-SI_ITA'!$D$4:$D$225,1,FALSE)=D138,"YES","NO")</f>
        <v>YES</v>
      </c>
      <c r="F138" s="278" t="s">
        <v>464</v>
      </c>
      <c r="G138" s="601">
        <v>0</v>
      </c>
      <c r="H138" s="600"/>
      <c r="I138" s="561">
        <f t="shared" si="7"/>
        <v>0</v>
      </c>
      <c r="J138" s="282"/>
      <c r="K138" s="283" t="s">
        <v>872</v>
      </c>
      <c r="L138" s="283" t="s">
        <v>873</v>
      </c>
      <c r="M138" s="283"/>
    </row>
    <row r="139" spans="1:13" ht="12.75" x14ac:dyDescent="0.25">
      <c r="A139" s="276" t="str">
        <f t="shared" si="8"/>
        <v>ESC1.7.18</v>
      </c>
      <c r="B139" s="1619"/>
      <c r="C139" s="574" t="s">
        <v>1105</v>
      </c>
      <c r="D139" s="277" t="s">
        <v>1106</v>
      </c>
      <c r="E139" s="799" t="str">
        <f>IF(VLOOKUP(D139,'EMBOP-SI_ITA'!$D$4:$D$225,1,FALSE)=D139,"YES","NO")</f>
        <v>YES</v>
      </c>
      <c r="F139" s="278" t="s">
        <v>464</v>
      </c>
      <c r="G139" s="279">
        <v>0</v>
      </c>
      <c r="H139" s="600"/>
      <c r="I139" s="561">
        <f t="shared" si="7"/>
        <v>0</v>
      </c>
      <c r="J139" s="282" t="s">
        <v>871</v>
      </c>
      <c r="K139" s="283" t="s">
        <v>883</v>
      </c>
      <c r="L139" s="283" t="s">
        <v>873</v>
      </c>
      <c r="M139" s="283"/>
    </row>
    <row r="140" spans="1:13" ht="13.5" customHeight="1" x14ac:dyDescent="0.25">
      <c r="A140" s="276" t="e">
        <f>+CONCATENATE($A$115,".",TEXT(ROW(#REF!)-ROW($A$1),0))</f>
        <v>#REF!</v>
      </c>
      <c r="B140" s="1617" t="s">
        <v>1107</v>
      </c>
      <c r="C140" s="599" t="s">
        <v>1108</v>
      </c>
      <c r="D140" s="537" t="s">
        <v>1109</v>
      </c>
      <c r="E140" s="803" t="str">
        <f>IF(VLOOKUP(D140,'EMBOP-SI_ITA'!$D$4:$D$225,1,FALSE)=D140,"YES","NO")</f>
        <v>YES</v>
      </c>
      <c r="F140" s="278" t="s">
        <v>464</v>
      </c>
      <c r="G140" s="279">
        <v>0</v>
      </c>
      <c r="H140" s="280"/>
      <c r="I140" s="561">
        <f t="shared" si="7"/>
        <v>0</v>
      </c>
      <c r="J140" s="282" t="s">
        <v>871</v>
      </c>
      <c r="K140" s="283" t="s">
        <v>883</v>
      </c>
      <c r="L140" s="283" t="s">
        <v>873</v>
      </c>
      <c r="M140" s="283"/>
    </row>
    <row r="141" spans="1:13" ht="34.5" customHeight="1" x14ac:dyDescent="0.25">
      <c r="A141" s="276" t="e">
        <f>+CONCATENATE($A$115,".",TEXT(ROW(#REF!)-ROW($A$1),0))</f>
        <v>#REF!</v>
      </c>
      <c r="B141" s="1619"/>
      <c r="C141" s="558" t="s">
        <v>1110</v>
      </c>
      <c r="D141" s="537" t="s">
        <v>1111</v>
      </c>
      <c r="E141" s="803" t="str">
        <f>IF(VLOOKUP(D141,'EMBOP-SI_ITA'!$D$4:$D$225,1,FALSE)=D141,"YES","NO")</f>
        <v>YES</v>
      </c>
      <c r="F141" s="278" t="s">
        <v>464</v>
      </c>
      <c r="G141" s="279">
        <v>0</v>
      </c>
      <c r="H141" s="280"/>
      <c r="I141" s="561">
        <f t="shared" si="7"/>
        <v>0</v>
      </c>
      <c r="J141" s="282" t="s">
        <v>871</v>
      </c>
      <c r="K141" s="283" t="s">
        <v>883</v>
      </c>
      <c r="L141" s="283" t="s">
        <v>873</v>
      </c>
      <c r="M141" s="283"/>
    </row>
    <row r="142" spans="1:13" ht="38.25" x14ac:dyDescent="0.25">
      <c r="A142" s="631" t="str">
        <f>+CONCATENATE($A$115,".",TEXT(ROW(A20)-ROW($A$1),0))</f>
        <v>ESC1.7.19</v>
      </c>
      <c r="B142" s="637" t="s">
        <v>973</v>
      </c>
      <c r="C142" s="632" t="s">
        <v>806</v>
      </c>
      <c r="D142" s="698" t="s">
        <v>1112</v>
      </c>
      <c r="E142" s="804" t="str">
        <f>IF(VLOOKUP(D142,'EMBOP-SI_ITA'!$D$4:$D$225,1,FALSE)=D142,"YES","NO")</f>
        <v>YES</v>
      </c>
      <c r="F142" s="625" t="s">
        <v>464</v>
      </c>
      <c r="G142" s="624">
        <v>0</v>
      </c>
      <c r="H142" s="623"/>
      <c r="I142" s="622">
        <f t="shared" si="7"/>
        <v>0</v>
      </c>
      <c r="J142" s="621" t="s">
        <v>871</v>
      </c>
      <c r="K142" s="620" t="s">
        <v>883</v>
      </c>
      <c r="L142" s="620" t="s">
        <v>873</v>
      </c>
      <c r="M142" s="620"/>
    </row>
    <row r="143" spans="1:13" ht="12.75" x14ac:dyDescent="0.25">
      <c r="A143" s="268" t="s">
        <v>1113</v>
      </c>
      <c r="B143" s="598"/>
      <c r="C143" s="268"/>
      <c r="D143" s="268" t="s">
        <v>1114</v>
      </c>
      <c r="E143" s="816" t="str">
        <f>IF(VLOOKUP(D143,'EMBOP-SI_ITA'!$D$4:$D$225,1,FALSE)=D143,"YES","NO")</f>
        <v>YES</v>
      </c>
      <c r="F143" s="269"/>
      <c r="G143" s="597"/>
      <c r="H143" s="272"/>
      <c r="I143" s="272"/>
      <c r="J143" s="272"/>
      <c r="K143" s="274"/>
      <c r="L143" s="274"/>
      <c r="M143" s="274"/>
    </row>
    <row r="144" spans="1:13" s="579" customFormat="1" ht="12.75" x14ac:dyDescent="0.25">
      <c r="A144" s="589" t="s">
        <v>1115</v>
      </c>
      <c r="B144" s="588"/>
      <c r="C144" s="596" t="s">
        <v>1116</v>
      </c>
      <c r="D144" s="588" t="s">
        <v>1117</v>
      </c>
      <c r="E144" s="798" t="str">
        <f>IF(VLOOKUP(D144,'EMBOP-SI_ITA'!$D$4:$D$225,1,FALSE)=D144,"YES","NO")</f>
        <v>YES</v>
      </c>
      <c r="F144" s="566"/>
      <c r="G144" s="587"/>
      <c r="H144" s="586"/>
      <c r="I144" s="586"/>
      <c r="J144" s="585"/>
      <c r="K144" s="584"/>
      <c r="L144" s="584"/>
      <c r="M144" s="584"/>
    </row>
    <row r="145" spans="1:13" s="579" customFormat="1" ht="25.5" x14ac:dyDescent="0.25">
      <c r="A145" s="595" t="str">
        <f>+CONCATENATE($A$144,".",TEXT(ROW(A2)-ROW($A$1),0))</f>
        <v>ECC2.1.1</v>
      </c>
      <c r="B145" s="582" t="s">
        <v>1118</v>
      </c>
      <c r="C145" s="581" t="s">
        <v>1119</v>
      </c>
      <c r="D145" s="582" t="s">
        <v>1120</v>
      </c>
      <c r="E145" s="805" t="str">
        <f>IF(VLOOKUP(D145,'EMBOP-SI_ITA'!$D$4:$D$225,1,FALSE)=D145,"YES","NO")</f>
        <v>YES</v>
      </c>
      <c r="F145" s="581" t="s">
        <v>345</v>
      </c>
      <c r="G145" s="279">
        <v>0</v>
      </c>
      <c r="H145" s="280"/>
      <c r="I145" s="281">
        <f>+G145*H145</f>
        <v>0</v>
      </c>
      <c r="J145" s="282" t="s">
        <v>871</v>
      </c>
      <c r="K145" s="283" t="s">
        <v>883</v>
      </c>
      <c r="L145" s="283" t="s">
        <v>873</v>
      </c>
      <c r="M145" s="580"/>
    </row>
    <row r="146" spans="1:13" s="579" customFormat="1" ht="25.5" x14ac:dyDescent="0.25">
      <c r="A146" s="595" t="str">
        <f>+CONCATENATE($A$144,".",TEXT(ROW(A3)-ROW($A$1),0))</f>
        <v>ECC2.1.2</v>
      </c>
      <c r="B146" s="582" t="s">
        <v>1118</v>
      </c>
      <c r="C146" s="581" t="s">
        <v>1121</v>
      </c>
      <c r="D146" s="582" t="s">
        <v>1122</v>
      </c>
      <c r="E146" s="805" t="str">
        <f>IF(VLOOKUP(D146,'EMBOP-SI_ITA'!$D$4:$D$225,1,FALSE)=D146,"YES","NO")</f>
        <v>YES</v>
      </c>
      <c r="F146" s="581" t="s">
        <v>345</v>
      </c>
      <c r="G146" s="279">
        <v>0</v>
      </c>
      <c r="H146" s="280"/>
      <c r="I146" s="281">
        <f>+G146*H146</f>
        <v>0</v>
      </c>
      <c r="J146" s="282" t="s">
        <v>871</v>
      </c>
      <c r="K146" s="283" t="s">
        <v>883</v>
      </c>
      <c r="L146" s="283" t="s">
        <v>873</v>
      </c>
      <c r="M146" s="580"/>
    </row>
    <row r="147" spans="1:13" s="579" customFormat="1" ht="12.75" x14ac:dyDescent="0.25">
      <c r="A147" s="589" t="s">
        <v>1123</v>
      </c>
      <c r="B147" s="588"/>
      <c r="C147" s="566" t="s">
        <v>1124</v>
      </c>
      <c r="D147" s="588" t="s">
        <v>1125</v>
      </c>
      <c r="E147" s="798" t="str">
        <f>IF(VLOOKUP(D147,'EMBOP-SI_ITA'!$D$4:$D$225,1,FALSE)=D147,"YES","NO")</f>
        <v>YES</v>
      </c>
      <c r="F147" s="566"/>
      <c r="G147" s="587"/>
      <c r="H147" s="586"/>
      <c r="I147" s="586"/>
      <c r="J147" s="585"/>
      <c r="K147" s="584"/>
      <c r="L147" s="584"/>
      <c r="M147" s="584"/>
    </row>
    <row r="148" spans="1:13" s="579" customFormat="1" ht="25.5" x14ac:dyDescent="0.25">
      <c r="A148" s="583" t="str">
        <f t="shared" ref="A148:A164" si="9">+CONCATENATE($A$147,".",TEXT(ROW(A2)-ROW($A$1),0))</f>
        <v>ECC2.2.1</v>
      </c>
      <c r="B148" s="582" t="s">
        <v>1118</v>
      </c>
      <c r="C148" s="581" t="s">
        <v>1126</v>
      </c>
      <c r="D148" s="591" t="s">
        <v>1127</v>
      </c>
      <c r="E148" s="806" t="str">
        <f>IF(VLOOKUP(D148,'EMBOP-SI_ITA'!$D$4:$D$225,1,FALSE)=D148,"YES","NO")</f>
        <v>YES</v>
      </c>
      <c r="F148" s="581" t="s">
        <v>345</v>
      </c>
      <c r="G148" s="279">
        <v>0</v>
      </c>
      <c r="H148" s="280"/>
      <c r="I148" s="281">
        <f t="shared" ref="I148:I164" si="10">+G148*H148</f>
        <v>0</v>
      </c>
      <c r="J148" s="282" t="s">
        <v>871</v>
      </c>
      <c r="K148" s="283" t="s">
        <v>1128</v>
      </c>
      <c r="L148" s="283" t="s">
        <v>873</v>
      </c>
      <c r="M148" s="594"/>
    </row>
    <row r="149" spans="1:13" s="579" customFormat="1" ht="25.5" x14ac:dyDescent="0.25">
      <c r="A149" s="583" t="str">
        <f t="shared" si="9"/>
        <v>ECC2.2.2</v>
      </c>
      <c r="B149" s="582" t="s">
        <v>1118</v>
      </c>
      <c r="C149" s="581" t="s">
        <v>1129</v>
      </c>
      <c r="D149" s="591" t="s">
        <v>1130</v>
      </c>
      <c r="E149" s="806" t="str">
        <f>IF(VLOOKUP(D149,'EMBOP-SI_ITA'!$D$4:$D$225,1,FALSE)=D149,"YES","NO")</f>
        <v>YES</v>
      </c>
      <c r="F149" s="581" t="s">
        <v>345</v>
      </c>
      <c r="G149" s="279">
        <v>0</v>
      </c>
      <c r="H149" s="280"/>
      <c r="I149" s="281">
        <f t="shared" si="10"/>
        <v>0</v>
      </c>
      <c r="J149" s="282" t="s">
        <v>871</v>
      </c>
      <c r="K149" s="283" t="s">
        <v>1128</v>
      </c>
      <c r="L149" s="283" t="s">
        <v>873</v>
      </c>
      <c r="M149" s="594"/>
    </row>
    <row r="150" spans="1:13" s="579" customFormat="1" ht="25.5" x14ac:dyDescent="0.25">
      <c r="A150" s="583" t="str">
        <f t="shared" si="9"/>
        <v>ECC2.2.3</v>
      </c>
      <c r="B150" s="582" t="s">
        <v>1118</v>
      </c>
      <c r="C150" s="581" t="s">
        <v>1131</v>
      </c>
      <c r="D150" s="591" t="s">
        <v>1132</v>
      </c>
      <c r="E150" s="806" t="str">
        <f>IF(VLOOKUP(D150,'EMBOP-SI_ITA'!$D$4:$D$225,1,FALSE)=D150,"YES","NO")</f>
        <v>YES</v>
      </c>
      <c r="F150" s="581" t="s">
        <v>345</v>
      </c>
      <c r="G150" s="279">
        <v>0</v>
      </c>
      <c r="H150" s="280"/>
      <c r="I150" s="281">
        <f t="shared" si="10"/>
        <v>0</v>
      </c>
      <c r="J150" s="282" t="s">
        <v>871</v>
      </c>
      <c r="K150" s="283" t="s">
        <v>1128</v>
      </c>
      <c r="L150" s="283" t="s">
        <v>873</v>
      </c>
      <c r="M150" s="594"/>
    </row>
    <row r="151" spans="1:13" s="579" customFormat="1" ht="25.5" x14ac:dyDescent="0.25">
      <c r="A151" s="583" t="str">
        <f t="shared" si="9"/>
        <v>ECC2.2.4</v>
      </c>
      <c r="B151" s="582" t="s">
        <v>1118</v>
      </c>
      <c r="C151" s="581" t="s">
        <v>1133</v>
      </c>
      <c r="D151" s="591" t="s">
        <v>1134</v>
      </c>
      <c r="E151" s="806" t="str">
        <f>IF(VLOOKUP(D151,'EMBOP-SI_ITA'!$D$4:$D$225,1,FALSE)=D151,"YES","NO")</f>
        <v>YES</v>
      </c>
      <c r="F151" s="581" t="s">
        <v>345</v>
      </c>
      <c r="G151" s="279">
        <v>0</v>
      </c>
      <c r="H151" s="280"/>
      <c r="I151" s="281">
        <f t="shared" si="10"/>
        <v>0</v>
      </c>
      <c r="J151" s="282" t="s">
        <v>871</v>
      </c>
      <c r="K151" s="283" t="s">
        <v>1128</v>
      </c>
      <c r="L151" s="283" t="s">
        <v>873</v>
      </c>
      <c r="M151" s="594"/>
    </row>
    <row r="152" spans="1:13" s="579" customFormat="1" ht="25.5" x14ac:dyDescent="0.25">
      <c r="A152" s="583" t="str">
        <f t="shared" si="9"/>
        <v>ECC2.2.5</v>
      </c>
      <c r="B152" s="582" t="s">
        <v>1118</v>
      </c>
      <c r="C152" s="581" t="s">
        <v>1135</v>
      </c>
      <c r="D152" s="591" t="s">
        <v>1136</v>
      </c>
      <c r="E152" s="806" t="str">
        <f>IF(VLOOKUP(D152,'EMBOP-SI_ITA'!$D$4:$D$225,1,FALSE)=D152,"YES","NO")</f>
        <v>YES</v>
      </c>
      <c r="F152" s="581" t="s">
        <v>345</v>
      </c>
      <c r="G152" s="279">
        <v>0</v>
      </c>
      <c r="H152" s="280"/>
      <c r="I152" s="281">
        <f t="shared" si="10"/>
        <v>0</v>
      </c>
      <c r="J152" s="282" t="s">
        <v>871</v>
      </c>
      <c r="K152" s="283" t="s">
        <v>1128</v>
      </c>
      <c r="L152" s="283" t="s">
        <v>873</v>
      </c>
      <c r="M152" s="594"/>
    </row>
    <row r="153" spans="1:13" s="579" customFormat="1" ht="25.5" x14ac:dyDescent="0.25">
      <c r="A153" s="583" t="str">
        <f t="shared" si="9"/>
        <v>ECC2.2.6</v>
      </c>
      <c r="B153" s="582" t="s">
        <v>1118</v>
      </c>
      <c r="C153" s="581" t="s">
        <v>1137</v>
      </c>
      <c r="D153" s="591" t="s">
        <v>1138</v>
      </c>
      <c r="E153" s="806" t="str">
        <f>IF(VLOOKUP(D153,'EMBOP-SI_ITA'!$D$4:$D$225,1,FALSE)=D153,"YES","NO")</f>
        <v>YES</v>
      </c>
      <c r="F153" s="581" t="s">
        <v>345</v>
      </c>
      <c r="G153" s="279">
        <v>0</v>
      </c>
      <c r="H153" s="280"/>
      <c r="I153" s="281">
        <f t="shared" si="10"/>
        <v>0</v>
      </c>
      <c r="J153" s="282" t="s">
        <v>871</v>
      </c>
      <c r="K153" s="283" t="s">
        <v>1128</v>
      </c>
      <c r="L153" s="283" t="s">
        <v>873</v>
      </c>
      <c r="M153" s="594"/>
    </row>
    <row r="154" spans="1:13" s="579" customFormat="1" ht="25.5" x14ac:dyDescent="0.25">
      <c r="A154" s="583" t="str">
        <f t="shared" si="9"/>
        <v>ECC2.2.7</v>
      </c>
      <c r="B154" s="582" t="s">
        <v>1118</v>
      </c>
      <c r="C154" s="581" t="s">
        <v>1139</v>
      </c>
      <c r="D154" s="591" t="s">
        <v>1140</v>
      </c>
      <c r="E154" s="806" t="str">
        <f>IF(VLOOKUP(D154,'EMBOP-SI_ITA'!$D$4:$D$225,1,FALSE)=D154,"YES","NO")</f>
        <v>YES</v>
      </c>
      <c r="F154" s="581" t="s">
        <v>345</v>
      </c>
      <c r="G154" s="279">
        <v>0</v>
      </c>
      <c r="H154" s="280"/>
      <c r="I154" s="281">
        <f t="shared" si="10"/>
        <v>0</v>
      </c>
      <c r="J154" s="282" t="s">
        <v>871</v>
      </c>
      <c r="K154" s="283" t="s">
        <v>1128</v>
      </c>
      <c r="L154" s="283" t="s">
        <v>873</v>
      </c>
      <c r="M154" s="594"/>
    </row>
    <row r="155" spans="1:13" s="579" customFormat="1" ht="25.5" x14ac:dyDescent="0.25">
      <c r="A155" s="583" t="str">
        <f t="shared" si="9"/>
        <v>ECC2.2.8</v>
      </c>
      <c r="B155" s="582" t="s">
        <v>1118</v>
      </c>
      <c r="C155" s="581" t="s">
        <v>1141</v>
      </c>
      <c r="D155" s="591" t="s">
        <v>1142</v>
      </c>
      <c r="E155" s="806" t="str">
        <f>IF(VLOOKUP(D155,'EMBOP-SI_ITA'!$D$4:$D$225,1,FALSE)=D155,"YES","NO")</f>
        <v>YES</v>
      </c>
      <c r="F155" s="581" t="s">
        <v>345</v>
      </c>
      <c r="G155" s="279">
        <v>0</v>
      </c>
      <c r="H155" s="280"/>
      <c r="I155" s="281">
        <f t="shared" si="10"/>
        <v>0</v>
      </c>
      <c r="J155" s="282" t="s">
        <v>871</v>
      </c>
      <c r="K155" s="283" t="s">
        <v>1128</v>
      </c>
      <c r="L155" s="283" t="s">
        <v>873</v>
      </c>
      <c r="M155" s="594"/>
    </row>
    <row r="156" spans="1:13" s="579" customFormat="1" ht="25.5" x14ac:dyDescent="0.25">
      <c r="A156" s="583" t="str">
        <f t="shared" si="9"/>
        <v>ECC2.2.9</v>
      </c>
      <c r="B156" s="582" t="s">
        <v>1118</v>
      </c>
      <c r="C156" s="581" t="s">
        <v>1143</v>
      </c>
      <c r="D156" s="591" t="s">
        <v>1144</v>
      </c>
      <c r="E156" s="806" t="str">
        <f>IF(VLOOKUP(D156,'EMBOP-SI_ITA'!$D$4:$D$225,1,FALSE)=D156,"YES","NO")</f>
        <v>YES</v>
      </c>
      <c r="F156" s="581" t="s">
        <v>345</v>
      </c>
      <c r="G156" s="279">
        <v>0</v>
      </c>
      <c r="H156" s="280"/>
      <c r="I156" s="281">
        <f t="shared" si="10"/>
        <v>0</v>
      </c>
      <c r="J156" s="282" t="s">
        <v>871</v>
      </c>
      <c r="K156" s="283" t="s">
        <v>1128</v>
      </c>
      <c r="L156" s="283" t="s">
        <v>873</v>
      </c>
      <c r="M156" s="594"/>
    </row>
    <row r="157" spans="1:13" s="579" customFormat="1" ht="25.5" x14ac:dyDescent="0.25">
      <c r="A157" s="583" t="str">
        <f t="shared" si="9"/>
        <v>ECC2.2.10</v>
      </c>
      <c r="B157" s="582" t="s">
        <v>1118</v>
      </c>
      <c r="C157" s="581" t="s">
        <v>1145</v>
      </c>
      <c r="D157" s="591" t="s">
        <v>1146</v>
      </c>
      <c r="E157" s="806" t="str">
        <f>IF(VLOOKUP(D157,'EMBOP-SI_ITA'!$D$4:$D$225,1,FALSE)=D157,"YES","NO")</f>
        <v>YES</v>
      </c>
      <c r="F157" s="581" t="s">
        <v>345</v>
      </c>
      <c r="G157" s="279">
        <v>0</v>
      </c>
      <c r="H157" s="280"/>
      <c r="I157" s="281">
        <f t="shared" si="10"/>
        <v>0</v>
      </c>
      <c r="J157" s="282" t="s">
        <v>871</v>
      </c>
      <c r="K157" s="283" t="s">
        <v>1128</v>
      </c>
      <c r="L157" s="283" t="s">
        <v>873</v>
      </c>
      <c r="M157" s="594"/>
    </row>
    <row r="158" spans="1:13" s="579" customFormat="1" ht="25.5" x14ac:dyDescent="0.25">
      <c r="A158" s="583" t="str">
        <f t="shared" si="9"/>
        <v>ECC2.2.11</v>
      </c>
      <c r="B158" s="582" t="s">
        <v>1118</v>
      </c>
      <c r="C158" s="581" t="s">
        <v>1147</v>
      </c>
      <c r="D158" s="591" t="s">
        <v>1148</v>
      </c>
      <c r="E158" s="806" t="str">
        <f>IF(VLOOKUP(D158,'EMBOP-SI_ITA'!$D$4:$D$225,1,FALSE)=D158,"YES","NO")</f>
        <v>YES</v>
      </c>
      <c r="F158" s="581" t="s">
        <v>345</v>
      </c>
      <c r="G158" s="279">
        <v>0</v>
      </c>
      <c r="H158" s="280"/>
      <c r="I158" s="281">
        <f t="shared" si="10"/>
        <v>0</v>
      </c>
      <c r="J158" s="282" t="s">
        <v>871</v>
      </c>
      <c r="K158" s="283" t="s">
        <v>1128</v>
      </c>
      <c r="L158" s="283" t="s">
        <v>873</v>
      </c>
      <c r="M158" s="594"/>
    </row>
    <row r="159" spans="1:13" s="579" customFormat="1" ht="25.5" x14ac:dyDescent="0.25">
      <c r="A159" s="583" t="str">
        <f t="shared" si="9"/>
        <v>ECC2.2.12</v>
      </c>
      <c r="B159" s="582" t="s">
        <v>1118</v>
      </c>
      <c r="C159" s="581" t="s">
        <v>1149</v>
      </c>
      <c r="D159" s="591" t="s">
        <v>1150</v>
      </c>
      <c r="E159" s="806" t="str">
        <f>IF(VLOOKUP(D159,'EMBOP-SI_ITA'!$D$4:$D$225,1,FALSE)=D159,"YES","NO")</f>
        <v>YES</v>
      </c>
      <c r="F159" s="581" t="s">
        <v>345</v>
      </c>
      <c r="G159" s="279">
        <v>0</v>
      </c>
      <c r="H159" s="280"/>
      <c r="I159" s="281">
        <f t="shared" si="10"/>
        <v>0</v>
      </c>
      <c r="J159" s="282" t="s">
        <v>871</v>
      </c>
      <c r="K159" s="283" t="s">
        <v>1128</v>
      </c>
      <c r="L159" s="283" t="s">
        <v>873</v>
      </c>
      <c r="M159" s="594"/>
    </row>
    <row r="160" spans="1:13" s="579" customFormat="1" ht="25.5" x14ac:dyDescent="0.25">
      <c r="A160" s="583" t="str">
        <f t="shared" si="9"/>
        <v>ECC2.2.13</v>
      </c>
      <c r="B160" s="582" t="s">
        <v>1118</v>
      </c>
      <c r="C160" s="581" t="s">
        <v>1151</v>
      </c>
      <c r="D160" s="591" t="s">
        <v>1152</v>
      </c>
      <c r="E160" s="806" t="str">
        <f>IF(VLOOKUP(D160,'EMBOP-SI_ITA'!$D$4:$D$225,1,FALSE)=D160,"YES","NO")</f>
        <v>YES</v>
      </c>
      <c r="F160" s="581" t="s">
        <v>345</v>
      </c>
      <c r="G160" s="279">
        <v>0</v>
      </c>
      <c r="H160" s="280"/>
      <c r="I160" s="281">
        <f t="shared" si="10"/>
        <v>0</v>
      </c>
      <c r="J160" s="282" t="s">
        <v>871</v>
      </c>
      <c r="K160" s="283" t="s">
        <v>1128</v>
      </c>
      <c r="L160" s="283" t="s">
        <v>873</v>
      </c>
      <c r="M160" s="594"/>
    </row>
    <row r="161" spans="1:13" s="579" customFormat="1" ht="25.5" x14ac:dyDescent="0.25">
      <c r="A161" s="583" t="str">
        <f t="shared" si="9"/>
        <v>ECC2.2.14</v>
      </c>
      <c r="B161" s="582" t="s">
        <v>1118</v>
      </c>
      <c r="C161" s="581" t="s">
        <v>1153</v>
      </c>
      <c r="D161" s="591" t="s">
        <v>1154</v>
      </c>
      <c r="E161" s="806" t="str">
        <f>IF(VLOOKUP(D161,'EMBOP-SI_ITA'!$D$4:$D$225,1,FALSE)=D161,"YES","NO")</f>
        <v>YES</v>
      </c>
      <c r="F161" s="581" t="s">
        <v>345</v>
      </c>
      <c r="G161" s="279">
        <v>0</v>
      </c>
      <c r="H161" s="280"/>
      <c r="I161" s="281">
        <f t="shared" si="10"/>
        <v>0</v>
      </c>
      <c r="J161" s="282" t="s">
        <v>871</v>
      </c>
      <c r="K161" s="283" t="s">
        <v>1128</v>
      </c>
      <c r="L161" s="283" t="s">
        <v>873</v>
      </c>
      <c r="M161" s="594"/>
    </row>
    <row r="162" spans="1:13" s="579" customFormat="1" ht="25.5" x14ac:dyDescent="0.25">
      <c r="A162" s="583" t="str">
        <f t="shared" si="9"/>
        <v>ECC2.2.15</v>
      </c>
      <c r="B162" s="582" t="s">
        <v>1118</v>
      </c>
      <c r="C162" s="581" t="s">
        <v>1155</v>
      </c>
      <c r="D162" s="591" t="s">
        <v>1156</v>
      </c>
      <c r="E162" s="806" t="str">
        <f>IF(VLOOKUP(D162,'EMBOP-SI_ITA'!$D$4:$D$225,1,FALSE)=D162,"YES","NO")</f>
        <v>YES</v>
      </c>
      <c r="F162" s="581" t="s">
        <v>345</v>
      </c>
      <c r="G162" s="279">
        <v>0</v>
      </c>
      <c r="H162" s="280"/>
      <c r="I162" s="281">
        <f t="shared" si="10"/>
        <v>0</v>
      </c>
      <c r="J162" s="282" t="s">
        <v>871</v>
      </c>
      <c r="K162" s="283" t="s">
        <v>1128</v>
      </c>
      <c r="L162" s="283" t="s">
        <v>873</v>
      </c>
      <c r="M162" s="594"/>
    </row>
    <row r="163" spans="1:13" s="579" customFormat="1" ht="25.5" x14ac:dyDescent="0.25">
      <c r="A163" s="583" t="str">
        <f t="shared" si="9"/>
        <v>ECC2.2.16</v>
      </c>
      <c r="B163" s="582" t="s">
        <v>1118</v>
      </c>
      <c r="C163" s="581" t="s">
        <v>1157</v>
      </c>
      <c r="D163" s="591" t="s">
        <v>1158</v>
      </c>
      <c r="E163" s="806" t="str">
        <f>IF(VLOOKUP(D163,'EMBOP-SI_ITA'!$D$4:$D$225,1,FALSE)=D163,"YES","NO")</f>
        <v>YES</v>
      </c>
      <c r="F163" s="581" t="s">
        <v>345</v>
      </c>
      <c r="G163" s="279">
        <v>0</v>
      </c>
      <c r="H163" s="280"/>
      <c r="I163" s="281">
        <f t="shared" si="10"/>
        <v>0</v>
      </c>
      <c r="J163" s="282" t="s">
        <v>871</v>
      </c>
      <c r="K163" s="283" t="s">
        <v>1128</v>
      </c>
      <c r="L163" s="283" t="s">
        <v>873</v>
      </c>
      <c r="M163" s="594"/>
    </row>
    <row r="164" spans="1:13" s="579" customFormat="1" ht="25.5" x14ac:dyDescent="0.25">
      <c r="A164" s="583" t="str">
        <f t="shared" si="9"/>
        <v>ECC2.2.17</v>
      </c>
      <c r="B164" s="582" t="s">
        <v>1118</v>
      </c>
      <c r="C164" s="581" t="s">
        <v>1159</v>
      </c>
      <c r="D164" s="591" t="s">
        <v>1160</v>
      </c>
      <c r="E164" s="806" t="str">
        <f>IF(VLOOKUP(D164,'EMBOP-SI_ITA'!$D$4:$D$225,1,FALSE)=D164,"YES","NO")</f>
        <v>YES</v>
      </c>
      <c r="F164" s="581" t="s">
        <v>345</v>
      </c>
      <c r="G164" s="279">
        <v>0</v>
      </c>
      <c r="H164" s="280"/>
      <c r="I164" s="281">
        <f t="shared" si="10"/>
        <v>0</v>
      </c>
      <c r="J164" s="282" t="s">
        <v>871</v>
      </c>
      <c r="K164" s="283" t="s">
        <v>1128</v>
      </c>
      <c r="L164" s="283" t="s">
        <v>873</v>
      </c>
      <c r="M164" s="594"/>
    </row>
    <row r="165" spans="1:13" s="579" customFormat="1" ht="12.75" x14ac:dyDescent="0.25">
      <c r="A165" s="589" t="s">
        <v>1161</v>
      </c>
      <c r="B165" s="588"/>
      <c r="C165" s="566" t="s">
        <v>1162</v>
      </c>
      <c r="D165" s="588" t="s">
        <v>1163</v>
      </c>
      <c r="E165" s="798" t="str">
        <f>IF(VLOOKUP(D165,'EMBOP-SI_ITA'!$D$4:$D$225,1,FALSE)=D165,"YES","NO")</f>
        <v>YES</v>
      </c>
      <c r="F165" s="566"/>
      <c r="G165" s="566"/>
      <c r="H165" s="593"/>
      <c r="I165" s="593"/>
      <c r="J165" s="593"/>
      <c r="K165" s="584"/>
      <c r="L165" s="584"/>
      <c r="M165" s="584"/>
    </row>
    <row r="166" spans="1:13" s="579" customFormat="1" ht="25.5" x14ac:dyDescent="0.25">
      <c r="A166" s="583" t="str">
        <f t="shared" ref="A166:A171" si="11">+CONCATENATE($A$165,".",TEXT(ROW(A2)-ROW($A$1),0))</f>
        <v>ECC2.3.1</v>
      </c>
      <c r="B166" s="582" t="s">
        <v>1118</v>
      </c>
      <c r="C166" s="581" t="s">
        <v>1164</v>
      </c>
      <c r="D166" s="591" t="s">
        <v>1165</v>
      </c>
      <c r="E166" s="806" t="str">
        <f>IF(VLOOKUP(D166,'EMBOP-SI_ITA'!$D$4:$D$225,1,FALSE)=D166,"YES","NO")</f>
        <v>YES</v>
      </c>
      <c r="F166" s="581" t="s">
        <v>345</v>
      </c>
      <c r="G166" s="279">
        <v>0</v>
      </c>
      <c r="H166" s="280"/>
      <c r="I166" s="281">
        <f t="shared" ref="I166:I171" si="12">+G166*H166</f>
        <v>0</v>
      </c>
      <c r="J166" s="282" t="s">
        <v>871</v>
      </c>
      <c r="K166" s="283" t="s">
        <v>1128</v>
      </c>
      <c r="L166" s="283" t="s">
        <v>873</v>
      </c>
      <c r="M166" s="580"/>
    </row>
    <row r="167" spans="1:13" s="579" customFormat="1" ht="25.5" x14ac:dyDescent="0.25">
      <c r="A167" s="583" t="str">
        <f t="shared" si="11"/>
        <v>ECC2.3.2</v>
      </c>
      <c r="B167" s="582" t="s">
        <v>1118</v>
      </c>
      <c r="C167" s="581" t="s">
        <v>1166</v>
      </c>
      <c r="D167" s="591" t="s">
        <v>1167</v>
      </c>
      <c r="E167" s="806" t="str">
        <f>IF(VLOOKUP(D167,'EMBOP-SI_ITA'!$D$4:$D$225,1,FALSE)=D167,"YES","NO")</f>
        <v>YES</v>
      </c>
      <c r="F167" s="581" t="s">
        <v>345</v>
      </c>
      <c r="G167" s="279">
        <v>0</v>
      </c>
      <c r="H167" s="280"/>
      <c r="I167" s="281">
        <f t="shared" si="12"/>
        <v>0</v>
      </c>
      <c r="J167" s="282" t="s">
        <v>871</v>
      </c>
      <c r="K167" s="283" t="s">
        <v>1128</v>
      </c>
      <c r="L167" s="283" t="s">
        <v>873</v>
      </c>
      <c r="M167" s="580"/>
    </row>
    <row r="168" spans="1:13" s="579" customFormat="1" ht="25.5" x14ac:dyDescent="0.25">
      <c r="A168" s="583" t="str">
        <f t="shared" si="11"/>
        <v>ECC2.3.3</v>
      </c>
      <c r="B168" s="582" t="s">
        <v>1118</v>
      </c>
      <c r="C168" s="581" t="s">
        <v>1168</v>
      </c>
      <c r="D168" s="591" t="s">
        <v>1169</v>
      </c>
      <c r="E168" s="806" t="str">
        <f>IF(VLOOKUP(D168,'EMBOP-SI_ITA'!$D$4:$D$225,1,FALSE)=D168,"YES","NO")</f>
        <v>YES</v>
      </c>
      <c r="F168" s="581" t="s">
        <v>345</v>
      </c>
      <c r="G168" s="279">
        <v>0</v>
      </c>
      <c r="H168" s="280"/>
      <c r="I168" s="281">
        <f t="shared" si="12"/>
        <v>0</v>
      </c>
      <c r="J168" s="282" t="s">
        <v>871</v>
      </c>
      <c r="K168" s="283" t="s">
        <v>1128</v>
      </c>
      <c r="L168" s="283" t="s">
        <v>873</v>
      </c>
      <c r="M168" s="580"/>
    </row>
    <row r="169" spans="1:13" s="579" customFormat="1" ht="25.5" x14ac:dyDescent="0.25">
      <c r="A169" s="583" t="str">
        <f t="shared" si="11"/>
        <v>ECC2.3.4</v>
      </c>
      <c r="B169" s="582" t="s">
        <v>1118</v>
      </c>
      <c r="C169" s="581" t="s">
        <v>1170</v>
      </c>
      <c r="D169" s="591" t="s">
        <v>1171</v>
      </c>
      <c r="E169" s="806" t="str">
        <f>IF(VLOOKUP(D169,'EMBOP-SI_ITA'!$D$4:$D$225,1,FALSE)=D169,"YES","NO")</f>
        <v>YES</v>
      </c>
      <c r="F169" s="581" t="s">
        <v>345</v>
      </c>
      <c r="G169" s="279">
        <v>0</v>
      </c>
      <c r="H169" s="280"/>
      <c r="I169" s="281">
        <f t="shared" si="12"/>
        <v>0</v>
      </c>
      <c r="J169" s="282" t="s">
        <v>871</v>
      </c>
      <c r="K169" s="283" t="s">
        <v>1128</v>
      </c>
      <c r="L169" s="283" t="s">
        <v>873</v>
      </c>
      <c r="M169" s="580"/>
    </row>
    <row r="170" spans="1:13" s="579" customFormat="1" ht="25.5" x14ac:dyDescent="0.25">
      <c r="A170" s="583" t="str">
        <f t="shared" si="11"/>
        <v>ECC2.3.5</v>
      </c>
      <c r="B170" s="582" t="s">
        <v>1118</v>
      </c>
      <c r="C170" s="581" t="s">
        <v>1172</v>
      </c>
      <c r="D170" s="591" t="s">
        <v>1173</v>
      </c>
      <c r="E170" s="806" t="str">
        <f>IF(VLOOKUP(D170,'EMBOP-SI_ITA'!$D$4:$D$225,1,FALSE)=D170,"YES","NO")</f>
        <v>YES</v>
      </c>
      <c r="F170" s="581" t="s">
        <v>345</v>
      </c>
      <c r="G170" s="279">
        <v>0</v>
      </c>
      <c r="H170" s="280"/>
      <c r="I170" s="281">
        <f t="shared" si="12"/>
        <v>0</v>
      </c>
      <c r="J170" s="282" t="s">
        <v>871</v>
      </c>
      <c r="K170" s="283" t="s">
        <v>1128</v>
      </c>
      <c r="L170" s="283" t="s">
        <v>873</v>
      </c>
      <c r="M170" s="580"/>
    </row>
    <row r="171" spans="1:13" s="579" customFormat="1" ht="26.25" customHeight="1" x14ac:dyDescent="0.25">
      <c r="A171" s="583" t="str">
        <f t="shared" si="11"/>
        <v>ECC2.3.6</v>
      </c>
      <c r="B171" s="582" t="s">
        <v>1118</v>
      </c>
      <c r="C171" s="581" t="s">
        <v>1174</v>
      </c>
      <c r="D171" s="591" t="s">
        <v>1175</v>
      </c>
      <c r="E171" s="806" t="str">
        <f>IF(VLOOKUP(D171,'EMBOP-SI_ITA'!$D$4:$D$225,1,FALSE)=D171,"YES","NO")</f>
        <v>YES</v>
      </c>
      <c r="F171" s="581" t="s">
        <v>345</v>
      </c>
      <c r="G171" s="279">
        <v>0</v>
      </c>
      <c r="H171" s="280"/>
      <c r="I171" s="281">
        <f t="shared" si="12"/>
        <v>0</v>
      </c>
      <c r="J171" s="282" t="s">
        <v>871</v>
      </c>
      <c r="K171" s="283" t="s">
        <v>1128</v>
      </c>
      <c r="L171" s="283" t="s">
        <v>873</v>
      </c>
      <c r="M171" s="580"/>
    </row>
    <row r="172" spans="1:13" s="579" customFormat="1" ht="12.75" x14ac:dyDescent="0.25">
      <c r="A172" s="589" t="s">
        <v>1176</v>
      </c>
      <c r="B172" s="588"/>
      <c r="C172" s="566" t="s">
        <v>1177</v>
      </c>
      <c r="D172" s="588" t="s">
        <v>1178</v>
      </c>
      <c r="E172" s="798" t="str">
        <f>IF(VLOOKUP(D172,'EMBOP-SI_ITA'!$D$4:$D$225,1,FALSE)=D172,"YES","NO")</f>
        <v>YES</v>
      </c>
      <c r="F172" s="566"/>
      <c r="G172" s="587"/>
      <c r="H172" s="586"/>
      <c r="I172" s="586"/>
      <c r="J172" s="585"/>
      <c r="K172" s="584"/>
      <c r="L172" s="584"/>
      <c r="M172" s="584"/>
    </row>
    <row r="173" spans="1:13" s="579" customFormat="1" ht="25.5" x14ac:dyDescent="0.25">
      <c r="A173" s="583" t="str">
        <f t="shared" ref="A173:A178" si="13">+CONCATENATE($A$172,".",TEXT(ROW(A2)-ROW($A$1),0))</f>
        <v>ECC2.4.1</v>
      </c>
      <c r="B173" s="582" t="s">
        <v>1118</v>
      </c>
      <c r="C173" s="592" t="s">
        <v>1179</v>
      </c>
      <c r="D173" s="591" t="s">
        <v>1180</v>
      </c>
      <c r="E173" s="806" t="str">
        <f>IF(VLOOKUP(D173,'EMBOP-SI_ITA'!$D$4:$D$225,1,FALSE)=D173,"YES","NO")</f>
        <v>YES</v>
      </c>
      <c r="F173" s="581" t="s">
        <v>345</v>
      </c>
      <c r="G173" s="279">
        <v>0</v>
      </c>
      <c r="H173" s="280"/>
      <c r="I173" s="281">
        <f t="shared" ref="I173:I186" si="14">+G173*H173</f>
        <v>0</v>
      </c>
      <c r="J173" s="282" t="s">
        <v>871</v>
      </c>
      <c r="K173" s="283" t="s">
        <v>1128</v>
      </c>
      <c r="L173" s="283" t="s">
        <v>873</v>
      </c>
      <c r="M173" s="580"/>
    </row>
    <row r="174" spans="1:13" s="579" customFormat="1" ht="25.5" x14ac:dyDescent="0.25">
      <c r="A174" s="583" t="str">
        <f t="shared" si="13"/>
        <v>ECC2.4.2</v>
      </c>
      <c r="B174" s="582" t="s">
        <v>1118</v>
      </c>
      <c r="C174" s="592" t="s">
        <v>1181</v>
      </c>
      <c r="D174" s="591" t="s">
        <v>1182</v>
      </c>
      <c r="E174" s="806" t="str">
        <f>IF(VLOOKUP(D174,'EMBOP-SI_ITA'!$D$4:$D$225,1,FALSE)=D174,"YES","NO")</f>
        <v>YES</v>
      </c>
      <c r="F174" s="581" t="s">
        <v>345</v>
      </c>
      <c r="G174" s="279">
        <v>0</v>
      </c>
      <c r="H174" s="280"/>
      <c r="I174" s="281">
        <f t="shared" si="14"/>
        <v>0</v>
      </c>
      <c r="J174" s="282" t="s">
        <v>871</v>
      </c>
      <c r="K174" s="283" t="s">
        <v>1128</v>
      </c>
      <c r="L174" s="283" t="s">
        <v>873</v>
      </c>
      <c r="M174" s="580"/>
    </row>
    <row r="175" spans="1:13" s="579" customFormat="1" ht="25.5" x14ac:dyDescent="0.25">
      <c r="A175" s="583" t="str">
        <f t="shared" si="13"/>
        <v>ECC2.4.3</v>
      </c>
      <c r="B175" s="582" t="s">
        <v>1118</v>
      </c>
      <c r="C175" s="592" t="s">
        <v>1183</v>
      </c>
      <c r="D175" s="591" t="s">
        <v>1184</v>
      </c>
      <c r="E175" s="806" t="str">
        <f>IF(VLOOKUP(D175,'EMBOP-SI_ITA'!$D$4:$D$225,1,FALSE)=D175,"YES","NO")</f>
        <v>YES</v>
      </c>
      <c r="F175" s="581" t="s">
        <v>345</v>
      </c>
      <c r="G175" s="279">
        <v>0</v>
      </c>
      <c r="H175" s="280"/>
      <c r="I175" s="281">
        <f t="shared" si="14"/>
        <v>0</v>
      </c>
      <c r="J175" s="282" t="s">
        <v>871</v>
      </c>
      <c r="K175" s="283" t="s">
        <v>1128</v>
      </c>
      <c r="L175" s="283" t="s">
        <v>873</v>
      </c>
      <c r="M175" s="580"/>
    </row>
    <row r="176" spans="1:13" s="579" customFormat="1" ht="25.5" x14ac:dyDescent="0.25">
      <c r="A176" s="583" t="str">
        <f t="shared" si="13"/>
        <v>ECC2.4.4</v>
      </c>
      <c r="B176" s="582" t="s">
        <v>1118</v>
      </c>
      <c r="C176" s="592" t="s">
        <v>1185</v>
      </c>
      <c r="D176" s="591" t="s">
        <v>1186</v>
      </c>
      <c r="E176" s="806" t="str">
        <f>IF(VLOOKUP(D176,'EMBOP-SI_ITA'!$D$4:$D$225,1,FALSE)=D176,"YES","NO")</f>
        <v>YES</v>
      </c>
      <c r="F176" s="581" t="s">
        <v>345</v>
      </c>
      <c r="G176" s="279">
        <v>0</v>
      </c>
      <c r="H176" s="280"/>
      <c r="I176" s="281">
        <f t="shared" si="14"/>
        <v>0</v>
      </c>
      <c r="J176" s="282" t="s">
        <v>871</v>
      </c>
      <c r="K176" s="283" t="s">
        <v>1128</v>
      </c>
      <c r="L176" s="283" t="s">
        <v>873</v>
      </c>
      <c r="M176" s="580"/>
    </row>
    <row r="177" spans="1:13" s="579" customFormat="1" ht="25.5" x14ac:dyDescent="0.25">
      <c r="A177" s="583" t="str">
        <f t="shared" si="13"/>
        <v>ECC2.4.5</v>
      </c>
      <c r="B177" s="582" t="s">
        <v>1118</v>
      </c>
      <c r="C177" s="592" t="s">
        <v>1187</v>
      </c>
      <c r="D177" s="591" t="s">
        <v>1188</v>
      </c>
      <c r="E177" s="806" t="str">
        <f>IF(VLOOKUP(D177,'EMBOP-SI_ITA'!$D$4:$D$225,1,FALSE)=D177,"YES","NO")</f>
        <v>YES</v>
      </c>
      <c r="F177" s="581" t="s">
        <v>345</v>
      </c>
      <c r="G177" s="279">
        <v>0</v>
      </c>
      <c r="H177" s="280"/>
      <c r="I177" s="281">
        <f t="shared" si="14"/>
        <v>0</v>
      </c>
      <c r="J177" s="282" t="s">
        <v>871</v>
      </c>
      <c r="K177" s="283" t="s">
        <v>1128</v>
      </c>
      <c r="L177" s="283" t="s">
        <v>873</v>
      </c>
      <c r="M177" s="580"/>
    </row>
    <row r="178" spans="1:13" s="579" customFormat="1" ht="25.5" x14ac:dyDescent="0.25">
      <c r="A178" s="583" t="str">
        <f t="shared" si="13"/>
        <v>ECC2.4.6</v>
      </c>
      <c r="B178" s="582" t="s">
        <v>1118</v>
      </c>
      <c r="C178" s="592" t="s">
        <v>1189</v>
      </c>
      <c r="D178" s="591" t="s">
        <v>1190</v>
      </c>
      <c r="E178" s="806" t="str">
        <f>IF(VLOOKUP(D178,'EMBOP-SI_ITA'!$D$4:$D$225,1,FALSE)=D178,"YES","NO")</f>
        <v>YES</v>
      </c>
      <c r="F178" s="581" t="s">
        <v>345</v>
      </c>
      <c r="G178" s="279">
        <v>0</v>
      </c>
      <c r="H178" s="280"/>
      <c r="I178" s="281">
        <f t="shared" si="14"/>
        <v>0</v>
      </c>
      <c r="J178" s="282" t="s">
        <v>871</v>
      </c>
      <c r="K178" s="283" t="s">
        <v>1128</v>
      </c>
      <c r="L178" s="283" t="s">
        <v>873</v>
      </c>
      <c r="M178" s="580"/>
    </row>
    <row r="179" spans="1:13" s="579" customFormat="1" ht="26.25" customHeight="1" x14ac:dyDescent="0.25">
      <c r="A179" s="583" t="str">
        <f>+CONCATENATE($A$172,".",TEXT(ROW(A9)-ROW($A$1),0))</f>
        <v>ECC2.4.8</v>
      </c>
      <c r="B179" s="582" t="s">
        <v>1118</v>
      </c>
      <c r="C179" s="592" t="s">
        <v>1191</v>
      </c>
      <c r="D179" s="591" t="s">
        <v>1192</v>
      </c>
      <c r="E179" s="806" t="str">
        <f>IF(VLOOKUP(D179,'EMBOP-SI_ITA'!$D$4:$D$225,1,FALSE)=D179,"YES","NO")</f>
        <v>YES</v>
      </c>
      <c r="F179" s="581" t="s">
        <v>345</v>
      </c>
      <c r="G179" s="279">
        <v>0</v>
      </c>
      <c r="H179" s="280"/>
      <c r="I179" s="281">
        <f t="shared" si="14"/>
        <v>0</v>
      </c>
      <c r="J179" s="282" t="s">
        <v>871</v>
      </c>
      <c r="K179" s="283" t="s">
        <v>1128</v>
      </c>
      <c r="L179" s="283" t="s">
        <v>873</v>
      </c>
      <c r="M179" s="580"/>
    </row>
    <row r="180" spans="1:13" s="579" customFormat="1" ht="25.5" x14ac:dyDescent="0.25">
      <c r="A180" s="583" t="str">
        <f>+CONCATENATE($A$172,".",TEXT(ROW(A11)-ROW($A$1),0))</f>
        <v>ECC2.4.10</v>
      </c>
      <c r="B180" s="582" t="s">
        <v>1118</v>
      </c>
      <c r="C180" s="592" t="s">
        <v>1193</v>
      </c>
      <c r="D180" s="591" t="s">
        <v>1194</v>
      </c>
      <c r="E180" s="806" t="str">
        <f>IF(VLOOKUP(D180,'EMBOP-SI_ITA'!$D$4:$D$225,1,FALSE)=D180,"YES","NO")</f>
        <v>YES</v>
      </c>
      <c r="F180" s="581" t="s">
        <v>345</v>
      </c>
      <c r="G180" s="279">
        <v>0</v>
      </c>
      <c r="H180" s="280"/>
      <c r="I180" s="281">
        <f t="shared" si="14"/>
        <v>0</v>
      </c>
      <c r="J180" s="282" t="s">
        <v>871</v>
      </c>
      <c r="K180" s="283" t="s">
        <v>1128</v>
      </c>
      <c r="L180" s="283" t="s">
        <v>873</v>
      </c>
      <c r="M180" s="580"/>
    </row>
    <row r="181" spans="1:13" s="579" customFormat="1" ht="25.5" x14ac:dyDescent="0.25">
      <c r="A181" s="583" t="e">
        <f>+CONCATENATE($A$172,".",TEXT(ROW(#REF!)-ROW($A$1),0))</f>
        <v>#REF!</v>
      </c>
      <c r="B181" s="582" t="s">
        <v>1118</v>
      </c>
      <c r="C181" s="592" t="s">
        <v>1195</v>
      </c>
      <c r="D181" s="591" t="s">
        <v>1196</v>
      </c>
      <c r="E181" s="806" t="str">
        <f>IF(VLOOKUP(D181,'EMBOP-SI_ITA'!$D$4:$D$225,1,FALSE)=D181,"YES","NO")</f>
        <v>YES</v>
      </c>
      <c r="F181" s="581" t="s">
        <v>345</v>
      </c>
      <c r="G181" s="279">
        <v>0</v>
      </c>
      <c r="H181" s="280"/>
      <c r="I181" s="281">
        <f t="shared" si="14"/>
        <v>0</v>
      </c>
      <c r="J181" s="282" t="s">
        <v>871</v>
      </c>
      <c r="K181" s="283" t="s">
        <v>1128</v>
      </c>
      <c r="L181" s="283" t="s">
        <v>873</v>
      </c>
      <c r="M181" s="580"/>
    </row>
    <row r="182" spans="1:13" s="579" customFormat="1" ht="25.5" x14ac:dyDescent="0.25">
      <c r="A182" s="583" t="e">
        <f>+CONCATENATE($A$172,".",TEXT(ROW(#REF!)-ROW($A$1),0))</f>
        <v>#REF!</v>
      </c>
      <c r="B182" s="582" t="s">
        <v>1118</v>
      </c>
      <c r="C182" s="592" t="s">
        <v>1197</v>
      </c>
      <c r="D182" s="591" t="s">
        <v>1198</v>
      </c>
      <c r="E182" s="806" t="str">
        <f>IF(VLOOKUP(D182,'EMBOP-SI_ITA'!$D$4:$D$225,1,FALSE)=D182,"YES","NO")</f>
        <v>YES</v>
      </c>
      <c r="F182" s="581" t="s">
        <v>345</v>
      </c>
      <c r="G182" s="279">
        <v>0</v>
      </c>
      <c r="H182" s="280"/>
      <c r="I182" s="281">
        <f t="shared" si="14"/>
        <v>0</v>
      </c>
      <c r="J182" s="282" t="s">
        <v>871</v>
      </c>
      <c r="K182" s="283" t="s">
        <v>1128</v>
      </c>
      <c r="L182" s="283" t="s">
        <v>873</v>
      </c>
      <c r="M182" s="580"/>
    </row>
    <row r="183" spans="1:13" s="579" customFormat="1" ht="25.5" x14ac:dyDescent="0.25">
      <c r="A183" s="583" t="str">
        <f>+CONCATENATE($A$172,".",TEXT(ROW(A18)-ROW($A$1),0))</f>
        <v>ECC2.4.17</v>
      </c>
      <c r="B183" s="582" t="s">
        <v>1118</v>
      </c>
      <c r="C183" s="592" t="s">
        <v>1199</v>
      </c>
      <c r="D183" s="591" t="s">
        <v>1200</v>
      </c>
      <c r="E183" s="806" t="str">
        <f>IF(VLOOKUP(D183,'EMBOP-SI_ITA'!$D$4:$D$225,1,FALSE)=D183,"YES","NO")</f>
        <v>YES</v>
      </c>
      <c r="F183" s="581" t="s">
        <v>345</v>
      </c>
      <c r="G183" s="279">
        <v>0</v>
      </c>
      <c r="H183" s="280"/>
      <c r="I183" s="281">
        <f t="shared" si="14"/>
        <v>0</v>
      </c>
      <c r="J183" s="282" t="s">
        <v>871</v>
      </c>
      <c r="K183" s="283" t="s">
        <v>1128</v>
      </c>
      <c r="L183" s="283" t="s">
        <v>873</v>
      </c>
      <c r="M183" s="580"/>
    </row>
    <row r="184" spans="1:13" s="579" customFormat="1" ht="25.5" x14ac:dyDescent="0.25">
      <c r="A184" s="583" t="str">
        <f>+CONCATENATE($A$172,".",TEXT(ROW(A19)-ROW($A$1),0))</f>
        <v>ECC2.4.18</v>
      </c>
      <c r="B184" s="582" t="s">
        <v>1118</v>
      </c>
      <c r="C184" s="592" t="s">
        <v>1201</v>
      </c>
      <c r="D184" s="591" t="s">
        <v>1202</v>
      </c>
      <c r="E184" s="806" t="str">
        <f>IF(VLOOKUP(D184,'EMBOP-SI_ITA'!$D$4:$D$225,1,FALSE)=D184,"YES","NO")</f>
        <v>YES</v>
      </c>
      <c r="F184" s="581" t="s">
        <v>345</v>
      </c>
      <c r="G184" s="279">
        <v>0</v>
      </c>
      <c r="H184" s="280"/>
      <c r="I184" s="281">
        <f t="shared" si="14"/>
        <v>0</v>
      </c>
      <c r="J184" s="282" t="s">
        <v>871</v>
      </c>
      <c r="K184" s="283" t="s">
        <v>1128</v>
      </c>
      <c r="L184" s="283" t="s">
        <v>873</v>
      </c>
      <c r="M184" s="580"/>
    </row>
    <row r="185" spans="1:13" s="579" customFormat="1" ht="26.25" customHeight="1" x14ac:dyDescent="0.25">
      <c r="A185" s="583" t="e">
        <f>+CONCATENATE($A$172,".",TEXT(ROW(#REF!)-ROW($A$1),0))</f>
        <v>#REF!</v>
      </c>
      <c r="B185" s="582" t="s">
        <v>1118</v>
      </c>
      <c r="C185" s="592" t="s">
        <v>1203</v>
      </c>
      <c r="D185" s="591" t="s">
        <v>1204</v>
      </c>
      <c r="E185" s="806" t="str">
        <f>IF(VLOOKUP(D185,'EMBOP-SI_ITA'!$D$4:$D$225,1,FALSE)=D185,"YES","NO")</f>
        <v>YES</v>
      </c>
      <c r="F185" s="581" t="s">
        <v>345</v>
      </c>
      <c r="G185" s="279">
        <v>0</v>
      </c>
      <c r="H185" s="280"/>
      <c r="I185" s="281">
        <f t="shared" si="14"/>
        <v>0</v>
      </c>
      <c r="J185" s="282" t="s">
        <v>871</v>
      </c>
      <c r="K185" s="283" t="s">
        <v>1128</v>
      </c>
      <c r="L185" s="283" t="s">
        <v>873</v>
      </c>
      <c r="M185" s="580"/>
    </row>
    <row r="186" spans="1:13" s="579" customFormat="1" ht="26.25" customHeight="1" x14ac:dyDescent="0.25">
      <c r="A186" s="583" t="e">
        <f>+CONCATENATE($A$172,".",TEXT(ROW(#REF!)-ROW($A$1),0))</f>
        <v>#REF!</v>
      </c>
      <c r="B186" s="582" t="s">
        <v>1118</v>
      </c>
      <c r="C186" s="592" t="s">
        <v>1205</v>
      </c>
      <c r="D186" s="591" t="s">
        <v>1206</v>
      </c>
      <c r="E186" s="806" t="str">
        <f>IF(VLOOKUP(D186,'EMBOP-SI_ITA'!$D$4:$D$225,1,FALSE)=D186,"YES","NO")</f>
        <v>YES</v>
      </c>
      <c r="F186" s="581" t="s">
        <v>345</v>
      </c>
      <c r="G186" s="279">
        <v>0</v>
      </c>
      <c r="H186" s="280"/>
      <c r="I186" s="281">
        <f t="shared" si="14"/>
        <v>0</v>
      </c>
      <c r="J186" s="282" t="s">
        <v>871</v>
      </c>
      <c r="K186" s="283" t="s">
        <v>1128</v>
      </c>
      <c r="L186" s="283" t="s">
        <v>873</v>
      </c>
      <c r="M186" s="580"/>
    </row>
    <row r="187" spans="1:13" s="579" customFormat="1" ht="26.25" customHeight="1" x14ac:dyDescent="0.25">
      <c r="A187" s="589" t="s">
        <v>1176</v>
      </c>
      <c r="B187" s="588"/>
      <c r="C187" s="566" t="s">
        <v>1207</v>
      </c>
      <c r="D187" s="588" t="s">
        <v>1208</v>
      </c>
      <c r="E187" s="798" t="e">
        <f>IF(VLOOKUP(D187,'EMBOP-SI_ITA'!$D$4:$D$225,1,FALSE)=D187,"YES","NO")</f>
        <v>#N/A</v>
      </c>
      <c r="F187" s="566"/>
      <c r="G187" s="587"/>
      <c r="H187" s="586"/>
      <c r="I187" s="586"/>
      <c r="J187" s="585"/>
      <c r="K187" s="584"/>
      <c r="L187" s="584"/>
      <c r="M187" s="584"/>
    </row>
    <row r="188" spans="1:13" s="579" customFormat="1" ht="76.5" x14ac:dyDescent="0.25">
      <c r="A188" s="583"/>
      <c r="B188" s="582" t="s">
        <v>1209</v>
      </c>
      <c r="C188" s="590" t="s">
        <v>1210</v>
      </c>
      <c r="D188" s="277" t="s">
        <v>1211</v>
      </c>
      <c r="E188" s="799" t="e">
        <f>IF(VLOOKUP(D188,'EMBOP-SI_ITA'!$D$4:$D$225,1,FALSE)=D188,"YES","NO")</f>
        <v>#N/A</v>
      </c>
      <c r="F188" s="581" t="s">
        <v>464</v>
      </c>
      <c r="G188" s="279">
        <v>0</v>
      </c>
      <c r="H188" s="280"/>
      <c r="I188" s="281">
        <f>+G188*H188</f>
        <v>0</v>
      </c>
      <c r="J188" s="282" t="s">
        <v>871</v>
      </c>
      <c r="K188" s="283" t="s">
        <v>1128</v>
      </c>
      <c r="L188" s="283" t="s">
        <v>873</v>
      </c>
      <c r="M188" s="580"/>
    </row>
    <row r="189" spans="1:13" s="579" customFormat="1" ht="12.75" x14ac:dyDescent="0.25">
      <c r="A189" s="589" t="s">
        <v>1212</v>
      </c>
      <c r="B189" s="588"/>
      <c r="C189" s="566" t="s">
        <v>1213</v>
      </c>
      <c r="D189" s="588" t="s">
        <v>1214</v>
      </c>
      <c r="E189" s="798" t="str">
        <f>IF(VLOOKUP(D189,'EMBOP-SI_ITA'!$D$4:$D$225,1,FALSE)=D189,"YES","NO")</f>
        <v>YES</v>
      </c>
      <c r="F189" s="566"/>
      <c r="G189" s="587"/>
      <c r="H189" s="586"/>
      <c r="I189" s="586"/>
      <c r="J189" s="585"/>
      <c r="K189" s="584"/>
      <c r="L189" s="584"/>
      <c r="M189" s="584"/>
    </row>
    <row r="190" spans="1:13" s="579" customFormat="1" ht="25.5" x14ac:dyDescent="0.25">
      <c r="A190" s="583" t="str">
        <f>+CONCATENATE($A$189,".",TEXT(ROW(A2)-ROW($A$1),0))</f>
        <v>ECC2.24.2.1</v>
      </c>
      <c r="B190" s="582" t="s">
        <v>1118</v>
      </c>
      <c r="C190" s="581" t="s">
        <v>1215</v>
      </c>
      <c r="D190" s="582" t="s">
        <v>1216</v>
      </c>
      <c r="E190" s="805" t="str">
        <f>IF(VLOOKUP(D190,'EMBOP-SI_ITA'!$D$4:$D$225,1,FALSE)=D190,"YES","NO")</f>
        <v>YES</v>
      </c>
      <c r="F190" s="581" t="s">
        <v>1045</v>
      </c>
      <c r="G190" s="279">
        <v>0</v>
      </c>
      <c r="H190" s="280"/>
      <c r="I190" s="281">
        <f>+G190*H190</f>
        <v>0</v>
      </c>
      <c r="J190" s="282" t="s">
        <v>871</v>
      </c>
      <c r="K190" s="283" t="s">
        <v>1128</v>
      </c>
      <c r="L190" s="283" t="s">
        <v>873</v>
      </c>
      <c r="M190" s="580"/>
    </row>
    <row r="191" spans="1:13" s="579" customFormat="1" ht="25.5" x14ac:dyDescent="0.25">
      <c r="A191" s="583" t="str">
        <f>+CONCATENATE($A$189,".",TEXT(ROW(A3)-ROW($A$1),0))</f>
        <v>ECC2.24.2.2</v>
      </c>
      <c r="B191" s="582" t="s">
        <v>1118</v>
      </c>
      <c r="C191" s="581" t="s">
        <v>1217</v>
      </c>
      <c r="D191" s="582" t="s">
        <v>1218</v>
      </c>
      <c r="E191" s="805" t="str">
        <f>IF(VLOOKUP(D191,'EMBOP-SI_ITA'!$D$4:$D$225,1,FALSE)=D191,"YES","NO")</f>
        <v>YES</v>
      </c>
      <c r="F191" s="581" t="s">
        <v>1045</v>
      </c>
      <c r="G191" s="279">
        <v>0</v>
      </c>
      <c r="H191" s="280"/>
      <c r="I191" s="281">
        <f>+G191*H191</f>
        <v>0</v>
      </c>
      <c r="J191" s="282" t="s">
        <v>871</v>
      </c>
      <c r="K191" s="283" t="s">
        <v>1128</v>
      </c>
      <c r="L191" s="283" t="s">
        <v>873</v>
      </c>
      <c r="M191" s="580"/>
    </row>
    <row r="192" spans="1:13" s="579" customFormat="1" ht="25.5" x14ac:dyDescent="0.25">
      <c r="A192" s="583" t="str">
        <f>+CONCATENATE($A$191,".",TEXT(ROW(A2)-ROW($A$1),0))</f>
        <v>ECC2.24.2.2.1</v>
      </c>
      <c r="B192" s="582" t="s">
        <v>1118</v>
      </c>
      <c r="C192" s="581" t="s">
        <v>1219</v>
      </c>
      <c r="D192" s="582" t="s">
        <v>1220</v>
      </c>
      <c r="E192" s="805" t="str">
        <f>IF(VLOOKUP(D192,'EMBOP-SI_ITA'!$D$4:$D$225,1,FALSE)=D192,"YES","NO")</f>
        <v>YES</v>
      </c>
      <c r="F192" s="581" t="s">
        <v>1045</v>
      </c>
      <c r="G192" s="279">
        <v>0</v>
      </c>
      <c r="H192" s="280"/>
      <c r="I192" s="281">
        <f>+G192*H192</f>
        <v>0</v>
      </c>
      <c r="J192" s="282" t="s">
        <v>871</v>
      </c>
      <c r="K192" s="283" t="s">
        <v>1128</v>
      </c>
      <c r="L192" s="283" t="s">
        <v>873</v>
      </c>
      <c r="M192" s="580"/>
    </row>
    <row r="193" spans="1:13" s="579" customFormat="1" ht="25.5" x14ac:dyDescent="0.25">
      <c r="A193" s="583" t="str">
        <f>+CONCATENATE($A$191,".",TEXT(ROW(A3)-ROW($A$1),0))</f>
        <v>ECC2.24.2.2.2</v>
      </c>
      <c r="B193" s="582" t="s">
        <v>1118</v>
      </c>
      <c r="C193" s="581" t="s">
        <v>1221</v>
      </c>
      <c r="D193" s="582" t="s">
        <v>1222</v>
      </c>
      <c r="E193" s="805" t="str">
        <f>IF(VLOOKUP(D193,'EMBOP-SI_ITA'!$D$4:$D$225,1,FALSE)=D193,"YES","NO")</f>
        <v>YES</v>
      </c>
      <c r="F193" s="581" t="s">
        <v>1045</v>
      </c>
      <c r="G193" s="279">
        <v>0</v>
      </c>
      <c r="H193" s="280"/>
      <c r="I193" s="281">
        <f>+G193*H193</f>
        <v>0</v>
      </c>
      <c r="J193" s="282" t="s">
        <v>871</v>
      </c>
      <c r="K193" s="283" t="s">
        <v>1128</v>
      </c>
      <c r="L193" s="283" t="s">
        <v>873</v>
      </c>
      <c r="M193" s="580"/>
    </row>
    <row r="194" spans="1:13" s="579" customFormat="1" ht="26.25" customHeight="1" x14ac:dyDescent="0.25">
      <c r="A194" s="583" t="str">
        <f>+CONCATENATE($A$191,".",TEXT(ROW(A4)-ROW($A$1),0))</f>
        <v>ECC2.24.2.2.3</v>
      </c>
      <c r="B194" s="582" t="s">
        <v>1118</v>
      </c>
      <c r="C194" s="581" t="s">
        <v>1223</v>
      </c>
      <c r="D194" s="582" t="s">
        <v>1224</v>
      </c>
      <c r="E194" s="805" t="str">
        <f>IF(VLOOKUP(D194,'EMBOP-SI_ITA'!$D$4:$D$225,1,FALSE)=D194,"YES","NO")</f>
        <v>YES</v>
      </c>
      <c r="F194" s="581" t="s">
        <v>1045</v>
      </c>
      <c r="G194" s="279">
        <v>0</v>
      </c>
      <c r="H194" s="280"/>
      <c r="I194" s="281">
        <f>+G194*H194</f>
        <v>0</v>
      </c>
      <c r="J194" s="282" t="s">
        <v>871</v>
      </c>
      <c r="K194" s="283" t="s">
        <v>1128</v>
      </c>
      <c r="L194" s="283" t="s">
        <v>873</v>
      </c>
      <c r="M194" s="580"/>
    </row>
    <row r="195" spans="1:13" ht="25.5" x14ac:dyDescent="0.25">
      <c r="A195" s="553" t="s">
        <v>1225</v>
      </c>
      <c r="B195" s="551"/>
      <c r="C195" s="551"/>
      <c r="D195" s="552" t="s">
        <v>1226</v>
      </c>
      <c r="E195" s="798" t="str">
        <f>IF(VLOOKUP(D195,'EMBOP-SI_ITA'!$D$4:$D$225,1,FALSE)=D195,"YES","NO")</f>
        <v>YES</v>
      </c>
      <c r="F195" s="551"/>
      <c r="G195" s="567"/>
      <c r="H195" s="565"/>
      <c r="I195" s="565"/>
      <c r="J195" s="549"/>
      <c r="K195" s="548"/>
      <c r="L195" s="548"/>
      <c r="M195" s="548"/>
    </row>
    <row r="196" spans="1:13" ht="76.5" x14ac:dyDescent="0.25">
      <c r="A196" s="276" t="str">
        <f>+CONCATENATE($A$195,".",TEXT(ROW(A2)-ROW($A$1),0))</f>
        <v>ESC2.24.4.1</v>
      </c>
      <c r="B196" s="563" t="s">
        <v>1227</v>
      </c>
      <c r="C196" s="574" t="s">
        <v>1228</v>
      </c>
      <c r="D196" s="277" t="s">
        <v>1229</v>
      </c>
      <c r="E196" s="799" t="str">
        <f>IF(VLOOKUP(D196,'EMBOP-SI_ITA'!$D$4:$D$225,1,FALSE)=D196,"YES","NO")</f>
        <v>YES</v>
      </c>
      <c r="F196" s="278" t="s">
        <v>464</v>
      </c>
      <c r="G196" s="279">
        <v>0</v>
      </c>
      <c r="H196" s="280"/>
      <c r="I196" s="281">
        <f>+G196*H196</f>
        <v>0</v>
      </c>
      <c r="J196" s="282" t="s">
        <v>871</v>
      </c>
      <c r="K196" s="283" t="s">
        <v>872</v>
      </c>
      <c r="L196" s="283" t="s">
        <v>873</v>
      </c>
      <c r="M196" s="283"/>
    </row>
    <row r="197" spans="1:13" ht="102" x14ac:dyDescent="0.25">
      <c r="A197" s="276" t="str">
        <f>+CONCATENATE($A$195,".",TEXT(ROW(A3)-ROW($A$1),0))</f>
        <v>ESC2.24.4.2</v>
      </c>
      <c r="B197" s="564" t="s">
        <v>1230</v>
      </c>
      <c r="C197" s="574" t="s">
        <v>1231</v>
      </c>
      <c r="D197" s="277" t="s">
        <v>1232</v>
      </c>
      <c r="E197" s="799" t="str">
        <f>IF(VLOOKUP(D197,'EMBOP-SI_ITA'!$D$4:$D$225,1,FALSE)=D197,"YES","NO")</f>
        <v>YES</v>
      </c>
      <c r="F197" s="278" t="s">
        <v>464</v>
      </c>
      <c r="G197" s="279">
        <v>0</v>
      </c>
      <c r="H197" s="280"/>
      <c r="I197" s="281">
        <f>+G197*H197</f>
        <v>0</v>
      </c>
      <c r="J197" s="282" t="s">
        <v>871</v>
      </c>
      <c r="K197" s="283" t="s">
        <v>883</v>
      </c>
      <c r="L197" s="283" t="s">
        <v>873</v>
      </c>
      <c r="M197" s="283"/>
    </row>
    <row r="198" spans="1:13" s="275" customFormat="1" ht="12.75" x14ac:dyDescent="0.25">
      <c r="A198" s="268" t="s">
        <v>1233</v>
      </c>
      <c r="B198" s="578"/>
      <c r="C198" s="578"/>
      <c r="D198" s="270" t="s">
        <v>1234</v>
      </c>
      <c r="E198" s="807" t="str">
        <f>IF(VLOOKUP(D198,'EMBOP-SI_ITA'!$D$4:$D$225,1,FALSE)=D198,"YES","NO")</f>
        <v>YES</v>
      </c>
      <c r="F198" s="269"/>
      <c r="G198" s="271"/>
      <c r="H198" s="285"/>
      <c r="I198" s="285"/>
      <c r="J198" s="273" t="s">
        <v>871</v>
      </c>
      <c r="K198" s="274"/>
      <c r="L198" s="274"/>
      <c r="M198" s="274"/>
    </row>
    <row r="199" spans="1:13" ht="63.75" x14ac:dyDescent="0.25">
      <c r="A199" s="276" t="str">
        <f>+CONCATENATE($A$198,".",TEXT(ROW(A2)-ROW($A$1),0))</f>
        <v>ESC3.1</v>
      </c>
      <c r="B199" s="564" t="s">
        <v>1235</v>
      </c>
      <c r="C199" s="575" t="s">
        <v>1236</v>
      </c>
      <c r="D199" s="277" t="s">
        <v>1237</v>
      </c>
      <c r="E199" s="799" t="str">
        <f>IF(VLOOKUP(D199,'EMBOP-SI_ITA'!$D$4:$D$225,1,FALSE)=D199,"YES","NO")</f>
        <v>YES</v>
      </c>
      <c r="F199" s="278" t="s">
        <v>141</v>
      </c>
      <c r="G199" s="279">
        <v>0</v>
      </c>
      <c r="H199" s="280"/>
      <c r="I199" s="281">
        <f>+G199*H199</f>
        <v>0</v>
      </c>
      <c r="J199" s="282" t="s">
        <v>871</v>
      </c>
      <c r="K199" s="283" t="s">
        <v>872</v>
      </c>
      <c r="L199" s="283" t="s">
        <v>873</v>
      </c>
      <c r="M199" s="283"/>
    </row>
    <row r="200" spans="1:13" ht="89.25" x14ac:dyDescent="0.25">
      <c r="A200" s="276" t="str">
        <f>+CONCATENATE($A$198,".",TEXT(ROW(A3)-ROW($A$1),0))</f>
        <v>ESC3.2</v>
      </c>
      <c r="B200" s="564" t="s">
        <v>1238</v>
      </c>
      <c r="C200" s="575" t="s">
        <v>1239</v>
      </c>
      <c r="D200" s="277" t="s">
        <v>1240</v>
      </c>
      <c r="E200" s="799" t="str">
        <f>IF(VLOOKUP(D200,'EMBOP-SI_ITA'!$D$4:$D$225,1,FALSE)=D200,"YES","NO")</f>
        <v>YES</v>
      </c>
      <c r="F200" s="278" t="s">
        <v>141</v>
      </c>
      <c r="G200" s="279">
        <v>0</v>
      </c>
      <c r="H200" s="280"/>
      <c r="I200" s="281">
        <f>+G200*H200</f>
        <v>0</v>
      </c>
      <c r="J200" s="282" t="s">
        <v>871</v>
      </c>
      <c r="K200" s="283" t="s">
        <v>883</v>
      </c>
      <c r="L200" s="283" t="s">
        <v>873</v>
      </c>
      <c r="M200" s="283"/>
    </row>
    <row r="201" spans="1:13" s="275" customFormat="1" ht="12.75" x14ac:dyDescent="0.25">
      <c r="A201" s="268" t="s">
        <v>1241</v>
      </c>
      <c r="B201" s="269"/>
      <c r="C201" s="269"/>
      <c r="D201" s="270" t="s">
        <v>1242</v>
      </c>
      <c r="E201" s="807" t="str">
        <f>IF(VLOOKUP(D201,'EMBOP-SI_ITA'!$D$4:$D$225,1,FALSE)=D201,"YES","NO")</f>
        <v>YES</v>
      </c>
      <c r="F201" s="269"/>
      <c r="G201" s="271"/>
      <c r="H201" s="272"/>
      <c r="I201" s="272"/>
      <c r="J201" s="273"/>
      <c r="K201" s="274"/>
      <c r="L201" s="274"/>
      <c r="M201" s="274"/>
    </row>
    <row r="202" spans="1:13" s="275" customFormat="1" ht="12.75" x14ac:dyDescent="0.25">
      <c r="A202" s="553" t="s">
        <v>1243</v>
      </c>
      <c r="B202" s="551"/>
      <c r="C202" s="551"/>
      <c r="D202" s="571" t="s">
        <v>1244</v>
      </c>
      <c r="E202" s="808" t="str">
        <f>IF(VLOOKUP(D202,'EMBOP-SI_ITA'!$D$4:$D$225,1,FALSE)=D202,"YES","NO")</f>
        <v>YES</v>
      </c>
      <c r="F202" s="551"/>
      <c r="G202" s="567"/>
      <c r="H202" s="565"/>
      <c r="I202" s="565"/>
      <c r="J202" s="549"/>
      <c r="K202" s="548"/>
      <c r="L202" s="548"/>
      <c r="M202" s="548"/>
    </row>
    <row r="203" spans="1:13" ht="25.5" x14ac:dyDescent="0.25">
      <c r="A203" s="276" t="str">
        <f>+CONCATENATE($A$202,".",TEXT(ROW(A2)-ROW($A$1),0))</f>
        <v>ESC4.1.1</v>
      </c>
      <c r="B203" s="563" t="s">
        <v>1245</v>
      </c>
      <c r="C203" s="574" t="s">
        <v>1246</v>
      </c>
      <c r="D203" s="791" t="s">
        <v>1247</v>
      </c>
      <c r="E203" s="809" t="str">
        <f>IF(VLOOKUP(D203,'EMBOP-SI_ITA'!$D$4:$D$225,1,FALSE)=D203,"YES","NO")</f>
        <v>YES</v>
      </c>
      <c r="F203" s="278" t="s">
        <v>464</v>
      </c>
      <c r="G203" s="279">
        <v>0</v>
      </c>
      <c r="H203" s="280"/>
      <c r="I203" s="281">
        <f>+G203*H203</f>
        <v>0</v>
      </c>
      <c r="J203" s="282" t="s">
        <v>871</v>
      </c>
      <c r="K203" s="283" t="s">
        <v>872</v>
      </c>
      <c r="L203" s="283" t="s">
        <v>1248</v>
      </c>
      <c r="M203" s="283"/>
    </row>
    <row r="204" spans="1:13" ht="76.5" x14ac:dyDescent="0.25">
      <c r="A204" s="276" t="str">
        <f>+CONCATENATE($A$202,".",TEXT(ROW(A3)-ROW($A$1),0))</f>
        <v>ESC4.1.2</v>
      </c>
      <c r="B204" s="564" t="s">
        <v>1249</v>
      </c>
      <c r="C204" s="558" t="s">
        <v>1250</v>
      </c>
      <c r="D204" s="791" t="s">
        <v>1251</v>
      </c>
      <c r="E204" s="809" t="str">
        <f>IF(VLOOKUP(D204,'EMBOP-SI_ITA'!$D$4:$D$225,1,FALSE)=D204,"YES","NO")</f>
        <v>YES</v>
      </c>
      <c r="F204" s="278" t="s">
        <v>464</v>
      </c>
      <c r="G204" s="279">
        <v>0</v>
      </c>
      <c r="H204" s="280"/>
      <c r="I204" s="281">
        <f>+G204*H204</f>
        <v>0</v>
      </c>
      <c r="J204" s="282" t="s">
        <v>871</v>
      </c>
      <c r="K204" s="283" t="s">
        <v>883</v>
      </c>
      <c r="L204" s="283" t="s">
        <v>1248</v>
      </c>
      <c r="M204" s="283"/>
    </row>
    <row r="205" spans="1:13" s="275" customFormat="1" ht="12.75" x14ac:dyDescent="0.25">
      <c r="A205" s="553" t="s">
        <v>1252</v>
      </c>
      <c r="B205" s="551"/>
      <c r="C205" s="551"/>
      <c r="D205" s="552" t="s">
        <v>1253</v>
      </c>
      <c r="E205" s="798" t="str">
        <f>IF(VLOOKUP(D205,'EMBOP-SI_ITA'!$D$4:$D$225,1,FALSE)=D205,"YES","NO")</f>
        <v>YES</v>
      </c>
      <c r="F205" s="551"/>
      <c r="G205" s="565"/>
      <c r="H205" s="565"/>
      <c r="I205" s="565"/>
      <c r="J205" s="549"/>
      <c r="K205" s="548"/>
      <c r="L205" s="548"/>
      <c r="M205" s="548"/>
    </row>
    <row r="206" spans="1:13" ht="12.75" x14ac:dyDescent="0.25">
      <c r="A206" s="276" t="str">
        <f>+CONCATENATE($A$205,".",TEXT(ROW(A2)-ROW($A$1),0))</f>
        <v>ESC4.2.1</v>
      </c>
      <c r="B206" s="1617" t="s">
        <v>1254</v>
      </c>
      <c r="C206" s="574" t="s">
        <v>1255</v>
      </c>
      <c r="D206" s="277" t="s">
        <v>1256</v>
      </c>
      <c r="E206" s="799" t="str">
        <f>IF(VLOOKUP(D206,'EMBOP-SI_ITA'!$D$4:$D$225,1,FALSE)=D206,"YES","NO")</f>
        <v>YES</v>
      </c>
      <c r="F206" s="278" t="s">
        <v>464</v>
      </c>
      <c r="G206" s="279">
        <v>0</v>
      </c>
      <c r="H206" s="280"/>
      <c r="I206" s="281">
        <f>+G206*H206</f>
        <v>0</v>
      </c>
      <c r="J206" s="282" t="s">
        <v>871</v>
      </c>
      <c r="K206" s="283" t="s">
        <v>872</v>
      </c>
      <c r="L206" s="283" t="s">
        <v>873</v>
      </c>
      <c r="M206" s="283"/>
    </row>
    <row r="207" spans="1:13" ht="12.75" x14ac:dyDescent="0.25">
      <c r="A207" s="276" t="str">
        <f>+CONCATENATE($A$205,".",TEXT(ROW(A5)-ROW($A$1),0))</f>
        <v>ESC4.2.4</v>
      </c>
      <c r="B207" s="1619"/>
      <c r="C207" s="574" t="s">
        <v>1257</v>
      </c>
      <c r="D207" s="277" t="s">
        <v>1258</v>
      </c>
      <c r="E207" s="799" t="str">
        <f>IF(VLOOKUP(D207,'EMBOP-SI_ITA'!$D$4:$D$225,1,FALSE)=D207,"YES","NO")</f>
        <v>YES</v>
      </c>
      <c r="F207" s="278" t="s">
        <v>464</v>
      </c>
      <c r="G207" s="279">
        <v>0</v>
      </c>
      <c r="H207" s="280"/>
      <c r="I207" s="281">
        <f>+G207*H207</f>
        <v>0</v>
      </c>
      <c r="J207" s="282" t="s">
        <v>871</v>
      </c>
      <c r="K207" s="283" t="s">
        <v>883</v>
      </c>
      <c r="L207" s="283" t="s">
        <v>873</v>
      </c>
      <c r="M207" s="283"/>
    </row>
    <row r="208" spans="1:13" s="275" customFormat="1" ht="12.75" x14ac:dyDescent="0.25">
      <c r="A208" s="553" t="s">
        <v>1259</v>
      </c>
      <c r="B208" s="566"/>
      <c r="C208" s="566"/>
      <c r="D208" s="552" t="s">
        <v>1260</v>
      </c>
      <c r="E208" s="798" t="str">
        <f>IF(VLOOKUP(D208,'EMBOP-SI_ITA'!$D$4:$D$225,1,FALSE)=D208,"YES","NO")</f>
        <v>YES</v>
      </c>
      <c r="F208" s="551"/>
      <c r="G208" s="567"/>
      <c r="H208" s="565"/>
      <c r="I208" s="565"/>
      <c r="J208" s="549"/>
      <c r="K208" s="548"/>
      <c r="L208" s="548"/>
      <c r="M208" s="548"/>
    </row>
    <row r="209" spans="1:13" ht="12.75" x14ac:dyDescent="0.25">
      <c r="A209" s="276"/>
      <c r="B209" s="576"/>
      <c r="C209" s="574" t="s">
        <v>634</v>
      </c>
      <c r="D209" s="277" t="s">
        <v>1261</v>
      </c>
      <c r="E209" s="799" t="e">
        <f>IF(VLOOKUP(D209,'EMBOP-SI_ITA'!$D$4:$D$225,1,FALSE)=D209,"YES","NO")</f>
        <v>#N/A</v>
      </c>
      <c r="F209" s="575" t="s">
        <v>141</v>
      </c>
      <c r="G209" s="279">
        <v>0</v>
      </c>
      <c r="H209" s="280"/>
      <c r="I209" s="281">
        <f t="shared" ref="I209:I220" si="15">+G209*H209</f>
        <v>0</v>
      </c>
      <c r="J209" s="282" t="s">
        <v>871</v>
      </c>
      <c r="K209" s="283" t="s">
        <v>883</v>
      </c>
      <c r="L209" s="283" t="s">
        <v>873</v>
      </c>
      <c r="M209" s="283"/>
    </row>
    <row r="210" spans="1:13" ht="76.5" x14ac:dyDescent="0.25">
      <c r="A210" s="276" t="str">
        <f>+CONCATENATE($A$208,".",TEXT(ROW(A3)-ROW($A$1),0))</f>
        <v>ESC4.3.2</v>
      </c>
      <c r="B210" s="564" t="s">
        <v>1262</v>
      </c>
      <c r="C210" s="574" t="s">
        <v>648</v>
      </c>
      <c r="D210" s="277" t="s">
        <v>1263</v>
      </c>
      <c r="E210" s="799" t="str">
        <f>IF(VLOOKUP(D210,'EMBOP-SI_ITA'!$D$4:$D$225,1,FALSE)=D210,"YES","NO")</f>
        <v>YES</v>
      </c>
      <c r="F210" s="575" t="s">
        <v>464</v>
      </c>
      <c r="G210" s="279">
        <v>0</v>
      </c>
      <c r="H210" s="280"/>
      <c r="I210" s="281">
        <f t="shared" si="15"/>
        <v>0</v>
      </c>
      <c r="J210" s="282" t="s">
        <v>871</v>
      </c>
      <c r="K210" s="283" t="s">
        <v>1128</v>
      </c>
      <c r="L210" s="283" t="s">
        <v>873</v>
      </c>
      <c r="M210" s="283"/>
    </row>
    <row r="211" spans="1:13" ht="63.75" x14ac:dyDescent="0.25">
      <c r="A211" s="276"/>
      <c r="B211" s="564" t="s">
        <v>1264</v>
      </c>
      <c r="C211" s="574" t="s">
        <v>1265</v>
      </c>
      <c r="D211" s="277" t="s">
        <v>1266</v>
      </c>
      <c r="E211" s="799" t="str">
        <f>IF(VLOOKUP(D211,'EMBOP-SI_ITA'!$D$4:$D$225,1,FALSE)=D211,"YES","NO")</f>
        <v>YES</v>
      </c>
      <c r="F211" s="575" t="s">
        <v>464</v>
      </c>
      <c r="G211" s="279">
        <v>0</v>
      </c>
      <c r="H211" s="280"/>
      <c r="I211" s="281">
        <f t="shared" si="15"/>
        <v>0</v>
      </c>
      <c r="J211" s="282"/>
      <c r="K211" s="283" t="s">
        <v>872</v>
      </c>
      <c r="L211" s="283" t="s">
        <v>873</v>
      </c>
      <c r="M211" s="283"/>
    </row>
    <row r="212" spans="1:13" ht="63.75" x14ac:dyDescent="0.25">
      <c r="A212" s="276" t="str">
        <f>+CONCATENATE($A$208,".",TEXT(ROW(A4)-ROW($A$1),0))</f>
        <v>ESC4.3.3</v>
      </c>
      <c r="B212" s="564" t="s">
        <v>1264</v>
      </c>
      <c r="C212" s="574" t="s">
        <v>1267</v>
      </c>
      <c r="D212" s="277" t="s">
        <v>1268</v>
      </c>
      <c r="E212" s="799" t="str">
        <f>IF(VLOOKUP(D212,'EMBOP-SI_ITA'!$D$4:$D$225,1,FALSE)=D212,"YES","NO")</f>
        <v>YES</v>
      </c>
      <c r="F212" s="575" t="s">
        <v>464</v>
      </c>
      <c r="G212" s="279">
        <v>0</v>
      </c>
      <c r="H212" s="280"/>
      <c r="I212" s="281">
        <f t="shared" si="15"/>
        <v>0</v>
      </c>
      <c r="J212" s="282" t="s">
        <v>871</v>
      </c>
      <c r="K212" s="283" t="s">
        <v>883</v>
      </c>
      <c r="L212" s="283" t="s">
        <v>873</v>
      </c>
      <c r="M212" s="283"/>
    </row>
    <row r="213" spans="1:13" ht="12.75" x14ac:dyDescent="0.25">
      <c r="A213" s="276" t="str">
        <f>+CONCATENATE($A$208,".",TEXT(ROW(A5)-ROW($A$1),0))</f>
        <v>ESC4.3.4</v>
      </c>
      <c r="B213" s="563" t="s">
        <v>1269</v>
      </c>
      <c r="C213" s="574" t="s">
        <v>1270</v>
      </c>
      <c r="D213" s="292" t="s">
        <v>1271</v>
      </c>
      <c r="E213" s="799" t="str">
        <f>IF(VLOOKUP(D213,'EMBOP-SI_ITA'!$D$4:$D$225,1,FALSE)=D213,"YES","NO")</f>
        <v>YES</v>
      </c>
      <c r="F213" s="278" t="s">
        <v>464</v>
      </c>
      <c r="G213" s="279">
        <v>0</v>
      </c>
      <c r="H213" s="280"/>
      <c r="I213" s="281">
        <f t="shared" si="15"/>
        <v>0</v>
      </c>
      <c r="J213" s="282" t="s">
        <v>871</v>
      </c>
      <c r="K213" s="283" t="s">
        <v>883</v>
      </c>
      <c r="L213" s="283" t="s">
        <v>873</v>
      </c>
      <c r="M213" s="283"/>
    </row>
    <row r="214" spans="1:13" ht="12.75" x14ac:dyDescent="0.25">
      <c r="A214" s="276" t="str">
        <f>+CONCATENATE($A$208,".",TEXT(ROW(A6)-ROW($A$1),0))</f>
        <v>ESC4.3.5</v>
      </c>
      <c r="B214" s="563" t="s">
        <v>1269</v>
      </c>
      <c r="C214" s="574" t="s">
        <v>1272</v>
      </c>
      <c r="D214" s="292" t="s">
        <v>1273</v>
      </c>
      <c r="E214" s="799" t="str">
        <f>IF(VLOOKUP(D214,'EMBOP-SI_ITA'!$D$4:$D$225,1,FALSE)=D214,"YES","NO")</f>
        <v>YES</v>
      </c>
      <c r="F214" s="278" t="s">
        <v>464</v>
      </c>
      <c r="G214" s="279">
        <v>0</v>
      </c>
      <c r="H214" s="280"/>
      <c r="I214" s="281">
        <f t="shared" si="15"/>
        <v>0</v>
      </c>
      <c r="J214" s="282" t="s">
        <v>871</v>
      </c>
      <c r="K214" s="283" t="s">
        <v>883</v>
      </c>
      <c r="L214" s="283" t="s">
        <v>873</v>
      </c>
      <c r="M214" s="283"/>
    </row>
    <row r="215" spans="1:13" ht="12.75" x14ac:dyDescent="0.25">
      <c r="A215" s="276" t="str">
        <f>+CONCATENATE($A$208,".",TEXT(ROW(A7)-ROW($A$1),0))</f>
        <v>ESC4.3.6</v>
      </c>
      <c r="B215" s="563" t="s">
        <v>1269</v>
      </c>
      <c r="C215" s="574" t="s">
        <v>1274</v>
      </c>
      <c r="D215" s="292" t="s">
        <v>1275</v>
      </c>
      <c r="E215" s="799" t="str">
        <f>IF(VLOOKUP(D215,'EMBOP-SI_ITA'!$D$4:$D$225,1,FALSE)=D215,"YES","NO")</f>
        <v>YES</v>
      </c>
      <c r="F215" s="278" t="s">
        <v>464</v>
      </c>
      <c r="G215" s="279">
        <v>0</v>
      </c>
      <c r="H215" s="280"/>
      <c r="I215" s="281">
        <f t="shared" si="15"/>
        <v>0</v>
      </c>
      <c r="J215" s="282" t="s">
        <v>871</v>
      </c>
      <c r="K215" s="283" t="s">
        <v>883</v>
      </c>
      <c r="L215" s="283" t="s">
        <v>873</v>
      </c>
      <c r="M215" s="283"/>
    </row>
    <row r="216" spans="1:13" ht="25.5" x14ac:dyDescent="0.25">
      <c r="A216" s="276" t="str">
        <f>+CONCATENATE($A$208,".",TEXT(ROW(A8)-ROW($A$1),0))</f>
        <v>ESC4.3.7</v>
      </c>
      <c r="B216" s="563" t="s">
        <v>1269</v>
      </c>
      <c r="C216" s="574" t="s">
        <v>1276</v>
      </c>
      <c r="D216" s="292" t="s">
        <v>1277</v>
      </c>
      <c r="E216" s="799" t="str">
        <f>IF(VLOOKUP(D216,'EMBOP-SI_ITA'!$D$4:$D$225,1,FALSE)=D216,"YES","NO")</f>
        <v>YES</v>
      </c>
      <c r="F216" s="278" t="s">
        <v>1045</v>
      </c>
      <c r="G216" s="279">
        <v>0</v>
      </c>
      <c r="H216" s="280"/>
      <c r="I216" s="281">
        <f t="shared" si="15"/>
        <v>0</v>
      </c>
      <c r="J216" s="282" t="s">
        <v>871</v>
      </c>
      <c r="K216" s="283" t="s">
        <v>1128</v>
      </c>
      <c r="L216" s="283" t="s">
        <v>873</v>
      </c>
      <c r="M216" s="283"/>
    </row>
    <row r="217" spans="1:13" ht="102" x14ac:dyDescent="0.25">
      <c r="A217" s="276"/>
      <c r="B217" s="564" t="s">
        <v>1278</v>
      </c>
      <c r="C217" s="574" t="s">
        <v>629</v>
      </c>
      <c r="D217" s="277" t="s">
        <v>1279</v>
      </c>
      <c r="E217" s="799" t="str">
        <f>IF(VLOOKUP(D217,'EMBOP-SI_ITA'!$D$4:$D$225,1,FALSE)=D217,"YES","NO")</f>
        <v>YES</v>
      </c>
      <c r="F217" s="278" t="s">
        <v>1045</v>
      </c>
      <c r="G217" s="279">
        <v>0</v>
      </c>
      <c r="H217" s="280"/>
      <c r="I217" s="281">
        <f t="shared" si="15"/>
        <v>0</v>
      </c>
      <c r="J217" s="282" t="s">
        <v>871</v>
      </c>
      <c r="K217" s="283" t="s">
        <v>883</v>
      </c>
      <c r="L217" s="283" t="s">
        <v>873</v>
      </c>
      <c r="M217" s="283"/>
    </row>
    <row r="218" spans="1:13" ht="51" x14ac:dyDescent="0.25">
      <c r="A218" s="276"/>
      <c r="B218" s="564" t="s">
        <v>1280</v>
      </c>
      <c r="C218" s="574" t="s">
        <v>1281</v>
      </c>
      <c r="D218" s="277" t="s">
        <v>1282</v>
      </c>
      <c r="E218" s="799" t="str">
        <f>IF(VLOOKUP(D218,'EMBOP-SI_ITA'!$D$4:$D$225,1,FALSE)=D218,"YES","NO")</f>
        <v>YES</v>
      </c>
      <c r="F218" s="278" t="s">
        <v>1045</v>
      </c>
      <c r="G218" s="279">
        <v>0</v>
      </c>
      <c r="H218" s="280"/>
      <c r="I218" s="281">
        <f t="shared" si="15"/>
        <v>0</v>
      </c>
      <c r="J218" s="282"/>
      <c r="K218" s="283" t="s">
        <v>872</v>
      </c>
      <c r="L218" s="283" t="s">
        <v>873</v>
      </c>
      <c r="M218" s="283"/>
    </row>
    <row r="219" spans="1:13" ht="76.5" x14ac:dyDescent="0.25">
      <c r="A219" s="276"/>
      <c r="B219" s="564" t="s">
        <v>1283</v>
      </c>
      <c r="C219" s="574" t="s">
        <v>1284</v>
      </c>
      <c r="D219" s="277" t="s">
        <v>1285</v>
      </c>
      <c r="E219" s="799" t="str">
        <f>IF(VLOOKUP(D219,'EMBOP-SI_ITA'!$D$4:$D$225,1,FALSE)=D219,"YES","NO")</f>
        <v>YES</v>
      </c>
      <c r="F219" s="278" t="s">
        <v>1045</v>
      </c>
      <c r="G219" s="279">
        <v>0</v>
      </c>
      <c r="H219" s="280"/>
      <c r="I219" s="281">
        <f t="shared" si="15"/>
        <v>0</v>
      </c>
      <c r="J219" s="282"/>
      <c r="K219" s="283" t="s">
        <v>883</v>
      </c>
      <c r="L219" s="283" t="s">
        <v>873</v>
      </c>
      <c r="M219" s="283"/>
    </row>
    <row r="220" spans="1:13" ht="51" x14ac:dyDescent="0.25">
      <c r="A220" s="276" t="str">
        <f>+CONCATENATE($A$208,".",TEXT(ROW(A11)-ROW($A$1),0))</f>
        <v>ESC4.3.10</v>
      </c>
      <c r="B220" s="556" t="s">
        <v>1286</v>
      </c>
      <c r="C220" s="558" t="s">
        <v>648</v>
      </c>
      <c r="D220" s="277" t="s">
        <v>649</v>
      </c>
      <c r="E220" s="799" t="str">
        <f>IF(VLOOKUP(D220,'EMBOP-SI_ITA'!$D$4:$D$225,1,FALSE)=D220,"YES","NO")</f>
        <v>YES</v>
      </c>
      <c r="F220" s="278" t="s">
        <v>164</v>
      </c>
      <c r="G220" s="279">
        <v>1</v>
      </c>
      <c r="H220" s="280"/>
      <c r="I220" s="281">
        <f t="shared" si="15"/>
        <v>0</v>
      </c>
      <c r="J220" s="282"/>
      <c r="K220" s="283" t="s">
        <v>883</v>
      </c>
      <c r="L220" s="283" t="s">
        <v>873</v>
      </c>
      <c r="M220" s="283"/>
    </row>
    <row r="221" spans="1:13" ht="12.75" x14ac:dyDescent="0.25">
      <c r="A221" s="553" t="s">
        <v>1287</v>
      </c>
      <c r="B221" s="551"/>
      <c r="C221" s="551"/>
      <c r="D221" s="552" t="s">
        <v>1288</v>
      </c>
      <c r="E221" s="798" t="str">
        <f>IF(VLOOKUP(D221,'EMBOP-SI_ITA'!$D$4:$D$225,1,FALSE)=D221,"YES","NO")</f>
        <v>YES</v>
      </c>
      <c r="F221" s="551"/>
      <c r="G221" s="567"/>
      <c r="H221" s="565"/>
      <c r="I221" s="565"/>
      <c r="J221" s="549"/>
      <c r="K221" s="548"/>
      <c r="L221" s="548"/>
      <c r="M221" s="548"/>
    </row>
    <row r="222" spans="1:13" ht="140.25" x14ac:dyDescent="0.25">
      <c r="A222" s="276" t="e">
        <f>+CONCATENATE($A$208,".",TEXT(ROW(#REF!)-ROW($A$1),0))</f>
        <v>#REF!</v>
      </c>
      <c r="B222" s="556" t="s">
        <v>1289</v>
      </c>
      <c r="C222" s="558" t="s">
        <v>1290</v>
      </c>
      <c r="D222" s="277" t="s">
        <v>1291</v>
      </c>
      <c r="E222" s="799" t="str">
        <f>IF(VLOOKUP(D222,'EMBOP-SI_ITA'!$D$4:$D$225,1,FALSE)=D222,"YES","NO")</f>
        <v>YES</v>
      </c>
      <c r="F222" s="278" t="s">
        <v>1292</v>
      </c>
      <c r="G222" s="279">
        <v>1</v>
      </c>
      <c r="H222" s="280"/>
      <c r="I222" s="281">
        <f>+G222*H222</f>
        <v>0</v>
      </c>
      <c r="J222" s="282"/>
      <c r="K222" s="283" t="s">
        <v>883</v>
      </c>
      <c r="L222" s="278" t="s">
        <v>873</v>
      </c>
      <c r="M222" s="283"/>
    </row>
    <row r="223" spans="1:13" ht="30.75" customHeight="1" x14ac:dyDescent="0.25">
      <c r="A223" s="276" t="str">
        <f>+CONCATENATE($A$208,".",TEXT(ROW(A18)-ROW($A$1),0))</f>
        <v>ESC4.3.17</v>
      </c>
      <c r="B223" s="291" t="s">
        <v>1293</v>
      </c>
      <c r="C223" s="573" t="s">
        <v>1294</v>
      </c>
      <c r="D223" s="292" t="s">
        <v>1295</v>
      </c>
      <c r="E223" s="810" t="str">
        <f>IF(VLOOKUP(D223,'EMBOP-SI_ITA'!$D$4:$D$225,1,FALSE)=D223,"YES","NO")</f>
        <v>YES</v>
      </c>
      <c r="F223" s="278" t="s">
        <v>464</v>
      </c>
      <c r="G223" s="279">
        <v>1</v>
      </c>
      <c r="H223" s="280"/>
      <c r="I223" s="281">
        <f>+G223*H223</f>
        <v>0</v>
      </c>
      <c r="J223" s="282"/>
      <c r="K223" s="283" t="s">
        <v>883</v>
      </c>
      <c r="L223" s="278" t="s">
        <v>873</v>
      </c>
      <c r="M223" s="283"/>
    </row>
    <row r="224" spans="1:13" ht="102" x14ac:dyDescent="0.25">
      <c r="A224" s="276" t="str">
        <f>+CONCATENATE($A$208,".",TEXT(ROW(A19)-ROW($A$1),0))</f>
        <v>ESC4.3.18</v>
      </c>
      <c r="B224" s="558" t="s">
        <v>1296</v>
      </c>
      <c r="C224" s="558" t="s">
        <v>1297</v>
      </c>
      <c r="D224" s="277" t="s">
        <v>1298</v>
      </c>
      <c r="E224" s="799" t="str">
        <f>IF(VLOOKUP(D224,'EMBOP-SI_ITA'!$D$4:$D$225,1,FALSE)=D224,"YES","NO")</f>
        <v>YES</v>
      </c>
      <c r="F224" s="278" t="s">
        <v>464</v>
      </c>
      <c r="G224" s="279">
        <v>1</v>
      </c>
      <c r="H224" s="280"/>
      <c r="I224" s="281">
        <f>+G224*H224</f>
        <v>0</v>
      </c>
      <c r="J224" s="282"/>
      <c r="K224" s="283" t="s">
        <v>883</v>
      </c>
      <c r="L224" s="278" t="s">
        <v>873</v>
      </c>
      <c r="M224" s="283"/>
    </row>
    <row r="225" spans="1:13" s="275" customFormat="1" ht="12.75" x14ac:dyDescent="0.25">
      <c r="A225" s="553" t="s">
        <v>1287</v>
      </c>
      <c r="B225" s="551"/>
      <c r="C225" s="551"/>
      <c r="D225" s="552" t="s">
        <v>832</v>
      </c>
      <c r="E225" s="798" t="str">
        <f>IF(VLOOKUP(D225,'EMBOP-SI_ITA'!$D$4:$D$225,1,FALSE)=D225,"YES","NO")</f>
        <v>YES</v>
      </c>
      <c r="F225" s="551"/>
      <c r="G225" s="567"/>
      <c r="H225" s="565"/>
      <c r="I225" s="565"/>
      <c r="J225" s="549"/>
      <c r="K225" s="548"/>
      <c r="L225" s="548"/>
      <c r="M225" s="548"/>
    </row>
    <row r="226" spans="1:13" ht="51" x14ac:dyDescent="0.25">
      <c r="A226" s="276" t="str">
        <f>+CONCATENATE($A$225,".",TEXT(ROW(A3)-ROW($A$1),0))</f>
        <v>ESC4.4.2</v>
      </c>
      <c r="B226" s="564" t="s">
        <v>1299</v>
      </c>
      <c r="C226" s="572" t="s">
        <v>1300</v>
      </c>
      <c r="D226" s="277" t="s">
        <v>1301</v>
      </c>
      <c r="E226" s="799" t="str">
        <f>IF(VLOOKUP(D226,'EMBOP-SI_ITA'!$D$4:$D$225,1,FALSE)=D226,"YES","NO")</f>
        <v>YES</v>
      </c>
      <c r="F226" s="278" t="s">
        <v>464</v>
      </c>
      <c r="G226" s="279">
        <v>0</v>
      </c>
      <c r="H226" s="280"/>
      <c r="I226" s="281">
        <f>+G226*H226</f>
        <v>0</v>
      </c>
      <c r="J226" s="282" t="s">
        <v>871</v>
      </c>
      <c r="K226" s="283" t="s">
        <v>883</v>
      </c>
      <c r="L226" s="283" t="s">
        <v>873</v>
      </c>
      <c r="M226" s="283"/>
    </row>
    <row r="227" spans="1:13" s="275" customFormat="1" ht="12.75" x14ac:dyDescent="0.25">
      <c r="A227" s="553" t="s">
        <v>1302</v>
      </c>
      <c r="B227" s="566"/>
      <c r="C227" s="551"/>
      <c r="D227" s="571" t="s">
        <v>1303</v>
      </c>
      <c r="E227" s="808" t="e">
        <f>IF(VLOOKUP(D227,'EMBOP-SI_ITA'!$D$4:$D$225,1,FALSE)=D227,"YES","NO")</f>
        <v>#N/A</v>
      </c>
      <c r="F227" s="551"/>
      <c r="G227" s="567"/>
      <c r="H227" s="565"/>
      <c r="I227" s="565"/>
      <c r="J227" s="549"/>
      <c r="K227" s="548"/>
      <c r="L227" s="548"/>
      <c r="M227" s="548"/>
    </row>
    <row r="228" spans="1:13" ht="12.75" x14ac:dyDescent="0.25">
      <c r="A228" s="276" t="str">
        <f>+CONCATENATE($A$227,".",TEXT(ROW(A2)-ROW($A$1),0))</f>
        <v>ESC4.5.1</v>
      </c>
      <c r="B228" s="563" t="s">
        <v>1269</v>
      </c>
      <c r="C228" s="278"/>
      <c r="D228" s="570" t="s">
        <v>1304</v>
      </c>
      <c r="E228" s="811" t="e">
        <f>IF(VLOOKUP(D228,'EMBOP-SI_ITA'!$D$4:$D$225,1,FALSE)=D228,"YES","NO")</f>
        <v>#N/A</v>
      </c>
      <c r="F228" s="278" t="s">
        <v>464</v>
      </c>
      <c r="G228" s="279">
        <v>0</v>
      </c>
      <c r="H228" s="280"/>
      <c r="I228" s="281">
        <f>+G228*H228</f>
        <v>0</v>
      </c>
      <c r="J228" s="282" t="s">
        <v>871</v>
      </c>
      <c r="K228" s="283" t="s">
        <v>872</v>
      </c>
      <c r="L228" s="283" t="s">
        <v>873</v>
      </c>
      <c r="M228" s="283"/>
    </row>
    <row r="229" spans="1:13" x14ac:dyDescent="0.25">
      <c r="E229" s="812"/>
    </row>
    <row r="230" spans="1:13" x14ac:dyDescent="0.25">
      <c r="E230" s="812"/>
    </row>
    <row r="231" spans="1:13" ht="15.75" x14ac:dyDescent="0.25">
      <c r="A231" s="261"/>
      <c r="B231" s="569"/>
      <c r="C231" s="569"/>
      <c r="D231" s="262" t="s">
        <v>855</v>
      </c>
      <c r="E231" s="813"/>
      <c r="F231" s="1626" t="s">
        <v>1305</v>
      </c>
      <c r="G231" s="1627"/>
      <c r="H231" s="1627"/>
      <c r="I231" s="1628"/>
      <c r="J231" s="1615" t="s">
        <v>4</v>
      </c>
      <c r="K231" s="1615" t="s">
        <v>857</v>
      </c>
      <c r="L231" s="1615" t="s">
        <v>858</v>
      </c>
      <c r="M231" s="1615" t="s">
        <v>1306</v>
      </c>
    </row>
    <row r="232" spans="1:13" ht="25.5" x14ac:dyDescent="0.25">
      <c r="A232" s="265" t="s">
        <v>860</v>
      </c>
      <c r="B232" s="568" t="s">
        <v>861</v>
      </c>
      <c r="C232" s="266" t="s">
        <v>862</v>
      </c>
      <c r="D232" s="266" t="s">
        <v>138</v>
      </c>
      <c r="E232" s="814"/>
      <c r="F232" s="267" t="s">
        <v>338</v>
      </c>
      <c r="G232" s="266" t="s">
        <v>864</v>
      </c>
      <c r="H232" s="267" t="s">
        <v>865</v>
      </c>
      <c r="I232" s="266" t="s">
        <v>133</v>
      </c>
      <c r="J232" s="1616"/>
      <c r="K232" s="1616"/>
      <c r="L232" s="1616"/>
      <c r="M232" s="1616"/>
    </row>
    <row r="233" spans="1:13" s="275" customFormat="1" ht="12.75" x14ac:dyDescent="0.25">
      <c r="A233" s="268" t="s">
        <v>1307</v>
      </c>
      <c r="B233" s="269"/>
      <c r="C233" s="269"/>
      <c r="D233" s="270" t="s">
        <v>1308</v>
      </c>
      <c r="E233" s="807" t="str">
        <f>IF(VLOOKUP(D233,'EMBOP-SI_ITA'!$D$4:$D$247,1,FALSE)=D233,"YES","NO")</f>
        <v>YES</v>
      </c>
      <c r="F233" s="269"/>
      <c r="G233" s="271"/>
      <c r="H233" s="272"/>
      <c r="I233" s="272"/>
      <c r="J233" s="273"/>
      <c r="K233" s="274"/>
      <c r="L233" s="274"/>
      <c r="M233" s="274"/>
    </row>
    <row r="234" spans="1:13" s="275" customFormat="1" ht="12.75" x14ac:dyDescent="0.25">
      <c r="A234" s="553" t="s">
        <v>1309</v>
      </c>
      <c r="B234" s="551"/>
      <c r="C234" s="551"/>
      <c r="D234" s="552" t="s">
        <v>767</v>
      </c>
      <c r="E234" s="798" t="str">
        <f>IF(VLOOKUP(D234,'EMBOP-SI_ITA'!$D$4:$D$247,1,FALSE)=D234,"YES","NO")</f>
        <v>YES</v>
      </c>
      <c r="F234" s="551"/>
      <c r="G234" s="567"/>
      <c r="H234" s="550"/>
      <c r="I234" s="550"/>
      <c r="J234" s="549"/>
      <c r="K234" s="548"/>
      <c r="L234" s="548"/>
      <c r="M234" s="548"/>
    </row>
    <row r="235" spans="1:13" ht="102" x14ac:dyDescent="0.25">
      <c r="A235" s="276" t="str">
        <f>+CONCATENATE($A$234,".",TEXT(ROW(A2)-ROW($A$1),0))</f>
        <v>OESC1.1.1</v>
      </c>
      <c r="B235" s="564" t="s">
        <v>1310</v>
      </c>
      <c r="C235" s="558" t="s">
        <v>631</v>
      </c>
      <c r="D235" s="277" t="s">
        <v>632</v>
      </c>
      <c r="E235" s="799" t="e">
        <f>IF(VLOOKUP(D235,'EMBOP-SI_ITA'!$D$4:$D$247,1,FALSE)=D235,"YES","NO")</f>
        <v>#N/A</v>
      </c>
      <c r="F235" s="278" t="s">
        <v>141</v>
      </c>
      <c r="G235" s="279">
        <v>0</v>
      </c>
      <c r="H235" s="280"/>
      <c r="I235" s="281">
        <f>G235*H235</f>
        <v>0</v>
      </c>
      <c r="J235" s="282" t="s">
        <v>871</v>
      </c>
      <c r="K235" s="283" t="s">
        <v>872</v>
      </c>
      <c r="L235" s="283" t="s">
        <v>1248</v>
      </c>
      <c r="M235" s="283"/>
    </row>
    <row r="236" spans="1:13" s="275" customFormat="1" ht="12.75" x14ac:dyDescent="0.25">
      <c r="A236" s="553" t="s">
        <v>1311</v>
      </c>
      <c r="B236" s="566"/>
      <c r="C236" s="551"/>
      <c r="D236" s="552" t="s">
        <v>1312</v>
      </c>
      <c r="E236" s="798" t="str">
        <f>IF(VLOOKUP(D236,'EMBOP-SI_ITA'!$D$4:$D$247,1,FALSE)=D236,"YES","NO")</f>
        <v>YES</v>
      </c>
      <c r="F236" s="551"/>
      <c r="G236" s="565"/>
      <c r="H236" s="565"/>
      <c r="I236" s="565"/>
      <c r="J236" s="549"/>
      <c r="K236" s="548"/>
      <c r="L236" s="548"/>
      <c r="M236" s="548"/>
    </row>
    <row r="237" spans="1:13" ht="38.25" x14ac:dyDescent="0.25">
      <c r="A237" s="276" t="str">
        <f>+CONCATENATE($A$236,".",TEXT(ROW(A2)-ROW($A$1),0))</f>
        <v>OESC1.2.1</v>
      </c>
      <c r="B237" s="564" t="s">
        <v>1313</v>
      </c>
      <c r="C237" s="278" t="s">
        <v>652</v>
      </c>
      <c r="D237" s="277" t="s">
        <v>1314</v>
      </c>
      <c r="E237" s="799" t="str">
        <f>IF(VLOOKUP(D237,'EMBOP-SI_ITA'!$D$4:$D$247,1,FALSE)=D237,"YES","NO")</f>
        <v>YES</v>
      </c>
      <c r="F237" s="278" t="s">
        <v>141</v>
      </c>
      <c r="G237" s="279">
        <v>0</v>
      </c>
      <c r="H237" s="280"/>
      <c r="I237" s="281">
        <f>G237*H237</f>
        <v>0</v>
      </c>
      <c r="J237" s="282" t="s">
        <v>871</v>
      </c>
      <c r="K237" s="283" t="s">
        <v>872</v>
      </c>
      <c r="L237" s="283" t="s">
        <v>1248</v>
      </c>
      <c r="M237" s="283"/>
    </row>
    <row r="238" spans="1:13" ht="38.25" x14ac:dyDescent="0.25">
      <c r="A238" s="276" t="str">
        <f>+CONCATENATE($A$236,".",TEXT(ROW(A3)-ROW($A$1),0))</f>
        <v>OESC1.2.2</v>
      </c>
      <c r="B238" s="563" t="s">
        <v>1315</v>
      </c>
      <c r="C238" s="562" t="s">
        <v>654</v>
      </c>
      <c r="D238" s="554" t="s">
        <v>1316</v>
      </c>
      <c r="E238" s="801" t="str">
        <f>IF(VLOOKUP(D238,'EMBOP-SI_ITA'!$D$4:$D$247,1,FALSE)=D238,"YES","NO")</f>
        <v>YES</v>
      </c>
      <c r="F238" s="562" t="s">
        <v>141</v>
      </c>
      <c r="G238" s="279">
        <v>0</v>
      </c>
      <c r="H238" s="280"/>
      <c r="I238" s="561">
        <f>G238*H238</f>
        <v>0</v>
      </c>
      <c r="J238" s="560" t="s">
        <v>871</v>
      </c>
      <c r="K238" s="559" t="s">
        <v>883</v>
      </c>
      <c r="L238" s="559" t="s">
        <v>1248</v>
      </c>
      <c r="M238" s="559"/>
    </row>
    <row r="239" spans="1:13" ht="12.75" x14ac:dyDescent="0.25">
      <c r="A239" s="268" t="s">
        <v>1317</v>
      </c>
      <c r="B239" s="269"/>
      <c r="C239" s="269"/>
      <c r="D239" s="270" t="s">
        <v>1242</v>
      </c>
      <c r="E239" s="807" t="str">
        <f>IF(VLOOKUP(D239,'EMBOP-SI_ITA'!$D$4:$D$247,1,FALSE)=D239,"YES","NO")</f>
        <v>YES</v>
      </c>
      <c r="F239" s="269"/>
      <c r="G239" s="272"/>
      <c r="H239" s="272"/>
      <c r="I239" s="272"/>
      <c r="J239" s="273"/>
      <c r="K239" s="274"/>
      <c r="L239" s="274"/>
      <c r="M239" s="274"/>
    </row>
    <row r="240" spans="1:13" ht="12.75" x14ac:dyDescent="0.25">
      <c r="A240" s="553" t="s">
        <v>1318</v>
      </c>
      <c r="B240" s="552"/>
      <c r="C240" s="551"/>
      <c r="D240" s="552" t="s">
        <v>1319</v>
      </c>
      <c r="E240" s="798" t="str">
        <f>IF(VLOOKUP(D240,'EMBOP-SI_ITA'!$D$4:$D$247,1,FALSE)=D240,"YES","NO")</f>
        <v>YES</v>
      </c>
      <c r="F240" s="551"/>
      <c r="G240" s="550"/>
      <c r="H240" s="550"/>
      <c r="I240" s="550"/>
      <c r="J240" s="549"/>
      <c r="K240" s="548"/>
      <c r="L240" s="548"/>
      <c r="M240" s="548"/>
    </row>
    <row r="241" spans="1:13" ht="51" customHeight="1" x14ac:dyDescent="0.25">
      <c r="A241" s="276" t="str">
        <f>+CONCATENATE($A$240,".",TEXT(ROW(A2)-ROW($A$1),0))</f>
        <v>OECC2.2.1</v>
      </c>
      <c r="B241" s="1633" t="s">
        <v>1320</v>
      </c>
      <c r="C241" s="558" t="s">
        <v>611</v>
      </c>
      <c r="D241" s="277" t="s">
        <v>612</v>
      </c>
      <c r="E241" s="799" t="str">
        <f>IF(VLOOKUP(D241,'EMBOP-SI_ITA'!$D$4:$D$247,1,FALSE)=D241,"YES","NO")</f>
        <v>YES</v>
      </c>
      <c r="F241" s="278" t="s">
        <v>141</v>
      </c>
      <c r="G241" s="279">
        <v>0</v>
      </c>
      <c r="H241" s="280"/>
      <c r="I241" s="281">
        <f>G241*H241</f>
        <v>0</v>
      </c>
      <c r="J241" s="282" t="s">
        <v>871</v>
      </c>
      <c r="K241" s="283" t="s">
        <v>872</v>
      </c>
      <c r="L241" s="283" t="s">
        <v>1248</v>
      </c>
      <c r="M241" s="283"/>
    </row>
    <row r="242" spans="1:13" ht="12.75" x14ac:dyDescent="0.25">
      <c r="A242" s="276"/>
      <c r="B242" s="1634"/>
      <c r="C242" s="558" t="s">
        <v>613</v>
      </c>
      <c r="D242" s="277" t="s">
        <v>1321</v>
      </c>
      <c r="E242" s="799" t="str">
        <f>IF(VLOOKUP(D242,'EMBOP-SI_ITA'!$D$4:$D$247,1,FALSE)=D242,"YES","NO")</f>
        <v>YES</v>
      </c>
      <c r="F242" s="278" t="s">
        <v>141</v>
      </c>
      <c r="G242" s="279">
        <v>0</v>
      </c>
      <c r="H242" s="280"/>
      <c r="I242" s="281">
        <f>G242*H242</f>
        <v>0</v>
      </c>
      <c r="J242" s="282"/>
      <c r="K242" s="283" t="s">
        <v>883</v>
      </c>
      <c r="L242" s="283" t="s">
        <v>1248</v>
      </c>
      <c r="M242" s="283"/>
    </row>
    <row r="243" spans="1:13" ht="12.75" x14ac:dyDescent="0.25">
      <c r="A243" s="553" t="s">
        <v>1322</v>
      </c>
      <c r="B243" s="552"/>
      <c r="C243" s="551"/>
      <c r="D243" s="552" t="s">
        <v>1323</v>
      </c>
      <c r="E243" s="798" t="str">
        <f>IF(VLOOKUP(D243,'EMBOP-SI_ITA'!$D$4:$D$247,1,FALSE)=D243,"YES","NO")</f>
        <v>YES</v>
      </c>
      <c r="F243" s="551"/>
      <c r="G243" s="550"/>
      <c r="H243" s="550"/>
      <c r="I243" s="550"/>
      <c r="J243" s="549"/>
      <c r="K243" s="548"/>
      <c r="L243" s="548"/>
      <c r="M243" s="548"/>
    </row>
    <row r="244" spans="1:13" ht="12.75" x14ac:dyDescent="0.25">
      <c r="A244" s="276" t="str">
        <f>+CONCATENATE($A$243,".",TEXT(ROW(A2)-ROW($A$1),0))</f>
        <v>OECC2.3.1</v>
      </c>
      <c r="B244" s="1635" t="s">
        <v>1320</v>
      </c>
      <c r="C244" s="557" t="s">
        <v>618</v>
      </c>
      <c r="D244" s="277" t="s">
        <v>619</v>
      </c>
      <c r="E244" s="799" t="str">
        <f>IF(VLOOKUP(D244,'EMBOP-SI_ITA'!$D$4:$D$247,1,FALSE)=D244,"YES","NO")</f>
        <v>YES</v>
      </c>
      <c r="F244" s="278" t="s">
        <v>141</v>
      </c>
      <c r="G244" s="279">
        <v>0</v>
      </c>
      <c r="H244" s="280"/>
      <c r="I244" s="281">
        <f>G244*H244</f>
        <v>0</v>
      </c>
      <c r="J244" s="282" t="s">
        <v>871</v>
      </c>
      <c r="K244" s="283" t="s">
        <v>872</v>
      </c>
      <c r="L244" s="283" t="s">
        <v>1248</v>
      </c>
      <c r="M244" s="283"/>
    </row>
    <row r="245" spans="1:13" ht="12.75" x14ac:dyDescent="0.25">
      <c r="A245" s="276" t="str">
        <f>+CONCATENATE($A$243,".",TEXT(ROW(A3)-ROW($A$1),0))</f>
        <v>OECC2.3.2</v>
      </c>
      <c r="B245" s="1635"/>
      <c r="C245" s="555" t="s">
        <v>620</v>
      </c>
      <c r="D245" s="277" t="s">
        <v>1324</v>
      </c>
      <c r="E245" s="799" t="str">
        <f>IF(VLOOKUP(D245,'EMBOP-SI_ITA'!$D$4:$D$247,1,FALSE)=D245,"YES","NO")</f>
        <v>YES</v>
      </c>
      <c r="F245" s="278" t="s">
        <v>141</v>
      </c>
      <c r="G245" s="279">
        <v>0</v>
      </c>
      <c r="H245" s="280"/>
      <c r="I245" s="281">
        <f>G245*H245</f>
        <v>0</v>
      </c>
      <c r="J245" s="282" t="s">
        <v>871</v>
      </c>
      <c r="K245" s="283" t="s">
        <v>883</v>
      </c>
      <c r="L245" s="283" t="s">
        <v>1248</v>
      </c>
      <c r="M245" s="283"/>
    </row>
    <row r="246" spans="1:13" ht="12.75" x14ac:dyDescent="0.25">
      <c r="A246" s="553" t="s">
        <v>1325</v>
      </c>
      <c r="B246" s="552"/>
      <c r="C246" s="551"/>
      <c r="D246" s="552" t="s">
        <v>1326</v>
      </c>
      <c r="E246" s="798" t="str">
        <f>IF(VLOOKUP(D246,'EMBOP-SI_ITA'!$D$4:$D$247,1,FALSE)=D246,"YES","NO")</f>
        <v>YES</v>
      </c>
      <c r="F246" s="551"/>
      <c r="G246" s="550"/>
      <c r="H246" s="550"/>
      <c r="I246" s="550"/>
      <c r="J246" s="549"/>
      <c r="K246" s="548"/>
      <c r="L246" s="548"/>
      <c r="M246" s="548"/>
    </row>
    <row r="247" spans="1:13" ht="25.5" customHeight="1" x14ac:dyDescent="0.25">
      <c r="A247" s="278"/>
      <c r="B247" s="1636" t="s">
        <v>1327</v>
      </c>
      <c r="C247" s="278" t="s">
        <v>1328</v>
      </c>
      <c r="D247" s="277" t="s">
        <v>1329</v>
      </c>
      <c r="E247" s="799" t="str">
        <f>IF(VLOOKUP(D247,'EMBOP-SI_ITA'!$D$4:$D$247,1,FALSE)=D247,"YES","NO")</f>
        <v>YES</v>
      </c>
      <c r="F247" s="278" t="s">
        <v>141</v>
      </c>
      <c r="G247" s="279">
        <v>0</v>
      </c>
      <c r="H247" s="280"/>
      <c r="I247" s="281">
        <f>G247*H247</f>
        <v>0</v>
      </c>
      <c r="J247" s="282" t="s">
        <v>871</v>
      </c>
      <c r="K247" s="283" t="s">
        <v>872</v>
      </c>
      <c r="L247" s="283" t="s">
        <v>1248</v>
      </c>
      <c r="M247" s="283"/>
    </row>
    <row r="248" spans="1:13" customFormat="1" x14ac:dyDescent="0.25">
      <c r="A248" s="540"/>
      <c r="B248" s="1637"/>
      <c r="C248" s="278" t="s">
        <v>1330</v>
      </c>
      <c r="D248" s="277" t="s">
        <v>1331</v>
      </c>
      <c r="E248" s="799" t="str">
        <f>IF(VLOOKUP(D248,'EMBOP-SI_ITA'!$D$4:$D$247,1,FALSE)=D248,"YES","NO")</f>
        <v>YES</v>
      </c>
      <c r="F248" s="278" t="s">
        <v>141</v>
      </c>
      <c r="G248" s="279">
        <v>0</v>
      </c>
      <c r="H248" s="280"/>
      <c r="I248" s="281">
        <f>G248*H248</f>
        <v>0</v>
      </c>
      <c r="J248" s="282" t="s">
        <v>871</v>
      </c>
      <c r="K248" s="283" t="s">
        <v>883</v>
      </c>
      <c r="L248" s="283" t="s">
        <v>1248</v>
      </c>
      <c r="M248" s="283"/>
    </row>
    <row r="249" spans="1:13" customFormat="1" x14ac:dyDescent="0.25">
      <c r="A249" s="553"/>
      <c r="B249" s="552"/>
      <c r="C249" s="551"/>
      <c r="D249" s="552" t="s">
        <v>1332</v>
      </c>
      <c r="E249" s="798" t="str">
        <f>IF(VLOOKUP(D249,'EMBOP-SI_ITA'!$D$4:$D$247,1,FALSE)=D249,"YES","NO")</f>
        <v>YES</v>
      </c>
      <c r="F249" s="551"/>
      <c r="G249" s="550"/>
      <c r="H249" s="550"/>
      <c r="I249" s="550"/>
      <c r="J249" s="549"/>
      <c r="K249" s="548"/>
      <c r="L249" s="548"/>
      <c r="M249" s="548"/>
    </row>
    <row r="250" spans="1:13" customFormat="1" ht="51" x14ac:dyDescent="0.25">
      <c r="A250" s="540"/>
      <c r="B250" s="547" t="s">
        <v>1333</v>
      </c>
      <c r="C250" s="278" t="s">
        <v>1334</v>
      </c>
      <c r="D250" s="277" t="s">
        <v>1335</v>
      </c>
      <c r="E250" s="799" t="str">
        <f>IF(VLOOKUP(D250,'EMBOP-SI_ITA'!$D$4:$D$247,1,FALSE)=D250,"YES","NO")</f>
        <v>YES</v>
      </c>
      <c r="F250" s="278" t="s">
        <v>141</v>
      </c>
      <c r="G250" s="279">
        <v>0</v>
      </c>
      <c r="H250" s="280"/>
      <c r="I250" s="281">
        <f>G250*H250</f>
        <v>0</v>
      </c>
      <c r="J250" s="282"/>
      <c r="K250" s="283" t="s">
        <v>1128</v>
      </c>
      <c r="L250" s="283" t="s">
        <v>1248</v>
      </c>
      <c r="M250" s="283"/>
    </row>
    <row r="251" spans="1:13" customFormat="1" x14ac:dyDescent="0.25">
      <c r="B251" s="546"/>
      <c r="C251" s="545"/>
      <c r="D251" s="293"/>
      <c r="E251" s="293"/>
      <c r="F251" s="294"/>
      <c r="G251" s="544"/>
      <c r="H251" s="543"/>
      <c r="I251" s="295"/>
      <c r="J251" s="289"/>
      <c r="K251" s="296"/>
      <c r="L251" s="296"/>
      <c r="M251" s="296"/>
    </row>
    <row r="252" spans="1:13" ht="15.75" x14ac:dyDescent="0.25">
      <c r="D252" s="286"/>
      <c r="E252" s="286"/>
      <c r="F252" s="287"/>
      <c r="G252" s="288" t="s">
        <v>1336</v>
      </c>
      <c r="H252" s="288" t="s">
        <v>1337</v>
      </c>
      <c r="I252" s="288" t="s">
        <v>1338</v>
      </c>
      <c r="J252" s="287"/>
    </row>
    <row r="253" spans="1:13" s="259" customFormat="1" ht="15.75" x14ac:dyDescent="0.25">
      <c r="B253" s="541"/>
      <c r="C253" s="542"/>
      <c r="D253" s="1625" t="s">
        <v>1339</v>
      </c>
      <c r="E253" s="1625"/>
      <c r="F253" s="1625"/>
      <c r="G253" s="281">
        <f>SUMIFS($I$5:$I$250,$K$5:$K$250,"W",$L$5:$L$250,"B")</f>
        <v>0</v>
      </c>
      <c r="H253" s="281">
        <f>SUMIFS($I$5:$I$250,$K$5:$K$250,"S",$L$5:$L$250,"B")</f>
        <v>0</v>
      </c>
      <c r="I253" s="281">
        <f>SUM(G253:H253)</f>
        <v>0</v>
      </c>
      <c r="J253" s="289"/>
      <c r="M253" s="284"/>
    </row>
    <row r="254" spans="1:13" s="259" customFormat="1" ht="15.75" x14ac:dyDescent="0.25">
      <c r="B254" s="541"/>
      <c r="C254" s="542"/>
      <c r="D254" s="1625" t="s">
        <v>1340</v>
      </c>
      <c r="E254" s="1625"/>
      <c r="F254" s="1625"/>
      <c r="G254" s="281">
        <f>SUMIFS($I$5:$I$250,$K$5:$K$250,"W",$L$5:$L$250,"O")</f>
        <v>0</v>
      </c>
      <c r="H254" s="281">
        <f>SUMIFS($I$5:$I$250,$K$5:$K$250,"S",$L$5:$L$250,"O")</f>
        <v>0</v>
      </c>
      <c r="I254" s="281">
        <f>SUM(G254:H254)</f>
        <v>0</v>
      </c>
      <c r="J254" s="289"/>
      <c r="M254" s="284"/>
    </row>
    <row r="255" spans="1:13" x14ac:dyDescent="0.25">
      <c r="F255" s="290"/>
      <c r="G255" s="281">
        <f>SUM(G253:G254)</f>
        <v>0</v>
      </c>
      <c r="H255" s="281">
        <f>SUM(H253:H254)</f>
        <v>0</v>
      </c>
      <c r="I255" s="281">
        <f>SUM(I253:I254)</f>
        <v>0</v>
      </c>
      <c r="J255" s="289"/>
    </row>
  </sheetData>
  <autoFilter ref="A1:M228" xr:uid="{857F10D8-5D09-4C45-9AFA-18FF584056D0}"/>
  <mergeCells count="36">
    <mergeCell ref="B244:B245"/>
    <mergeCell ref="B247:B248"/>
    <mergeCell ref="K231:K232"/>
    <mergeCell ref="L231:L232"/>
    <mergeCell ref="J231:J232"/>
    <mergeCell ref="B98:B100"/>
    <mergeCell ref="B116:B139"/>
    <mergeCell ref="J125:J129"/>
    <mergeCell ref="M231:M232"/>
    <mergeCell ref="B241:B242"/>
    <mergeCell ref="D254:F254"/>
    <mergeCell ref="B140:B141"/>
    <mergeCell ref="B206:B207"/>
    <mergeCell ref="F231:I231"/>
    <mergeCell ref="B23:B25"/>
    <mergeCell ref="B26:B28"/>
    <mergeCell ref="B34:B40"/>
    <mergeCell ref="B41:B50"/>
    <mergeCell ref="B51:B52"/>
    <mergeCell ref="B53:B62"/>
    <mergeCell ref="B63:B69"/>
    <mergeCell ref="B78:B81"/>
    <mergeCell ref="B82:B87"/>
    <mergeCell ref="D253:F253"/>
    <mergeCell ref="B88:B91"/>
    <mergeCell ref="B92:B97"/>
    <mergeCell ref="M2:M3"/>
    <mergeCell ref="B6:B8"/>
    <mergeCell ref="B29:B31"/>
    <mergeCell ref="H2:I2"/>
    <mergeCell ref="J2:J3"/>
    <mergeCell ref="K2:K3"/>
    <mergeCell ref="L2:L3"/>
    <mergeCell ref="B9:B14"/>
    <mergeCell ref="B15:B17"/>
    <mergeCell ref="B20:B22"/>
  </mergeCell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CF31F1-0C78-40A4-8BEF-91F5417037E6}">
  <sheetPr>
    <tabColor rgb="FFFFFF00"/>
  </sheetPr>
  <dimension ref="A1:M251"/>
  <sheetViews>
    <sheetView topLeftCell="B1" zoomScale="115" zoomScaleNormal="115" workbookViewId="0">
      <pane ySplit="3" topLeftCell="A14" activePane="bottomLeft" state="frozen"/>
      <selection activeCell="D96" sqref="D96"/>
      <selection pane="bottomLeft" activeCell="D96" sqref="D96"/>
    </sheetView>
  </sheetViews>
  <sheetFormatPr defaultColWidth="9.28515625" defaultRowHeight="15" x14ac:dyDescent="0.25"/>
  <cols>
    <col min="1" max="1" width="11.5703125" style="259" bestFit="1" customWidth="1"/>
    <col min="2" max="2" width="50.5703125" style="541" customWidth="1"/>
    <col min="3" max="3" width="35.28515625" style="542" customWidth="1"/>
    <col min="4" max="4" width="84.5703125" style="541" customWidth="1"/>
    <col min="5" max="5" width="13.5703125" style="541" customWidth="1"/>
    <col min="6" max="6" width="15.42578125" style="259" customWidth="1"/>
    <col min="7" max="7" width="13.5703125" style="264" bestFit="1" customWidth="1"/>
    <col min="8" max="8" width="15.42578125" style="264" bestFit="1" customWidth="1"/>
    <col min="9" max="9" width="6.5703125" style="264" bestFit="1" customWidth="1"/>
    <col min="10" max="10" width="5.42578125" style="259" customWidth="1"/>
    <col min="11" max="11" width="8.42578125" style="259" bestFit="1" customWidth="1"/>
    <col min="12" max="12" width="14.42578125" style="259" bestFit="1" customWidth="1"/>
    <col min="13" max="13" width="37.28515625" style="284" customWidth="1"/>
    <col min="14" max="16384" width="9.28515625" style="264"/>
  </cols>
  <sheetData>
    <row r="1" spans="1:13" s="259" customFormat="1" ht="31.5" customHeight="1" x14ac:dyDescent="0.25">
      <c r="A1" s="618" t="s">
        <v>850</v>
      </c>
      <c r="B1" s="569"/>
      <c r="C1" s="569"/>
      <c r="D1" s="256" t="s">
        <v>851</v>
      </c>
      <c r="E1" s="256"/>
      <c r="F1" s="617" t="s">
        <v>852</v>
      </c>
      <c r="G1" s="616"/>
      <c r="H1" s="257" t="s">
        <v>853</v>
      </c>
      <c r="I1" s="616"/>
      <c r="J1" s="258"/>
      <c r="M1" s="260"/>
    </row>
    <row r="2" spans="1:13" ht="15.75" x14ac:dyDescent="0.25">
      <c r="A2" s="261" t="s">
        <v>854</v>
      </c>
      <c r="B2" s="569"/>
      <c r="C2" s="569"/>
      <c r="D2" s="262" t="s">
        <v>855</v>
      </c>
      <c r="E2" s="262"/>
      <c r="F2" s="263" t="str">
        <f>+IF(COUNTIF(L4:L225,"=B")&gt;0,"BASE","OPTIONAL")</f>
        <v>BASE</v>
      </c>
      <c r="G2" s="616"/>
      <c r="H2" s="1622" t="s">
        <v>856</v>
      </c>
      <c r="I2" s="1622"/>
      <c r="J2" s="1615" t="s">
        <v>4</v>
      </c>
      <c r="K2" s="1615" t="s">
        <v>857</v>
      </c>
      <c r="L2" s="1615" t="s">
        <v>858</v>
      </c>
      <c r="M2" s="1615" t="s">
        <v>859</v>
      </c>
    </row>
    <row r="3" spans="1:13" ht="25.5" x14ac:dyDescent="0.25">
      <c r="A3" s="265" t="s">
        <v>860</v>
      </c>
      <c r="B3" s="568" t="s">
        <v>861</v>
      </c>
      <c r="C3" s="266" t="s">
        <v>862</v>
      </c>
      <c r="D3" s="266" t="s">
        <v>138</v>
      </c>
      <c r="E3" s="266" t="s">
        <v>863</v>
      </c>
      <c r="F3" s="267" t="s">
        <v>338</v>
      </c>
      <c r="G3" s="266" t="s">
        <v>864</v>
      </c>
      <c r="H3" s="267" t="s">
        <v>865</v>
      </c>
      <c r="I3" s="266" t="s">
        <v>133</v>
      </c>
      <c r="J3" s="1616"/>
      <c r="K3" s="1616"/>
      <c r="L3" s="1616"/>
      <c r="M3" s="1616"/>
    </row>
    <row r="4" spans="1:13" s="275" customFormat="1" ht="12.75" x14ac:dyDescent="0.25">
      <c r="A4" s="268" t="s">
        <v>866</v>
      </c>
      <c r="B4" s="269"/>
      <c r="C4" s="269"/>
      <c r="D4" s="270" t="s">
        <v>867</v>
      </c>
      <c r="E4" s="270" t="str">
        <f>IF(VLOOKUP(D4,'EMBOP-CI_ITA'!$D$4:$D$250,1,FALSE)=D4,"YES","NO")</f>
        <v>YES</v>
      </c>
      <c r="F4" s="269"/>
      <c r="G4" s="271"/>
      <c r="H4" s="272"/>
      <c r="I4" s="272"/>
      <c r="J4" s="273"/>
      <c r="K4" s="274"/>
      <c r="L4" s="274"/>
      <c r="M4" s="274"/>
    </row>
    <row r="5" spans="1:13" s="275" customFormat="1" ht="12.75" x14ac:dyDescent="0.25">
      <c r="A5" s="553" t="s">
        <v>868</v>
      </c>
      <c r="B5" s="551"/>
      <c r="C5" s="551"/>
      <c r="D5" s="552" t="s">
        <v>869</v>
      </c>
      <c r="E5" s="552" t="str">
        <f>IF(VLOOKUP(D5,'EMBOP-CI_ITA'!$D$4:$D$250,1,FALSE)=D5,"YES","NO")</f>
        <v>YES</v>
      </c>
      <c r="F5" s="551"/>
      <c r="G5" s="567"/>
      <c r="H5" s="565"/>
      <c r="I5" s="565"/>
      <c r="J5" s="549"/>
      <c r="K5" s="548"/>
      <c r="L5" s="548"/>
      <c r="M5" s="548"/>
    </row>
    <row r="6" spans="1:13" ht="12.75" x14ac:dyDescent="0.25">
      <c r="A6" s="276" t="str">
        <f t="shared" ref="A6:A18" si="0">+CONCATENATE($A$5,".",TEXT(ROW(A2)-ROW($A$1),0))</f>
        <v>ESC1.1.1</v>
      </c>
      <c r="B6" s="1617" t="s">
        <v>870</v>
      </c>
      <c r="C6" s="575" t="s">
        <v>413</v>
      </c>
      <c r="D6" s="277" t="s">
        <v>414</v>
      </c>
      <c r="E6" s="277" t="str">
        <f>IF(VLOOKUP(D6,'EMBOP-CI_ITA'!$D$4:$D$250,1,FALSE)=D6,"YES","NO")</f>
        <v>YES</v>
      </c>
      <c r="F6" s="278" t="s">
        <v>345</v>
      </c>
      <c r="G6" s="279">
        <v>0</v>
      </c>
      <c r="H6" s="280"/>
      <c r="I6" s="281">
        <f t="shared" ref="I6:I18" si="1">+G6*H6</f>
        <v>0</v>
      </c>
      <c r="J6" s="282" t="s">
        <v>871</v>
      </c>
      <c r="K6" s="283" t="s">
        <v>872</v>
      </c>
      <c r="L6" s="283" t="s">
        <v>873</v>
      </c>
      <c r="M6" s="283"/>
    </row>
    <row r="7" spans="1:13" ht="12.75" x14ac:dyDescent="0.25">
      <c r="A7" s="276" t="str">
        <f t="shared" si="0"/>
        <v>ESC1.1.2</v>
      </c>
      <c r="B7" s="1618"/>
      <c r="C7" s="575" t="s">
        <v>415</v>
      </c>
      <c r="D7" s="277" t="s">
        <v>416</v>
      </c>
      <c r="E7" s="277" t="str">
        <f>IF(VLOOKUP(D7,'EMBOP-CI_ITA'!$D$4:$D$250,1,FALSE)=D7,"YES","NO")</f>
        <v>YES</v>
      </c>
      <c r="F7" s="278" t="s">
        <v>345</v>
      </c>
      <c r="G7" s="279">
        <v>0</v>
      </c>
      <c r="H7" s="280"/>
      <c r="I7" s="281">
        <f t="shared" si="1"/>
        <v>0</v>
      </c>
      <c r="J7" s="282" t="s">
        <v>871</v>
      </c>
      <c r="K7" s="283" t="s">
        <v>872</v>
      </c>
      <c r="L7" s="283" t="s">
        <v>873</v>
      </c>
      <c r="M7" s="283"/>
    </row>
    <row r="8" spans="1:13" ht="12.75" x14ac:dyDescent="0.25">
      <c r="A8" s="276" t="str">
        <f t="shared" si="0"/>
        <v>ESC1.1.3</v>
      </c>
      <c r="B8" s="1619"/>
      <c r="C8" s="575" t="s">
        <v>417</v>
      </c>
      <c r="D8" s="277" t="s">
        <v>418</v>
      </c>
      <c r="E8" s="277" t="str">
        <f>IF(VLOOKUP(D8,'EMBOP-CI_ITA'!$D$4:$D$250,1,FALSE)=D8,"YES","NO")</f>
        <v>YES</v>
      </c>
      <c r="F8" s="278" t="s">
        <v>345</v>
      </c>
      <c r="G8" s="279">
        <v>0</v>
      </c>
      <c r="H8" s="280"/>
      <c r="I8" s="281">
        <f t="shared" si="1"/>
        <v>0</v>
      </c>
      <c r="J8" s="282" t="s">
        <v>871</v>
      </c>
      <c r="K8" s="283" t="s">
        <v>872</v>
      </c>
      <c r="L8" s="283" t="s">
        <v>873</v>
      </c>
      <c r="M8" s="283"/>
    </row>
    <row r="9" spans="1:13" ht="13.5" customHeight="1" x14ac:dyDescent="0.25">
      <c r="A9" s="276" t="str">
        <f t="shared" si="0"/>
        <v>ESC1.1.4</v>
      </c>
      <c r="B9" s="1623" t="s">
        <v>874</v>
      </c>
      <c r="C9" s="575" t="s">
        <v>875</v>
      </c>
      <c r="D9" s="277" t="s">
        <v>876</v>
      </c>
      <c r="E9" s="277" t="str">
        <f>IF(VLOOKUP(D9,'EMBOP-CI_ITA'!$D$4:$D$250,1,FALSE)=D9,"YES","NO")</f>
        <v>YES</v>
      </c>
      <c r="F9" s="278" t="s">
        <v>141</v>
      </c>
      <c r="G9" s="279">
        <v>0</v>
      </c>
      <c r="H9" s="280"/>
      <c r="I9" s="281">
        <f t="shared" si="1"/>
        <v>0</v>
      </c>
      <c r="J9" s="282" t="s">
        <v>871</v>
      </c>
      <c r="K9" s="283" t="s">
        <v>872</v>
      </c>
      <c r="L9" s="283" t="s">
        <v>873</v>
      </c>
      <c r="M9" s="283"/>
    </row>
    <row r="10" spans="1:13" ht="13.5" customHeight="1" x14ac:dyDescent="0.25">
      <c r="A10" s="276" t="str">
        <f t="shared" si="0"/>
        <v>ESC1.1.5</v>
      </c>
      <c r="B10" s="1624"/>
      <c r="C10" s="575" t="s">
        <v>877</v>
      </c>
      <c r="D10" s="277" t="s">
        <v>878</v>
      </c>
      <c r="E10" s="277" t="str">
        <f>IF(VLOOKUP(D10,'EMBOP-CI_ITA'!$D$4:$D$250,1,FALSE)=D10,"YES","NO")</f>
        <v>YES</v>
      </c>
      <c r="F10" s="278" t="s">
        <v>141</v>
      </c>
      <c r="G10" s="279">
        <v>0</v>
      </c>
      <c r="H10" s="280"/>
      <c r="I10" s="281">
        <f t="shared" si="1"/>
        <v>0</v>
      </c>
      <c r="J10" s="282" t="s">
        <v>871</v>
      </c>
      <c r="K10" s="283" t="s">
        <v>872</v>
      </c>
      <c r="L10" s="283" t="s">
        <v>873</v>
      </c>
      <c r="M10" s="283"/>
    </row>
    <row r="11" spans="1:13" ht="12.75" x14ac:dyDescent="0.25">
      <c r="A11" s="276" t="str">
        <f t="shared" si="0"/>
        <v>ESC1.1.6</v>
      </c>
      <c r="B11" s="1624"/>
      <c r="C11" s="575" t="s">
        <v>879</v>
      </c>
      <c r="D11" s="277" t="s">
        <v>880</v>
      </c>
      <c r="E11" s="277" t="str">
        <f>IF(VLOOKUP(D11,'EMBOP-CI_ITA'!$D$4:$D$250,1,FALSE)=D11,"YES","NO")</f>
        <v>YES</v>
      </c>
      <c r="F11" s="278" t="s">
        <v>141</v>
      </c>
      <c r="G11" s="279">
        <v>0</v>
      </c>
      <c r="H11" s="280"/>
      <c r="I11" s="281">
        <f t="shared" si="1"/>
        <v>0</v>
      </c>
      <c r="J11" s="282"/>
      <c r="K11" s="283" t="s">
        <v>872</v>
      </c>
      <c r="L11" s="283" t="s">
        <v>873</v>
      </c>
      <c r="M11" s="283"/>
    </row>
    <row r="12" spans="1:13" ht="12.75" x14ac:dyDescent="0.25">
      <c r="A12" s="276" t="str">
        <f t="shared" si="0"/>
        <v>ESC1.1.7</v>
      </c>
      <c r="B12" s="1624"/>
      <c r="C12" s="575" t="s">
        <v>881</v>
      </c>
      <c r="D12" s="277" t="s">
        <v>882</v>
      </c>
      <c r="E12" s="277" t="str">
        <f>IF(VLOOKUP(D12,'EMBOP-CI_ITA'!$D$4:$D$250,1,FALSE)=D12,"YES","NO")</f>
        <v>YES</v>
      </c>
      <c r="F12" s="278" t="s">
        <v>141</v>
      </c>
      <c r="G12" s="279">
        <v>0</v>
      </c>
      <c r="H12" s="280"/>
      <c r="I12" s="281">
        <f t="shared" si="1"/>
        <v>0</v>
      </c>
      <c r="J12" s="282" t="s">
        <v>871</v>
      </c>
      <c r="K12" s="283" t="s">
        <v>883</v>
      </c>
      <c r="L12" s="283" t="s">
        <v>873</v>
      </c>
      <c r="M12" s="283"/>
    </row>
    <row r="13" spans="1:13" ht="12.75" x14ac:dyDescent="0.25">
      <c r="A13" s="276" t="str">
        <f t="shared" si="0"/>
        <v>ESC1.1.8</v>
      </c>
      <c r="B13" s="1624"/>
      <c r="C13" s="575" t="s">
        <v>884</v>
      </c>
      <c r="D13" s="277" t="s">
        <v>885</v>
      </c>
      <c r="E13" s="277" t="str">
        <f>IF(VLOOKUP(D13,'EMBOP-CI_ITA'!$D$4:$D$250,1,FALSE)=D13,"YES","NO")</f>
        <v>YES</v>
      </c>
      <c r="F13" s="278" t="s">
        <v>141</v>
      </c>
      <c r="G13" s="279">
        <v>0</v>
      </c>
      <c r="H13" s="280"/>
      <c r="I13" s="281">
        <f t="shared" si="1"/>
        <v>0</v>
      </c>
      <c r="J13" s="282" t="s">
        <v>871</v>
      </c>
      <c r="K13" s="283" t="s">
        <v>883</v>
      </c>
      <c r="L13" s="283" t="s">
        <v>873</v>
      </c>
      <c r="M13" s="283"/>
    </row>
    <row r="14" spans="1:13" ht="12.75" x14ac:dyDescent="0.25">
      <c r="A14" s="276" t="str">
        <f t="shared" si="0"/>
        <v>ESC1.1.9</v>
      </c>
      <c r="B14" s="1624"/>
      <c r="C14" s="575" t="s">
        <v>886</v>
      </c>
      <c r="D14" s="277" t="s">
        <v>887</v>
      </c>
      <c r="E14" s="277" t="str">
        <f>IF(VLOOKUP(D14,'EMBOP-CI_ITA'!$D$4:$D$250,1,FALSE)=D14,"YES","NO")</f>
        <v>YES</v>
      </c>
      <c r="F14" s="278" t="s">
        <v>141</v>
      </c>
      <c r="G14" s="279">
        <v>0</v>
      </c>
      <c r="H14" s="280"/>
      <c r="I14" s="281">
        <f t="shared" si="1"/>
        <v>0</v>
      </c>
      <c r="J14" s="282" t="s">
        <v>871</v>
      </c>
      <c r="K14" s="283" t="s">
        <v>883</v>
      </c>
      <c r="L14" s="283" t="s">
        <v>873</v>
      </c>
      <c r="M14" s="283"/>
    </row>
    <row r="15" spans="1:13" ht="15" customHeight="1" x14ac:dyDescent="0.25">
      <c r="A15" s="276" t="str">
        <f t="shared" si="0"/>
        <v>ESC1.1.10</v>
      </c>
      <c r="B15" s="1620" t="s">
        <v>888</v>
      </c>
      <c r="C15" s="575" t="s">
        <v>889</v>
      </c>
      <c r="D15" s="277" t="s">
        <v>890</v>
      </c>
      <c r="E15" s="277" t="str">
        <f>IF(VLOOKUP(D15,'EMBOP-CI_ITA'!$D$4:$D$250,1,FALSE)=D15,"YES","NO")</f>
        <v>YES</v>
      </c>
      <c r="F15" s="278" t="s">
        <v>345</v>
      </c>
      <c r="G15" s="279">
        <v>0</v>
      </c>
      <c r="H15" s="280"/>
      <c r="I15" s="281">
        <f t="shared" si="1"/>
        <v>0</v>
      </c>
      <c r="J15" s="282" t="s">
        <v>871</v>
      </c>
      <c r="K15" s="283" t="s">
        <v>883</v>
      </c>
      <c r="L15" s="283" t="s">
        <v>873</v>
      </c>
      <c r="M15" s="283"/>
    </row>
    <row r="16" spans="1:13" ht="12.75" x14ac:dyDescent="0.25">
      <c r="A16" s="276" t="str">
        <f t="shared" si="0"/>
        <v>ESC1.1.11</v>
      </c>
      <c r="B16" s="1618"/>
      <c r="C16" s="575" t="s">
        <v>891</v>
      </c>
      <c r="D16" s="277" t="s">
        <v>892</v>
      </c>
      <c r="E16" s="277" t="str">
        <f>IF(VLOOKUP(D16,'EMBOP-CI_ITA'!$D$4:$D$250,1,FALSE)=D16,"YES","NO")</f>
        <v>YES</v>
      </c>
      <c r="F16" s="278" t="s">
        <v>345</v>
      </c>
      <c r="G16" s="279">
        <v>0</v>
      </c>
      <c r="H16" s="280"/>
      <c r="I16" s="281">
        <f t="shared" si="1"/>
        <v>0</v>
      </c>
      <c r="J16" s="282" t="s">
        <v>871</v>
      </c>
      <c r="K16" s="283" t="s">
        <v>883</v>
      </c>
      <c r="L16" s="283" t="s">
        <v>873</v>
      </c>
      <c r="M16" s="283"/>
    </row>
    <row r="17" spans="1:13" ht="12.75" x14ac:dyDescent="0.25">
      <c r="A17" s="276" t="str">
        <f t="shared" si="0"/>
        <v>ESC1.1.12</v>
      </c>
      <c r="B17" s="1618"/>
      <c r="C17" s="575" t="s">
        <v>893</v>
      </c>
      <c r="D17" s="277" t="s">
        <v>894</v>
      </c>
      <c r="E17" s="277" t="str">
        <f>IF(VLOOKUP(D17,'EMBOP-CI_ITA'!$D$4:$D$250,1,FALSE)=D17,"YES","NO")</f>
        <v>YES</v>
      </c>
      <c r="F17" s="278" t="s">
        <v>345</v>
      </c>
      <c r="G17" s="279">
        <v>0</v>
      </c>
      <c r="H17" s="280"/>
      <c r="I17" s="281">
        <f t="shared" si="1"/>
        <v>0</v>
      </c>
      <c r="J17" s="282" t="s">
        <v>871</v>
      </c>
      <c r="K17" s="283" t="s">
        <v>883</v>
      </c>
      <c r="L17" s="283" t="s">
        <v>873</v>
      </c>
      <c r="M17" s="283"/>
    </row>
    <row r="18" spans="1:13" s="629" customFormat="1" ht="12.75" x14ac:dyDescent="0.25">
      <c r="A18" s="631" t="str">
        <f t="shared" si="0"/>
        <v>ESC1.1.13</v>
      </c>
      <c r="B18" s="637" t="s">
        <v>895</v>
      </c>
      <c r="C18" s="684" t="s">
        <v>779</v>
      </c>
      <c r="D18" s="626" t="s">
        <v>780</v>
      </c>
      <c r="E18" s="626" t="str">
        <f>IF(VLOOKUP(D18,'EMBOP-CI_ITA'!$D$4:$D$250,1,FALSE)=D18,"YES","NO")</f>
        <v>YES</v>
      </c>
      <c r="F18" s="625" t="s">
        <v>781</v>
      </c>
      <c r="G18" s="624">
        <v>0</v>
      </c>
      <c r="H18" s="623"/>
      <c r="I18" s="622">
        <f t="shared" si="1"/>
        <v>0</v>
      </c>
      <c r="J18" s="621" t="s">
        <v>871</v>
      </c>
      <c r="K18" s="620" t="s">
        <v>883</v>
      </c>
      <c r="L18" s="620" t="s">
        <v>873</v>
      </c>
      <c r="M18" s="620"/>
    </row>
    <row r="19" spans="1:13" s="275" customFormat="1" ht="12.75" x14ac:dyDescent="0.25">
      <c r="A19" s="553" t="s">
        <v>896</v>
      </c>
      <c r="B19" s="551"/>
      <c r="C19" s="551"/>
      <c r="D19" s="552" t="s">
        <v>1341</v>
      </c>
      <c r="E19" s="552" t="e">
        <f>IF(VLOOKUP(D19,'EMBOP-CI_ITA'!$D$4:$D$250,1,FALSE)=D19,"YES","NO")</f>
        <v>#N/A</v>
      </c>
      <c r="F19" s="551"/>
      <c r="G19" s="567"/>
      <c r="H19" s="565"/>
      <c r="I19" s="565"/>
      <c r="J19" s="549"/>
      <c r="K19" s="548"/>
      <c r="L19" s="548"/>
      <c r="M19" s="548"/>
    </row>
    <row r="20" spans="1:13" ht="12.75" x14ac:dyDescent="0.25">
      <c r="A20" s="276" t="str">
        <f>+CONCATENATE($A$19,".",TEXT(ROW(A8)-ROW($A$1),0))</f>
        <v>ESC1.2.7</v>
      </c>
      <c r="B20" s="1620" t="s">
        <v>898</v>
      </c>
      <c r="C20" s="575" t="s">
        <v>439</v>
      </c>
      <c r="D20" s="277" t="s">
        <v>440</v>
      </c>
      <c r="E20" s="277" t="str">
        <f>IF(VLOOKUP(D20,'EMBOP-CI_ITA'!$D$4:$D$250,1,FALSE)=D20,"YES","NO")</f>
        <v>YES</v>
      </c>
      <c r="F20" s="278" t="s">
        <v>345</v>
      </c>
      <c r="G20" s="279">
        <v>0</v>
      </c>
      <c r="H20" s="280"/>
      <c r="I20" s="281">
        <f t="shared" ref="I20:I32" si="2">+G20*H20</f>
        <v>0</v>
      </c>
      <c r="J20" s="282" t="s">
        <v>871</v>
      </c>
      <c r="K20" s="283" t="s">
        <v>872</v>
      </c>
      <c r="L20" s="283" t="s">
        <v>873</v>
      </c>
      <c r="M20" s="283"/>
    </row>
    <row r="21" spans="1:13" ht="12.75" x14ac:dyDescent="0.25">
      <c r="A21" s="276" t="str">
        <f>+CONCATENATE($A$19,".",TEXT(ROW(A9)-ROW($A$1),0))</f>
        <v>ESC1.2.8</v>
      </c>
      <c r="B21" s="1620"/>
      <c r="C21" s="575" t="s">
        <v>441</v>
      </c>
      <c r="D21" s="277" t="s">
        <v>442</v>
      </c>
      <c r="E21" s="277" t="str">
        <f>IF(VLOOKUP(D21,'EMBOP-CI_ITA'!$D$4:$D$250,1,FALSE)=D21,"YES","NO")</f>
        <v>YES</v>
      </c>
      <c r="F21" s="278" t="s">
        <v>345</v>
      </c>
      <c r="G21" s="279">
        <v>0</v>
      </c>
      <c r="H21" s="280"/>
      <c r="I21" s="281">
        <f t="shared" si="2"/>
        <v>0</v>
      </c>
      <c r="J21" s="282" t="s">
        <v>871</v>
      </c>
      <c r="K21" s="283" t="s">
        <v>872</v>
      </c>
      <c r="L21" s="283" t="s">
        <v>873</v>
      </c>
      <c r="M21" s="283"/>
    </row>
    <row r="22" spans="1:13" ht="12.75" x14ac:dyDescent="0.25">
      <c r="A22" s="276" t="str">
        <f>+CONCATENATE($A$19,".",TEXT(ROW(A10)-ROW($A$1),0))</f>
        <v>ESC1.2.9</v>
      </c>
      <c r="B22" s="1621"/>
      <c r="C22" s="575" t="s">
        <v>443</v>
      </c>
      <c r="D22" s="277" t="s">
        <v>444</v>
      </c>
      <c r="E22" s="277" t="str">
        <f>IF(VLOOKUP(D22,'EMBOP-CI_ITA'!$D$4:$D$250,1,FALSE)=D22,"YES","NO")</f>
        <v>YES</v>
      </c>
      <c r="F22" s="278" t="s">
        <v>345</v>
      </c>
      <c r="G22" s="279">
        <v>0</v>
      </c>
      <c r="H22" s="280"/>
      <c r="I22" s="281">
        <f t="shared" si="2"/>
        <v>0</v>
      </c>
      <c r="J22" s="282" t="s">
        <v>871</v>
      </c>
      <c r="K22" s="283" t="s">
        <v>872</v>
      </c>
      <c r="L22" s="283" t="s">
        <v>873</v>
      </c>
      <c r="M22" s="283"/>
    </row>
    <row r="23" spans="1:13" ht="12.75" x14ac:dyDescent="0.25">
      <c r="A23" s="276" t="str">
        <f t="shared" ref="A23:A28" si="3">+CONCATENATE($A$19,".",TEXT(ROW(A17)-ROW($A$1),0))</f>
        <v>ESC1.2.16</v>
      </c>
      <c r="B23" s="1617" t="s">
        <v>899</v>
      </c>
      <c r="C23" s="575" t="s">
        <v>900</v>
      </c>
      <c r="D23" s="277" t="s">
        <v>901</v>
      </c>
      <c r="E23" s="277" t="str">
        <f>IF(VLOOKUP(D23,'EMBOP-CI_ITA'!$D$4:$D$250,1,FALSE)=D23,"YES","NO")</f>
        <v>YES</v>
      </c>
      <c r="F23" s="278" t="s">
        <v>141</v>
      </c>
      <c r="G23" s="279">
        <v>0</v>
      </c>
      <c r="H23" s="280"/>
      <c r="I23" s="281">
        <f t="shared" si="2"/>
        <v>0</v>
      </c>
      <c r="J23" s="282" t="s">
        <v>871</v>
      </c>
      <c r="K23" s="283" t="s">
        <v>872</v>
      </c>
      <c r="L23" s="283" t="s">
        <v>873</v>
      </c>
      <c r="M23" s="283"/>
    </row>
    <row r="24" spans="1:13" ht="12.75" x14ac:dyDescent="0.25">
      <c r="A24" s="276" t="str">
        <f t="shared" si="3"/>
        <v>ESC1.2.17</v>
      </c>
      <c r="B24" s="1620"/>
      <c r="C24" s="575" t="s">
        <v>902</v>
      </c>
      <c r="D24" s="277" t="s">
        <v>903</v>
      </c>
      <c r="E24" s="277" t="str">
        <f>IF(VLOOKUP(D24,'EMBOP-CI_ITA'!$D$4:$D$250,1,FALSE)=D24,"YES","NO")</f>
        <v>YES</v>
      </c>
      <c r="F24" s="278" t="s">
        <v>141</v>
      </c>
      <c r="G24" s="279">
        <v>0</v>
      </c>
      <c r="H24" s="280"/>
      <c r="I24" s="281">
        <f t="shared" si="2"/>
        <v>0</v>
      </c>
      <c r="J24" s="282" t="s">
        <v>871</v>
      </c>
      <c r="K24" s="283" t="s">
        <v>872</v>
      </c>
      <c r="L24" s="283" t="s">
        <v>873</v>
      </c>
      <c r="M24" s="283"/>
    </row>
    <row r="25" spans="1:13" ht="12.75" x14ac:dyDescent="0.25">
      <c r="A25" s="276" t="str">
        <f t="shared" si="3"/>
        <v>ESC1.2.18</v>
      </c>
      <c r="B25" s="1621"/>
      <c r="C25" s="575" t="s">
        <v>904</v>
      </c>
      <c r="D25" s="277" t="s">
        <v>905</v>
      </c>
      <c r="E25" s="277" t="str">
        <f>IF(VLOOKUP(D25,'EMBOP-CI_ITA'!$D$4:$D$250,1,FALSE)=D25,"YES","NO")</f>
        <v>YES</v>
      </c>
      <c r="F25" s="278" t="s">
        <v>141</v>
      </c>
      <c r="G25" s="279">
        <v>0</v>
      </c>
      <c r="H25" s="280"/>
      <c r="I25" s="281">
        <f t="shared" si="2"/>
        <v>0</v>
      </c>
      <c r="J25" s="282" t="s">
        <v>871</v>
      </c>
      <c r="K25" s="283" t="s">
        <v>872</v>
      </c>
      <c r="L25" s="283" t="s">
        <v>873</v>
      </c>
      <c r="M25" s="283"/>
    </row>
    <row r="26" spans="1:13" ht="12.75" x14ac:dyDescent="0.25">
      <c r="A26" s="276" t="str">
        <f t="shared" si="3"/>
        <v>ESC1.2.19</v>
      </c>
      <c r="B26" s="1617" t="s">
        <v>906</v>
      </c>
      <c r="C26" s="575" t="s">
        <v>907</v>
      </c>
      <c r="D26" s="277" t="s">
        <v>908</v>
      </c>
      <c r="E26" s="277" t="str">
        <f>IF(VLOOKUP(D26,'EMBOP-CI_ITA'!$D$4:$D$250,1,FALSE)=D26,"YES","NO")</f>
        <v>YES</v>
      </c>
      <c r="F26" s="278" t="s">
        <v>141</v>
      </c>
      <c r="G26" s="279">
        <v>0</v>
      </c>
      <c r="H26" s="280"/>
      <c r="I26" s="281">
        <f t="shared" si="2"/>
        <v>0</v>
      </c>
      <c r="J26" s="282" t="s">
        <v>871</v>
      </c>
      <c r="K26" s="283" t="s">
        <v>883</v>
      </c>
      <c r="L26" s="283" t="s">
        <v>873</v>
      </c>
      <c r="M26" s="283"/>
    </row>
    <row r="27" spans="1:13" ht="12.75" x14ac:dyDescent="0.25">
      <c r="A27" s="276" t="str">
        <f t="shared" si="3"/>
        <v>ESC1.2.20</v>
      </c>
      <c r="B27" s="1620"/>
      <c r="C27" s="575" t="s">
        <v>909</v>
      </c>
      <c r="D27" s="277" t="s">
        <v>910</v>
      </c>
      <c r="E27" s="277" t="str">
        <f>IF(VLOOKUP(D27,'EMBOP-CI_ITA'!$D$4:$D$250,1,FALSE)=D27,"YES","NO")</f>
        <v>YES</v>
      </c>
      <c r="F27" s="278" t="s">
        <v>141</v>
      </c>
      <c r="G27" s="279">
        <v>0</v>
      </c>
      <c r="H27" s="280"/>
      <c r="I27" s="281">
        <f t="shared" si="2"/>
        <v>0</v>
      </c>
      <c r="J27" s="282" t="s">
        <v>871</v>
      </c>
      <c r="K27" s="283" t="s">
        <v>883</v>
      </c>
      <c r="L27" s="283" t="s">
        <v>873</v>
      </c>
      <c r="M27" s="283"/>
    </row>
    <row r="28" spans="1:13" ht="12.75" x14ac:dyDescent="0.25">
      <c r="A28" s="276" t="str">
        <f t="shared" si="3"/>
        <v>ESC1.2.21</v>
      </c>
      <c r="B28" s="1621"/>
      <c r="C28" s="575" t="s">
        <v>911</v>
      </c>
      <c r="D28" s="277" t="s">
        <v>912</v>
      </c>
      <c r="E28" s="277" t="str">
        <f>IF(VLOOKUP(D28,'EMBOP-CI_ITA'!$D$4:$D$250,1,FALSE)=D28,"YES","NO")</f>
        <v>YES</v>
      </c>
      <c r="F28" s="278" t="s">
        <v>141</v>
      </c>
      <c r="G28" s="279">
        <v>0</v>
      </c>
      <c r="H28" s="280"/>
      <c r="I28" s="281">
        <f t="shared" si="2"/>
        <v>0</v>
      </c>
      <c r="J28" s="282" t="s">
        <v>871</v>
      </c>
      <c r="K28" s="283" t="s">
        <v>883</v>
      </c>
      <c r="L28" s="283" t="s">
        <v>873</v>
      </c>
      <c r="M28" s="283"/>
    </row>
    <row r="29" spans="1:13" ht="12.75" x14ac:dyDescent="0.25">
      <c r="A29" s="276" t="str">
        <f>+CONCATENATE($A$19,".",TEXT(ROW(A25)-ROW($A$1),0))</f>
        <v>ESC1.2.24</v>
      </c>
      <c r="B29" s="1617" t="s">
        <v>913</v>
      </c>
      <c r="C29" s="605" t="s">
        <v>914</v>
      </c>
      <c r="D29" s="277" t="s">
        <v>915</v>
      </c>
      <c r="E29" s="277" t="str">
        <f>IF(VLOOKUP(D29,'EMBOP-CI_ITA'!$D$4:$D$250,1,FALSE)=D29,"YES","NO")</f>
        <v>YES</v>
      </c>
      <c r="F29" s="278" t="s">
        <v>345</v>
      </c>
      <c r="G29" s="279">
        <v>0</v>
      </c>
      <c r="H29" s="280"/>
      <c r="I29" s="281">
        <f t="shared" si="2"/>
        <v>0</v>
      </c>
      <c r="J29" s="282" t="s">
        <v>871</v>
      </c>
      <c r="K29" s="283" t="s">
        <v>883</v>
      </c>
      <c r="L29" s="283" t="s">
        <v>873</v>
      </c>
      <c r="M29" s="283"/>
    </row>
    <row r="30" spans="1:13" ht="12.75" x14ac:dyDescent="0.25">
      <c r="A30" s="276" t="e">
        <f>+CONCATENATE($A$19,".",TEXT(ROW(#REF!)-ROW($A$1),0))</f>
        <v>#REF!</v>
      </c>
      <c r="B30" s="1620"/>
      <c r="C30" s="605" t="s">
        <v>916</v>
      </c>
      <c r="D30" s="277" t="s">
        <v>917</v>
      </c>
      <c r="E30" s="277" t="str">
        <f>IF(VLOOKUP(D30,'EMBOP-CI_ITA'!$D$4:$D$250,1,FALSE)=D30,"YES","NO")</f>
        <v>YES</v>
      </c>
      <c r="F30" s="278" t="s">
        <v>345</v>
      </c>
      <c r="G30" s="279">
        <v>0</v>
      </c>
      <c r="H30" s="280"/>
      <c r="I30" s="281">
        <f t="shared" si="2"/>
        <v>0</v>
      </c>
      <c r="J30" s="282" t="s">
        <v>871</v>
      </c>
      <c r="K30" s="283" t="s">
        <v>883</v>
      </c>
      <c r="L30" s="283" t="s">
        <v>873</v>
      </c>
      <c r="M30" s="283"/>
    </row>
    <row r="31" spans="1:13" ht="12.75" x14ac:dyDescent="0.25">
      <c r="A31" s="276" t="e">
        <f>+CONCATENATE($A$19,".",TEXT(ROW(#REF!)-ROW($A$1),0))</f>
        <v>#REF!</v>
      </c>
      <c r="B31" s="1621"/>
      <c r="C31" s="605" t="s">
        <v>918</v>
      </c>
      <c r="D31" s="277" t="s">
        <v>919</v>
      </c>
      <c r="E31" s="277" t="str">
        <f>IF(VLOOKUP(D31,'EMBOP-CI_ITA'!$D$4:$D$250,1,FALSE)=D31,"YES","NO")</f>
        <v>YES</v>
      </c>
      <c r="F31" s="278" t="s">
        <v>345</v>
      </c>
      <c r="G31" s="279">
        <v>0</v>
      </c>
      <c r="H31" s="280"/>
      <c r="I31" s="281">
        <f t="shared" si="2"/>
        <v>0</v>
      </c>
      <c r="J31" s="282" t="s">
        <v>871</v>
      </c>
      <c r="K31" s="283" t="s">
        <v>883</v>
      </c>
      <c r="L31" s="283" t="s">
        <v>873</v>
      </c>
      <c r="M31" s="283"/>
    </row>
    <row r="32" spans="1:13" s="629" customFormat="1" ht="38.25" customHeight="1" x14ac:dyDescent="0.25">
      <c r="A32" s="631" t="e">
        <f>+CONCATENATE($A$19,".",TEXT(ROW(#REF!)-ROW($A$1),0))</f>
        <v>#REF!</v>
      </c>
      <c r="B32" s="637" t="s">
        <v>920</v>
      </c>
      <c r="C32" s="684" t="s">
        <v>784</v>
      </c>
      <c r="D32" s="626" t="s">
        <v>785</v>
      </c>
      <c r="E32" s="626" t="str">
        <f>IF(VLOOKUP(D32,'EMBOP-CI_ITA'!$D$4:$D$250,1,FALSE)=D32,"YES","NO")</f>
        <v>YES</v>
      </c>
      <c r="F32" s="625" t="s">
        <v>921</v>
      </c>
      <c r="G32" s="624">
        <v>0</v>
      </c>
      <c r="H32" s="623"/>
      <c r="I32" s="622">
        <f t="shared" si="2"/>
        <v>0</v>
      </c>
      <c r="J32" s="621" t="s">
        <v>871</v>
      </c>
      <c r="K32" s="620" t="s">
        <v>883</v>
      </c>
      <c r="L32" s="620" t="s">
        <v>873</v>
      </c>
      <c r="M32" s="620"/>
    </row>
    <row r="33" spans="1:13" s="275" customFormat="1" ht="12.75" x14ac:dyDescent="0.25">
      <c r="A33" s="553" t="s">
        <v>922</v>
      </c>
      <c r="B33" s="551"/>
      <c r="C33" s="551"/>
      <c r="D33" s="552" t="s">
        <v>923</v>
      </c>
      <c r="E33" s="552" t="str">
        <f>IF(VLOOKUP(D33,'EMBOP-CI_ITA'!$D$4:$D$250,1,FALSE)=D33,"YES","NO")</f>
        <v>YES</v>
      </c>
      <c r="F33" s="551"/>
      <c r="G33" s="567"/>
      <c r="H33" s="565"/>
      <c r="I33" s="565"/>
      <c r="J33" s="549"/>
      <c r="K33" s="548"/>
      <c r="L33" s="548"/>
      <c r="M33" s="548"/>
    </row>
    <row r="34" spans="1:13" ht="12.75" x14ac:dyDescent="0.25">
      <c r="A34" s="276" t="str">
        <f>+CONCATENATE($A$33,".",TEXT(ROW(A5)-ROW($A$1),0))</f>
        <v>ESC1.3.4</v>
      </c>
      <c r="B34" s="1617" t="s">
        <v>924</v>
      </c>
      <c r="C34" s="575" t="s">
        <v>352</v>
      </c>
      <c r="D34" s="277" t="s">
        <v>353</v>
      </c>
      <c r="E34" s="277" t="str">
        <f>IF(VLOOKUP(D34,'EMBOP-CI_ITA'!$D$4:$D$250,1,FALSE)=D34,"YES","NO")</f>
        <v>YES</v>
      </c>
      <c r="F34" s="278" t="s">
        <v>345</v>
      </c>
      <c r="G34" s="279">
        <v>0</v>
      </c>
      <c r="H34" s="280"/>
      <c r="I34" s="281">
        <f t="shared" ref="I34:I70" si="4">+G34*H34</f>
        <v>0</v>
      </c>
      <c r="J34" s="282" t="s">
        <v>871</v>
      </c>
      <c r="K34" s="283" t="s">
        <v>872</v>
      </c>
      <c r="L34" s="283" t="s">
        <v>873</v>
      </c>
      <c r="M34" s="283"/>
    </row>
    <row r="35" spans="1:13" ht="12.75" x14ac:dyDescent="0.25">
      <c r="A35" s="276" t="str">
        <f>+CONCATENATE($A$33,".",TEXT(ROW(A6)-ROW($A$1),0))</f>
        <v>ESC1.3.5</v>
      </c>
      <c r="B35" s="1620"/>
      <c r="C35" s="575" t="s">
        <v>356</v>
      </c>
      <c r="D35" s="277" t="s">
        <v>357</v>
      </c>
      <c r="E35" s="277" t="str">
        <f>IF(VLOOKUP(D35,'EMBOP-CI_ITA'!$D$4:$D$250,1,FALSE)=D35,"YES","NO")</f>
        <v>YES</v>
      </c>
      <c r="F35" s="278" t="s">
        <v>345</v>
      </c>
      <c r="G35" s="279">
        <v>0</v>
      </c>
      <c r="H35" s="280"/>
      <c r="I35" s="281">
        <f t="shared" si="4"/>
        <v>0</v>
      </c>
      <c r="J35" s="282" t="s">
        <v>871</v>
      </c>
      <c r="K35" s="283" t="s">
        <v>872</v>
      </c>
      <c r="L35" s="283" t="s">
        <v>873</v>
      </c>
      <c r="M35" s="283"/>
    </row>
    <row r="36" spans="1:13" ht="12.75" x14ac:dyDescent="0.25">
      <c r="A36" s="276" t="str">
        <f>+CONCATENATE($A$33,".",TEXT(ROW(A7)-ROW($A$1),0))</f>
        <v>ESC1.3.6</v>
      </c>
      <c r="B36" s="1620"/>
      <c r="C36" s="575" t="s">
        <v>360</v>
      </c>
      <c r="D36" s="277" t="s">
        <v>361</v>
      </c>
      <c r="E36" s="277" t="str">
        <f>IF(VLOOKUP(D36,'EMBOP-CI_ITA'!$D$4:$D$250,1,FALSE)=D36,"YES","NO")</f>
        <v>YES</v>
      </c>
      <c r="F36" s="278" t="s">
        <v>345</v>
      </c>
      <c r="G36" s="279">
        <v>0</v>
      </c>
      <c r="H36" s="280"/>
      <c r="I36" s="281">
        <f t="shared" si="4"/>
        <v>0</v>
      </c>
      <c r="J36" s="282" t="s">
        <v>871</v>
      </c>
      <c r="K36" s="283" t="s">
        <v>872</v>
      </c>
      <c r="L36" s="283" t="s">
        <v>873</v>
      </c>
      <c r="M36" s="283"/>
    </row>
    <row r="37" spans="1:13" ht="12.75" x14ac:dyDescent="0.25">
      <c r="A37" s="276" t="str">
        <f>+CONCATENATE($A$33,".",TEXT(ROW(A8)-ROW($A$1),0))</f>
        <v>ESC1.3.7</v>
      </c>
      <c r="B37" s="1620"/>
      <c r="C37" s="575" t="s">
        <v>364</v>
      </c>
      <c r="D37" s="277" t="s">
        <v>365</v>
      </c>
      <c r="E37" s="277" t="str">
        <f>IF(VLOOKUP(D37,'EMBOP-CI_ITA'!$D$4:$D$250,1,FALSE)=D37,"YES","NO")</f>
        <v>YES</v>
      </c>
      <c r="F37" s="278" t="s">
        <v>345</v>
      </c>
      <c r="G37" s="279">
        <v>0</v>
      </c>
      <c r="H37" s="280"/>
      <c r="I37" s="281">
        <f t="shared" si="4"/>
        <v>0</v>
      </c>
      <c r="J37" s="282" t="s">
        <v>871</v>
      </c>
      <c r="K37" s="283" t="s">
        <v>872</v>
      </c>
      <c r="L37" s="283" t="s">
        <v>873</v>
      </c>
      <c r="M37" s="283"/>
    </row>
    <row r="38" spans="1:13" ht="12.75" x14ac:dyDescent="0.25">
      <c r="A38" s="276" t="str">
        <f>+CONCATENATE($A$33,".",TEXT(ROW(A9)-ROW($A$1),0))</f>
        <v>ESC1.3.8</v>
      </c>
      <c r="B38" s="1620"/>
      <c r="C38" s="575" t="s">
        <v>368</v>
      </c>
      <c r="D38" s="277" t="s">
        <v>369</v>
      </c>
      <c r="E38" s="277" t="str">
        <f>IF(VLOOKUP(D38,'EMBOP-CI_ITA'!$D$4:$D$250,1,FALSE)=D38,"YES","NO")</f>
        <v>YES</v>
      </c>
      <c r="F38" s="278" t="s">
        <v>345</v>
      </c>
      <c r="G38" s="279">
        <v>0</v>
      </c>
      <c r="H38" s="280"/>
      <c r="I38" s="281">
        <f t="shared" si="4"/>
        <v>0</v>
      </c>
      <c r="J38" s="282" t="s">
        <v>871</v>
      </c>
      <c r="K38" s="283" t="s">
        <v>872</v>
      </c>
      <c r="L38" s="283" t="s">
        <v>873</v>
      </c>
      <c r="M38" s="283"/>
    </row>
    <row r="39" spans="1:13" ht="12.75" x14ac:dyDescent="0.25">
      <c r="A39" s="276" t="str">
        <f>+CONCATENATE($A$33,".",TEXT(ROW(A11)-ROW($A$1),0))</f>
        <v>ESC1.3.10</v>
      </c>
      <c r="B39" s="1620"/>
      <c r="C39" s="575" t="s">
        <v>372</v>
      </c>
      <c r="D39" s="277" t="s">
        <v>373</v>
      </c>
      <c r="E39" s="277" t="str">
        <f>IF(VLOOKUP(D39,'EMBOP-CI_ITA'!$D$4:$D$250,1,FALSE)=D39,"YES","NO")</f>
        <v>YES</v>
      </c>
      <c r="F39" s="278" t="s">
        <v>345</v>
      </c>
      <c r="G39" s="279">
        <v>0</v>
      </c>
      <c r="H39" s="280"/>
      <c r="I39" s="281">
        <f t="shared" si="4"/>
        <v>0</v>
      </c>
      <c r="J39" s="282" t="s">
        <v>871</v>
      </c>
      <c r="K39" s="283" t="s">
        <v>872</v>
      </c>
      <c r="L39" s="283" t="s">
        <v>873</v>
      </c>
      <c r="M39" s="283"/>
    </row>
    <row r="40" spans="1:13" ht="12.75" x14ac:dyDescent="0.25">
      <c r="A40" s="276" t="e">
        <f>+CONCATENATE($A$33,".",TEXT(ROW(#REF!)-ROW($A$1),0))</f>
        <v>#REF!</v>
      </c>
      <c r="B40" s="1621"/>
      <c r="C40" s="575" t="s">
        <v>376</v>
      </c>
      <c r="D40" s="277" t="s">
        <v>377</v>
      </c>
      <c r="E40" s="277" t="str">
        <f>IF(VLOOKUP(D40,'EMBOP-CI_ITA'!$D$4:$D$250,1,FALSE)=D40,"YES","NO")</f>
        <v>YES</v>
      </c>
      <c r="F40" s="278" t="s">
        <v>345</v>
      </c>
      <c r="G40" s="279">
        <v>0</v>
      </c>
      <c r="H40" s="280"/>
      <c r="I40" s="281">
        <f t="shared" si="4"/>
        <v>0</v>
      </c>
      <c r="J40" s="282" t="s">
        <v>871</v>
      </c>
      <c r="K40" s="283" t="s">
        <v>872</v>
      </c>
      <c r="L40" s="283" t="s">
        <v>873</v>
      </c>
      <c r="M40" s="283"/>
    </row>
    <row r="41" spans="1:13" ht="12.75" x14ac:dyDescent="0.25">
      <c r="A41" s="276" t="e">
        <f>+CONCATENATE($A$33,".",TEXT(ROW(#REF!)-ROW($A$1),0))</f>
        <v>#REF!</v>
      </c>
      <c r="B41" s="1617" t="s">
        <v>925</v>
      </c>
      <c r="C41" s="575" t="s">
        <v>926</v>
      </c>
      <c r="D41" s="277" t="s">
        <v>927</v>
      </c>
      <c r="E41" s="277" t="str">
        <f>IF(VLOOKUP(D41,'EMBOP-CI_ITA'!$D$4:$D$250,1,FALSE)=D41,"YES","NO")</f>
        <v>YES</v>
      </c>
      <c r="F41" s="278" t="s">
        <v>141</v>
      </c>
      <c r="G41" s="279">
        <v>0</v>
      </c>
      <c r="H41" s="280"/>
      <c r="I41" s="281">
        <f t="shared" si="4"/>
        <v>0</v>
      </c>
      <c r="J41" s="282" t="s">
        <v>871</v>
      </c>
      <c r="K41" s="283" t="s">
        <v>872</v>
      </c>
      <c r="L41" s="283" t="s">
        <v>873</v>
      </c>
      <c r="M41" s="283"/>
    </row>
    <row r="42" spans="1:13" ht="12.75" x14ac:dyDescent="0.25">
      <c r="A42" s="276" t="e">
        <f>+CONCATENATE($A$33,".",TEXT(ROW(#REF!)-ROW($A$1),0))</f>
        <v>#REF!</v>
      </c>
      <c r="B42" s="1618"/>
      <c r="C42" s="575" t="s">
        <v>928</v>
      </c>
      <c r="D42" s="277" t="s">
        <v>929</v>
      </c>
      <c r="E42" s="277" t="str">
        <f>IF(VLOOKUP(D42,'EMBOP-CI_ITA'!$D$4:$D$250,1,FALSE)=D42,"YES","NO")</f>
        <v>YES</v>
      </c>
      <c r="F42" s="278" t="s">
        <v>141</v>
      </c>
      <c r="G42" s="279">
        <v>0</v>
      </c>
      <c r="H42" s="280"/>
      <c r="I42" s="281">
        <f t="shared" si="4"/>
        <v>0</v>
      </c>
      <c r="J42" s="282" t="s">
        <v>871</v>
      </c>
      <c r="K42" s="283" t="s">
        <v>872</v>
      </c>
      <c r="L42" s="283" t="s">
        <v>873</v>
      </c>
      <c r="M42" s="283"/>
    </row>
    <row r="43" spans="1:13" ht="12.75" x14ac:dyDescent="0.25">
      <c r="A43" s="276" t="e">
        <f>+CONCATENATE($A$33,".",TEXT(ROW(#REF!)-ROW($A$1),0))</f>
        <v>#REF!</v>
      </c>
      <c r="B43" s="1618"/>
      <c r="C43" s="575" t="s">
        <v>930</v>
      </c>
      <c r="D43" s="277" t="s">
        <v>931</v>
      </c>
      <c r="E43" s="277" t="str">
        <f>IF(VLOOKUP(D43,'EMBOP-CI_ITA'!$D$4:$D$250,1,FALSE)=D43,"YES","NO")</f>
        <v>YES</v>
      </c>
      <c r="F43" s="278" t="s">
        <v>141</v>
      </c>
      <c r="G43" s="279">
        <v>0</v>
      </c>
      <c r="H43" s="280"/>
      <c r="I43" s="281">
        <f t="shared" si="4"/>
        <v>0</v>
      </c>
      <c r="J43" s="282" t="s">
        <v>871</v>
      </c>
      <c r="K43" s="283" t="s">
        <v>872</v>
      </c>
      <c r="L43" s="283" t="s">
        <v>873</v>
      </c>
      <c r="M43" s="283"/>
    </row>
    <row r="44" spans="1:13" ht="12.75" x14ac:dyDescent="0.25">
      <c r="A44" s="276" t="e">
        <f>+CONCATENATE($A$33,".",TEXT(ROW(#REF!)-ROW($A$1),0))</f>
        <v>#REF!</v>
      </c>
      <c r="B44" s="1618"/>
      <c r="C44" s="575" t="s">
        <v>932</v>
      </c>
      <c r="D44" s="277" t="s">
        <v>933</v>
      </c>
      <c r="E44" s="277" t="str">
        <f>IF(VLOOKUP(D44,'EMBOP-CI_ITA'!$D$4:$D$250,1,FALSE)=D44,"YES","NO")</f>
        <v>YES</v>
      </c>
      <c r="F44" s="278" t="s">
        <v>141</v>
      </c>
      <c r="G44" s="279">
        <v>0</v>
      </c>
      <c r="H44" s="280"/>
      <c r="I44" s="281">
        <f t="shared" si="4"/>
        <v>0</v>
      </c>
      <c r="J44" s="282" t="s">
        <v>871</v>
      </c>
      <c r="K44" s="283" t="s">
        <v>872</v>
      </c>
      <c r="L44" s="283" t="s">
        <v>873</v>
      </c>
      <c r="M44" s="283"/>
    </row>
    <row r="45" spans="1:13" ht="12.75" x14ac:dyDescent="0.25">
      <c r="A45" s="276" t="e">
        <f>+CONCATENATE($A$33,".",TEXT(ROW(#REF!)-ROW($A$1),0))</f>
        <v>#REF!</v>
      </c>
      <c r="B45" s="1618"/>
      <c r="C45" s="575" t="s">
        <v>934</v>
      </c>
      <c r="D45" s="277" t="s">
        <v>935</v>
      </c>
      <c r="E45" s="277" t="str">
        <f>IF(VLOOKUP(D45,'EMBOP-CI_ITA'!$D$4:$D$250,1,FALSE)=D45,"YES","NO")</f>
        <v>YES</v>
      </c>
      <c r="F45" s="278" t="s">
        <v>141</v>
      </c>
      <c r="G45" s="279">
        <v>0</v>
      </c>
      <c r="H45" s="280"/>
      <c r="I45" s="281">
        <f t="shared" si="4"/>
        <v>0</v>
      </c>
      <c r="J45" s="282" t="s">
        <v>871</v>
      </c>
      <c r="K45" s="283" t="s">
        <v>872</v>
      </c>
      <c r="L45" s="283" t="s">
        <v>873</v>
      </c>
      <c r="M45" s="283"/>
    </row>
    <row r="46" spans="1:13" ht="12.75" x14ac:dyDescent="0.25">
      <c r="A46" s="276" t="e">
        <f>+CONCATENATE($A$33,".",TEXT(ROW(#REF!)-ROW($A$1),0))</f>
        <v>#REF!</v>
      </c>
      <c r="B46" s="1618"/>
      <c r="C46" s="575" t="s">
        <v>936</v>
      </c>
      <c r="D46" s="277" t="s">
        <v>937</v>
      </c>
      <c r="E46" s="277" t="str">
        <f>IF(VLOOKUP(D46,'EMBOP-CI_ITA'!$D$4:$D$250,1,FALSE)=D46,"YES","NO")</f>
        <v>YES</v>
      </c>
      <c r="F46" s="278" t="s">
        <v>141</v>
      </c>
      <c r="G46" s="279">
        <v>0</v>
      </c>
      <c r="H46" s="280"/>
      <c r="I46" s="281">
        <f t="shared" si="4"/>
        <v>0</v>
      </c>
      <c r="J46" s="282" t="s">
        <v>871</v>
      </c>
      <c r="K46" s="283" t="s">
        <v>872</v>
      </c>
      <c r="L46" s="283" t="s">
        <v>873</v>
      </c>
      <c r="M46" s="283"/>
    </row>
    <row r="47" spans="1:13" ht="12.75" x14ac:dyDescent="0.25">
      <c r="A47" s="276" t="e">
        <f>+CONCATENATE($A$33,".",TEXT(ROW(#REF!)-ROW($A$1),0))</f>
        <v>#REF!</v>
      </c>
      <c r="B47" s="1618"/>
      <c r="C47" s="575" t="s">
        <v>938</v>
      </c>
      <c r="D47" s="277" t="s">
        <v>939</v>
      </c>
      <c r="E47" s="277" t="str">
        <f>IF(VLOOKUP(D47,'EMBOP-CI_ITA'!$D$4:$D$250,1,FALSE)=D47,"YES","NO")</f>
        <v>YES</v>
      </c>
      <c r="F47" s="278" t="s">
        <v>141</v>
      </c>
      <c r="G47" s="279">
        <v>0</v>
      </c>
      <c r="H47" s="280"/>
      <c r="I47" s="281">
        <f t="shared" si="4"/>
        <v>0</v>
      </c>
      <c r="J47" s="282" t="s">
        <v>871</v>
      </c>
      <c r="K47" s="283" t="s">
        <v>872</v>
      </c>
      <c r="L47" s="283" t="s">
        <v>873</v>
      </c>
      <c r="M47" s="283"/>
    </row>
    <row r="48" spans="1:13" ht="12.75" x14ac:dyDescent="0.25">
      <c r="A48" s="276" t="e">
        <f>+CONCATENATE($A$33,".",TEXT(ROW(#REF!)-ROW($A$1),0))</f>
        <v>#REF!</v>
      </c>
      <c r="B48" s="1618"/>
      <c r="C48" s="575" t="s">
        <v>940</v>
      </c>
      <c r="D48" s="277" t="s">
        <v>941</v>
      </c>
      <c r="E48" s="277" t="str">
        <f>IF(VLOOKUP(D48,'EMBOP-CI_ITA'!$D$4:$D$250,1,FALSE)=D48,"YES","NO")</f>
        <v>YES</v>
      </c>
      <c r="F48" s="278" t="s">
        <v>141</v>
      </c>
      <c r="G48" s="279">
        <v>0</v>
      </c>
      <c r="H48" s="280"/>
      <c r="I48" s="281">
        <f t="shared" si="4"/>
        <v>0</v>
      </c>
      <c r="J48" s="282" t="s">
        <v>871</v>
      </c>
      <c r="K48" s="283" t="s">
        <v>872</v>
      </c>
      <c r="L48" s="283" t="s">
        <v>873</v>
      </c>
      <c r="M48" s="283"/>
    </row>
    <row r="49" spans="1:13" ht="12.75" x14ac:dyDescent="0.25">
      <c r="A49" s="276"/>
      <c r="B49" s="1618"/>
      <c r="C49" s="575" t="s">
        <v>942</v>
      </c>
      <c r="D49" s="277" t="s">
        <v>943</v>
      </c>
      <c r="E49" s="277" t="str">
        <f>IF(VLOOKUP(D49,'EMBOP-CI_ITA'!$D$4:$D$250,1,FALSE)=D49,"YES","NO")</f>
        <v>YES</v>
      </c>
      <c r="F49" s="278" t="s">
        <v>141</v>
      </c>
      <c r="G49" s="279">
        <v>0</v>
      </c>
      <c r="H49" s="280"/>
      <c r="I49" s="281">
        <f t="shared" si="4"/>
        <v>0</v>
      </c>
      <c r="J49" s="282" t="s">
        <v>871</v>
      </c>
      <c r="K49" s="283" t="s">
        <v>872</v>
      </c>
      <c r="L49" s="283" t="s">
        <v>873</v>
      </c>
      <c r="M49" s="283"/>
    </row>
    <row r="50" spans="1:13" ht="12.75" x14ac:dyDescent="0.25">
      <c r="A50" s="276" t="str">
        <f>+CONCATENATE($A$33,".",TEXT(ROW(A20)-ROW($A$1),0))</f>
        <v>ESC1.3.19</v>
      </c>
      <c r="B50" s="1619"/>
      <c r="C50" s="575" t="s">
        <v>944</v>
      </c>
      <c r="D50" s="277" t="s">
        <v>945</v>
      </c>
      <c r="E50" s="277" t="str">
        <f>IF(VLOOKUP(D50,'EMBOP-CI_ITA'!$D$4:$D$250,1,FALSE)=D50,"YES","NO")</f>
        <v>YES</v>
      </c>
      <c r="F50" s="278" t="s">
        <v>141</v>
      </c>
      <c r="G50" s="279">
        <v>0</v>
      </c>
      <c r="H50" s="280"/>
      <c r="I50" s="281">
        <f t="shared" si="4"/>
        <v>0</v>
      </c>
      <c r="J50" s="282" t="s">
        <v>871</v>
      </c>
      <c r="K50" s="283" t="s">
        <v>872</v>
      </c>
      <c r="L50" s="283" t="s">
        <v>873</v>
      </c>
      <c r="M50" s="283"/>
    </row>
    <row r="51" spans="1:13" ht="33.75" customHeight="1" x14ac:dyDescent="0.25">
      <c r="A51" s="276" t="str">
        <f>+CONCATENATE($A$33,".",TEXT(ROW(A21)-ROW($A$1),0))</f>
        <v>ESC1.3.20</v>
      </c>
      <c r="B51" s="1617" t="s">
        <v>946</v>
      </c>
      <c r="C51" s="575" t="s">
        <v>947</v>
      </c>
      <c r="D51" s="277" t="s">
        <v>948</v>
      </c>
      <c r="E51" s="277" t="str">
        <f>IF(VLOOKUP(D51,'EMBOP-CI_ITA'!$D$4:$D$250,1,FALSE)=D51,"YES","NO")</f>
        <v>YES</v>
      </c>
      <c r="F51" s="278" t="s">
        <v>464</v>
      </c>
      <c r="G51" s="279">
        <v>0</v>
      </c>
      <c r="H51" s="280"/>
      <c r="I51" s="281">
        <f t="shared" si="4"/>
        <v>0</v>
      </c>
      <c r="J51" s="282" t="s">
        <v>871</v>
      </c>
      <c r="K51" s="283" t="s">
        <v>872</v>
      </c>
      <c r="L51" s="283" t="s">
        <v>873</v>
      </c>
      <c r="M51" s="283"/>
    </row>
    <row r="52" spans="1:13" ht="27.75" customHeight="1" x14ac:dyDescent="0.25">
      <c r="A52" s="276" t="str">
        <f>+CONCATENATE($A$33,".",TEXT(ROW(A22)-ROW($A$1),0))</f>
        <v>ESC1.3.21</v>
      </c>
      <c r="B52" s="1619"/>
      <c r="C52" s="575" t="s">
        <v>949</v>
      </c>
      <c r="D52" s="277" t="s">
        <v>950</v>
      </c>
      <c r="E52" s="277" t="str">
        <f>IF(VLOOKUP(D52,'EMBOP-CI_ITA'!$D$4:$D$250,1,FALSE)=D52,"YES","NO")</f>
        <v>YES</v>
      </c>
      <c r="F52" s="278" t="s">
        <v>464</v>
      </c>
      <c r="G52" s="279">
        <v>0</v>
      </c>
      <c r="H52" s="280"/>
      <c r="I52" s="281">
        <f t="shared" si="4"/>
        <v>0</v>
      </c>
      <c r="J52" s="282" t="s">
        <v>871</v>
      </c>
      <c r="K52" s="283" t="s">
        <v>872</v>
      </c>
      <c r="L52" s="283" t="s">
        <v>873</v>
      </c>
      <c r="M52" s="283"/>
    </row>
    <row r="53" spans="1:13" s="614" customFormat="1" ht="14.65" customHeight="1" x14ac:dyDescent="0.25">
      <c r="A53" s="537"/>
      <c r="B53" s="1617" t="s">
        <v>951</v>
      </c>
      <c r="C53" s="605" t="s">
        <v>952</v>
      </c>
      <c r="D53" s="554" t="s">
        <v>953</v>
      </c>
      <c r="E53" s="554" t="str">
        <f>IF(VLOOKUP(D53,'EMBOP-CI_ITA'!$D$4:$D$250,1,FALSE)=D53,"YES","NO")</f>
        <v>YES</v>
      </c>
      <c r="F53" s="278" t="s">
        <v>141</v>
      </c>
      <c r="G53" s="279">
        <v>0</v>
      </c>
      <c r="H53" s="280"/>
      <c r="I53" s="281">
        <f t="shared" si="4"/>
        <v>0</v>
      </c>
      <c r="J53" s="282" t="s">
        <v>871</v>
      </c>
      <c r="K53" s="283" t="s">
        <v>883</v>
      </c>
      <c r="L53" s="283" t="s">
        <v>873</v>
      </c>
      <c r="M53" s="615"/>
    </row>
    <row r="54" spans="1:13" s="614" customFormat="1" ht="12.75" x14ac:dyDescent="0.25">
      <c r="A54" s="537"/>
      <c r="B54" s="1620"/>
      <c r="C54" s="605" t="s">
        <v>954</v>
      </c>
      <c r="D54" s="554" t="s">
        <v>955</v>
      </c>
      <c r="E54" s="554" t="str">
        <f>IF(VLOOKUP(D54,'EMBOP-CI_ITA'!$D$4:$D$250,1,FALSE)=D54,"YES","NO")</f>
        <v>YES</v>
      </c>
      <c r="F54" s="278" t="s">
        <v>141</v>
      </c>
      <c r="G54" s="279">
        <v>0</v>
      </c>
      <c r="H54" s="280"/>
      <c r="I54" s="281">
        <f t="shared" si="4"/>
        <v>0</v>
      </c>
      <c r="J54" s="282" t="s">
        <v>871</v>
      </c>
      <c r="K54" s="283" t="s">
        <v>883</v>
      </c>
      <c r="L54" s="283" t="s">
        <v>873</v>
      </c>
      <c r="M54" s="615"/>
    </row>
    <row r="55" spans="1:13" s="614" customFormat="1" ht="12.75" x14ac:dyDescent="0.25">
      <c r="A55" s="537"/>
      <c r="B55" s="1620"/>
      <c r="C55" s="605" t="s">
        <v>956</v>
      </c>
      <c r="D55" s="554" t="s">
        <v>957</v>
      </c>
      <c r="E55" s="554" t="str">
        <f>IF(VLOOKUP(D55,'EMBOP-CI_ITA'!$D$4:$D$250,1,FALSE)=D55,"YES","NO")</f>
        <v>YES</v>
      </c>
      <c r="F55" s="278" t="s">
        <v>141</v>
      </c>
      <c r="G55" s="279">
        <v>0</v>
      </c>
      <c r="H55" s="280"/>
      <c r="I55" s="281">
        <f t="shared" si="4"/>
        <v>0</v>
      </c>
      <c r="J55" s="282" t="s">
        <v>871</v>
      </c>
      <c r="K55" s="283" t="s">
        <v>883</v>
      </c>
      <c r="L55" s="283" t="s">
        <v>873</v>
      </c>
      <c r="M55" s="615"/>
    </row>
    <row r="56" spans="1:13" s="614" customFormat="1" ht="12.75" x14ac:dyDescent="0.25">
      <c r="A56" s="537"/>
      <c r="B56" s="1620"/>
      <c r="C56" s="605" t="s">
        <v>958</v>
      </c>
      <c r="D56" s="554" t="s">
        <v>959</v>
      </c>
      <c r="E56" s="554" t="str">
        <f>IF(VLOOKUP(D56,'EMBOP-CI_ITA'!$D$4:$D$250,1,FALSE)=D56,"YES","NO")</f>
        <v>YES</v>
      </c>
      <c r="F56" s="278" t="s">
        <v>141</v>
      </c>
      <c r="G56" s="279">
        <v>0</v>
      </c>
      <c r="H56" s="280"/>
      <c r="I56" s="281">
        <f t="shared" si="4"/>
        <v>0</v>
      </c>
      <c r="J56" s="282" t="s">
        <v>871</v>
      </c>
      <c r="K56" s="283" t="s">
        <v>883</v>
      </c>
      <c r="L56" s="283" t="s">
        <v>873</v>
      </c>
      <c r="M56" s="615"/>
    </row>
    <row r="57" spans="1:13" s="614" customFormat="1" ht="12.75" x14ac:dyDescent="0.25">
      <c r="A57" s="537"/>
      <c r="B57" s="1620"/>
      <c r="C57" s="605" t="s">
        <v>960</v>
      </c>
      <c r="D57" s="554" t="s">
        <v>961</v>
      </c>
      <c r="E57" s="554" t="str">
        <f>IF(VLOOKUP(D57,'EMBOP-CI_ITA'!$D$4:$D$250,1,FALSE)=D57,"YES","NO")</f>
        <v>YES</v>
      </c>
      <c r="F57" s="278" t="s">
        <v>141</v>
      </c>
      <c r="G57" s="279">
        <v>0</v>
      </c>
      <c r="H57" s="280"/>
      <c r="I57" s="281">
        <f t="shared" si="4"/>
        <v>0</v>
      </c>
      <c r="J57" s="282" t="s">
        <v>871</v>
      </c>
      <c r="K57" s="283" t="s">
        <v>883</v>
      </c>
      <c r="L57" s="283" t="s">
        <v>873</v>
      </c>
      <c r="M57" s="615"/>
    </row>
    <row r="58" spans="1:13" s="614" customFormat="1" ht="12.75" x14ac:dyDescent="0.25">
      <c r="A58" s="537"/>
      <c r="B58" s="1620"/>
      <c r="C58" s="605" t="s">
        <v>962</v>
      </c>
      <c r="D58" s="554" t="s">
        <v>963</v>
      </c>
      <c r="E58" s="554" t="str">
        <f>IF(VLOOKUP(D58,'EMBOP-CI_ITA'!$D$4:$D$250,1,FALSE)=D58,"YES","NO")</f>
        <v>YES</v>
      </c>
      <c r="F58" s="278" t="s">
        <v>141</v>
      </c>
      <c r="G58" s="279">
        <v>0</v>
      </c>
      <c r="H58" s="280"/>
      <c r="I58" s="281">
        <f t="shared" si="4"/>
        <v>0</v>
      </c>
      <c r="J58" s="282" t="s">
        <v>871</v>
      </c>
      <c r="K58" s="283" t="s">
        <v>883</v>
      </c>
      <c r="L58" s="283" t="s">
        <v>873</v>
      </c>
      <c r="M58" s="615"/>
    </row>
    <row r="59" spans="1:13" s="614" customFormat="1" ht="12.75" x14ac:dyDescent="0.25">
      <c r="A59" s="537"/>
      <c r="B59" s="1620"/>
      <c r="C59" s="605" t="s">
        <v>964</v>
      </c>
      <c r="D59" s="554" t="s">
        <v>965</v>
      </c>
      <c r="E59" s="554" t="str">
        <f>IF(VLOOKUP(D59,'EMBOP-CI_ITA'!$D$4:$D$250,1,FALSE)=D59,"YES","NO")</f>
        <v>YES</v>
      </c>
      <c r="F59" s="278" t="s">
        <v>141</v>
      </c>
      <c r="G59" s="279">
        <v>0</v>
      </c>
      <c r="H59" s="280"/>
      <c r="I59" s="281">
        <f t="shared" si="4"/>
        <v>0</v>
      </c>
      <c r="J59" s="282" t="s">
        <v>871</v>
      </c>
      <c r="K59" s="283" t="s">
        <v>883</v>
      </c>
      <c r="L59" s="283" t="s">
        <v>873</v>
      </c>
      <c r="M59" s="615"/>
    </row>
    <row r="60" spans="1:13" s="614" customFormat="1" ht="12.75" x14ac:dyDescent="0.25">
      <c r="A60" s="537"/>
      <c r="B60" s="1620"/>
      <c r="C60" s="605" t="s">
        <v>966</v>
      </c>
      <c r="D60" s="554" t="s">
        <v>967</v>
      </c>
      <c r="E60" s="554" t="str">
        <f>IF(VLOOKUP(D60,'EMBOP-CI_ITA'!$D$4:$D$250,1,FALSE)=D60,"YES","NO")</f>
        <v>YES</v>
      </c>
      <c r="F60" s="278" t="s">
        <v>141</v>
      </c>
      <c r="G60" s="279">
        <v>0</v>
      </c>
      <c r="H60" s="280"/>
      <c r="I60" s="281">
        <f t="shared" si="4"/>
        <v>0</v>
      </c>
      <c r="J60" s="282" t="s">
        <v>871</v>
      </c>
      <c r="K60" s="283" t="s">
        <v>883</v>
      </c>
      <c r="L60" s="283" t="s">
        <v>873</v>
      </c>
      <c r="M60" s="615"/>
    </row>
    <row r="61" spans="1:13" s="614" customFormat="1" ht="12.75" x14ac:dyDescent="0.25">
      <c r="A61" s="537"/>
      <c r="B61" s="1620"/>
      <c r="C61" s="605" t="s">
        <v>968</v>
      </c>
      <c r="D61" s="277" t="s">
        <v>969</v>
      </c>
      <c r="E61" s="277" t="str">
        <f>IF(VLOOKUP(D61,'EMBOP-CI_ITA'!$D$4:$D$250,1,FALSE)=D61,"YES","NO")</f>
        <v>YES</v>
      </c>
      <c r="F61" s="278" t="s">
        <v>141</v>
      </c>
      <c r="G61" s="279">
        <v>0</v>
      </c>
      <c r="H61" s="280"/>
      <c r="I61" s="281">
        <f t="shared" si="4"/>
        <v>0</v>
      </c>
      <c r="J61" s="282" t="s">
        <v>871</v>
      </c>
      <c r="K61" s="283" t="s">
        <v>883</v>
      </c>
      <c r="L61" s="283" t="s">
        <v>873</v>
      </c>
      <c r="M61" s="615"/>
    </row>
    <row r="62" spans="1:13" s="614" customFormat="1" ht="12.75" x14ac:dyDescent="0.25">
      <c r="A62" s="537"/>
      <c r="B62" s="1621"/>
      <c r="C62" s="605" t="s">
        <v>970</v>
      </c>
      <c r="D62" s="554" t="s">
        <v>971</v>
      </c>
      <c r="E62" s="554" t="str">
        <f>IF(VLOOKUP(D62,'EMBOP-CI_ITA'!$D$4:$D$250,1,FALSE)=D62,"YES","NO")</f>
        <v>YES</v>
      </c>
      <c r="F62" s="278" t="s">
        <v>141</v>
      </c>
      <c r="G62" s="279">
        <v>0</v>
      </c>
      <c r="H62" s="280"/>
      <c r="I62" s="281">
        <f t="shared" si="4"/>
        <v>0</v>
      </c>
      <c r="J62" s="282" t="s">
        <v>871</v>
      </c>
      <c r="K62" s="283" t="s">
        <v>883</v>
      </c>
      <c r="L62" s="283" t="s">
        <v>873</v>
      </c>
      <c r="M62" s="615"/>
    </row>
    <row r="63" spans="1:13" ht="14.65" customHeight="1" x14ac:dyDescent="0.25">
      <c r="A63" s="276" t="e">
        <f>+CONCATENATE($A$33,".",TEXT(ROW(#REF!)-ROW($A$1),0))</f>
        <v>#REF!</v>
      </c>
      <c r="B63" s="1617" t="s">
        <v>972</v>
      </c>
      <c r="C63" s="605" t="s">
        <v>354</v>
      </c>
      <c r="D63" s="277" t="s">
        <v>355</v>
      </c>
      <c r="E63" s="277" t="str">
        <f>IF(VLOOKUP(D63,'EMBOP-CI_ITA'!$D$4:$D$250,1,FALSE)=D63,"YES","NO")</f>
        <v>YES</v>
      </c>
      <c r="F63" s="278" t="s">
        <v>345</v>
      </c>
      <c r="G63" s="279">
        <v>0</v>
      </c>
      <c r="H63" s="280"/>
      <c r="I63" s="281">
        <f t="shared" si="4"/>
        <v>0</v>
      </c>
      <c r="J63" s="282" t="s">
        <v>871</v>
      </c>
      <c r="K63" s="283" t="s">
        <v>883</v>
      </c>
      <c r="L63" s="283" t="s">
        <v>873</v>
      </c>
      <c r="M63" s="283"/>
    </row>
    <row r="64" spans="1:13" ht="12.75" x14ac:dyDescent="0.25">
      <c r="A64" s="276" t="e">
        <f>+CONCATENATE($A$33,".",TEXT(ROW(#REF!)-ROW($A$1),0))</f>
        <v>#REF!</v>
      </c>
      <c r="B64" s="1620"/>
      <c r="C64" s="605" t="s">
        <v>358</v>
      </c>
      <c r="D64" s="277" t="s">
        <v>359</v>
      </c>
      <c r="E64" s="277" t="str">
        <f>IF(VLOOKUP(D64,'EMBOP-CI_ITA'!$D$4:$D$250,1,FALSE)=D64,"YES","NO")</f>
        <v>YES</v>
      </c>
      <c r="F64" s="278" t="s">
        <v>345</v>
      </c>
      <c r="G64" s="279">
        <v>0</v>
      </c>
      <c r="H64" s="280"/>
      <c r="I64" s="281">
        <f t="shared" si="4"/>
        <v>0</v>
      </c>
      <c r="J64" s="282" t="s">
        <v>871</v>
      </c>
      <c r="K64" s="283" t="s">
        <v>883</v>
      </c>
      <c r="L64" s="283" t="s">
        <v>873</v>
      </c>
      <c r="M64" s="283"/>
    </row>
    <row r="65" spans="1:13" ht="12.75" x14ac:dyDescent="0.25">
      <c r="A65" s="276" t="e">
        <f>+CONCATENATE($A$33,".",TEXT(ROW(#REF!)-ROW($A$1),0))</f>
        <v>#REF!</v>
      </c>
      <c r="B65" s="1620"/>
      <c r="C65" s="605" t="s">
        <v>362</v>
      </c>
      <c r="D65" s="277" t="s">
        <v>363</v>
      </c>
      <c r="E65" s="277" t="str">
        <f>IF(VLOOKUP(D65,'EMBOP-CI_ITA'!$D$4:$D$250,1,FALSE)=D65,"YES","NO")</f>
        <v>YES</v>
      </c>
      <c r="F65" s="278" t="s">
        <v>345</v>
      </c>
      <c r="G65" s="279">
        <v>0</v>
      </c>
      <c r="H65" s="280"/>
      <c r="I65" s="281">
        <f t="shared" si="4"/>
        <v>0</v>
      </c>
      <c r="J65" s="282" t="s">
        <v>871</v>
      </c>
      <c r="K65" s="283" t="s">
        <v>883</v>
      </c>
      <c r="L65" s="283" t="s">
        <v>873</v>
      </c>
      <c r="M65" s="283"/>
    </row>
    <row r="66" spans="1:13" ht="12.75" x14ac:dyDescent="0.25">
      <c r="A66" s="276" t="str">
        <f>+CONCATENATE($A$33,".",TEXT(ROW(A29)-ROW($A$1),0))</f>
        <v>ESC1.3.28</v>
      </c>
      <c r="B66" s="1620"/>
      <c r="C66" s="605" t="s">
        <v>366</v>
      </c>
      <c r="D66" s="277" t="s">
        <v>367</v>
      </c>
      <c r="E66" s="277" t="str">
        <f>IF(VLOOKUP(D66,'EMBOP-CI_ITA'!$D$4:$D$250,1,FALSE)=D66,"YES","NO")</f>
        <v>YES</v>
      </c>
      <c r="F66" s="278" t="s">
        <v>345</v>
      </c>
      <c r="G66" s="279">
        <v>0</v>
      </c>
      <c r="H66" s="280"/>
      <c r="I66" s="281">
        <f t="shared" si="4"/>
        <v>0</v>
      </c>
      <c r="J66" s="282" t="s">
        <v>871</v>
      </c>
      <c r="K66" s="283" t="s">
        <v>883</v>
      </c>
      <c r="L66" s="283" t="s">
        <v>873</v>
      </c>
      <c r="M66" s="283"/>
    </row>
    <row r="67" spans="1:13" ht="12.75" x14ac:dyDescent="0.25">
      <c r="A67" s="276" t="str">
        <f>+CONCATENATE($A$33,".",TEXT(ROW(A30)-ROW($A$1),0))</f>
        <v>ESC1.3.29</v>
      </c>
      <c r="B67" s="1620"/>
      <c r="C67" s="605" t="s">
        <v>370</v>
      </c>
      <c r="D67" s="277" t="s">
        <v>371</v>
      </c>
      <c r="E67" s="277" t="str">
        <f>IF(VLOOKUP(D67,'EMBOP-CI_ITA'!$D$4:$D$250,1,FALSE)=D67,"YES","NO")</f>
        <v>YES</v>
      </c>
      <c r="F67" s="278" t="s">
        <v>345</v>
      </c>
      <c r="G67" s="279">
        <v>0</v>
      </c>
      <c r="H67" s="280"/>
      <c r="I67" s="281">
        <f t="shared" si="4"/>
        <v>0</v>
      </c>
      <c r="J67" s="282" t="s">
        <v>871</v>
      </c>
      <c r="K67" s="283" t="s">
        <v>883</v>
      </c>
      <c r="L67" s="283" t="s">
        <v>873</v>
      </c>
      <c r="M67" s="283"/>
    </row>
    <row r="68" spans="1:13" ht="12.75" x14ac:dyDescent="0.25">
      <c r="A68" s="276" t="str">
        <f>+CONCATENATE($A$33,".",TEXT(ROW(A31)-ROW($A$1),0))</f>
        <v>ESC1.3.30</v>
      </c>
      <c r="B68" s="1620"/>
      <c r="C68" s="605" t="s">
        <v>374</v>
      </c>
      <c r="D68" s="277" t="s">
        <v>375</v>
      </c>
      <c r="E68" s="277" t="str">
        <f>IF(VLOOKUP(D68,'EMBOP-CI_ITA'!$D$4:$D$250,1,FALSE)=D68,"YES","NO")</f>
        <v>YES</v>
      </c>
      <c r="F68" s="278" t="s">
        <v>345</v>
      </c>
      <c r="G68" s="279">
        <v>0</v>
      </c>
      <c r="H68" s="280"/>
      <c r="I68" s="281">
        <f t="shared" si="4"/>
        <v>0</v>
      </c>
      <c r="J68" s="282" t="s">
        <v>871</v>
      </c>
      <c r="K68" s="283" t="s">
        <v>883</v>
      </c>
      <c r="L68" s="283" t="s">
        <v>873</v>
      </c>
      <c r="M68" s="283"/>
    </row>
    <row r="69" spans="1:13" ht="12.75" x14ac:dyDescent="0.25">
      <c r="A69" s="276" t="str">
        <f>+CONCATENATE($A$33,".",TEXT(ROW(A32)-ROW($A$1),0))</f>
        <v>ESC1.3.31</v>
      </c>
      <c r="B69" s="1621"/>
      <c r="C69" s="605" t="s">
        <v>378</v>
      </c>
      <c r="D69" s="277" t="s">
        <v>379</v>
      </c>
      <c r="E69" s="277" t="str">
        <f>IF(VLOOKUP(D69,'EMBOP-CI_ITA'!$D$4:$D$250,1,FALSE)=D69,"YES","NO")</f>
        <v>YES</v>
      </c>
      <c r="F69" s="278" t="s">
        <v>345</v>
      </c>
      <c r="G69" s="279">
        <v>0</v>
      </c>
      <c r="H69" s="280"/>
      <c r="I69" s="281">
        <f t="shared" si="4"/>
        <v>0</v>
      </c>
      <c r="J69" s="282" t="s">
        <v>871</v>
      </c>
      <c r="K69" s="283" t="s">
        <v>883</v>
      </c>
      <c r="L69" s="283" t="s">
        <v>873</v>
      </c>
      <c r="M69" s="283"/>
    </row>
    <row r="70" spans="1:13" s="629" customFormat="1" ht="38.25" x14ac:dyDescent="0.25">
      <c r="A70" s="631" t="str">
        <f>+CONCATENATE($A$33,".",TEXT(ROW(A33)-ROW($A$1),0))</f>
        <v>ESC1.3.32</v>
      </c>
      <c r="B70" s="637" t="s">
        <v>973</v>
      </c>
      <c r="C70" s="684" t="s">
        <v>772</v>
      </c>
      <c r="D70" s="626" t="s">
        <v>773</v>
      </c>
      <c r="E70" s="626" t="str">
        <f>IF(VLOOKUP(D70,'EMBOP-CI_ITA'!$D$4:$D$250,1,FALSE)=D70,"YES","NO")</f>
        <v>YES</v>
      </c>
      <c r="F70" s="625" t="s">
        <v>974</v>
      </c>
      <c r="G70" s="624">
        <v>0</v>
      </c>
      <c r="H70" s="623"/>
      <c r="I70" s="622">
        <f t="shared" si="4"/>
        <v>0</v>
      </c>
      <c r="J70" s="621" t="s">
        <v>871</v>
      </c>
      <c r="K70" s="620" t="s">
        <v>883</v>
      </c>
      <c r="L70" s="620" t="s">
        <v>873</v>
      </c>
      <c r="M70" s="620"/>
    </row>
    <row r="71" spans="1:13" s="275" customFormat="1" ht="25.5" x14ac:dyDescent="0.25">
      <c r="A71" s="553" t="s">
        <v>975</v>
      </c>
      <c r="B71" s="551"/>
      <c r="C71" s="551"/>
      <c r="D71" s="552" t="s">
        <v>976</v>
      </c>
      <c r="E71" s="552" t="str">
        <f>IF(VLOOKUP(D71,'EMBOP-CI_ITA'!$D$4:$D$250,1,FALSE)=D71,"YES","NO")</f>
        <v>YES</v>
      </c>
      <c r="F71" s="551"/>
      <c r="G71" s="567"/>
      <c r="H71" s="565"/>
      <c r="I71" s="565"/>
      <c r="J71" s="549"/>
      <c r="K71" s="548"/>
      <c r="L71" s="548"/>
      <c r="M71" s="548"/>
    </row>
    <row r="72" spans="1:13" ht="38.25" x14ac:dyDescent="0.25">
      <c r="A72" s="276" t="str">
        <f>+CONCATENATE($A$71,".",TEXT(ROW(A2)-ROW($A$1),0))</f>
        <v>ESC1.4.1</v>
      </c>
      <c r="B72" s="608" t="s">
        <v>977</v>
      </c>
      <c r="C72" s="609" t="s">
        <v>978</v>
      </c>
      <c r="D72" s="277" t="s">
        <v>979</v>
      </c>
      <c r="E72" s="554" t="str">
        <f>IF(VLOOKUP(D72,'EMBOP-CI_ITA'!$D$4:$D$250,1,FALSE)=D72,"YES","NO")</f>
        <v>YES</v>
      </c>
      <c r="F72" s="562" t="s">
        <v>464</v>
      </c>
      <c r="G72" s="613">
        <v>0</v>
      </c>
      <c r="H72" s="612"/>
      <c r="I72" s="611">
        <f>+G72*H72</f>
        <v>0</v>
      </c>
      <c r="J72" s="560" t="s">
        <v>871</v>
      </c>
      <c r="K72" s="559" t="s">
        <v>872</v>
      </c>
      <c r="L72" s="559" t="s">
        <v>873</v>
      </c>
      <c r="M72" s="283"/>
    </row>
    <row r="73" spans="1:13" ht="51" x14ac:dyDescent="0.25">
      <c r="A73" s="276" t="str">
        <f>+CONCATENATE($A$71,".",TEXT(ROW(A3)-ROW($A$1),0))</f>
        <v>ESC1.4.2</v>
      </c>
      <c r="B73" s="610" t="s">
        <v>980</v>
      </c>
      <c r="C73" s="609" t="s">
        <v>469</v>
      </c>
      <c r="D73" s="277" t="s">
        <v>981</v>
      </c>
      <c r="E73" s="277" t="str">
        <f>IF(VLOOKUP(D73,'EMBOP-CI_ITA'!$D$4:$D$250,1,FALSE)=D73,"YES","NO")</f>
        <v>YES</v>
      </c>
      <c r="F73" s="278" t="s">
        <v>464</v>
      </c>
      <c r="G73" s="279">
        <v>0</v>
      </c>
      <c r="H73" s="280"/>
      <c r="I73" s="281">
        <f>+G73*H73</f>
        <v>0</v>
      </c>
      <c r="J73" s="282" t="s">
        <v>871</v>
      </c>
      <c r="K73" s="283" t="s">
        <v>872</v>
      </c>
      <c r="L73" s="283" t="s">
        <v>873</v>
      </c>
      <c r="M73" s="283"/>
    </row>
    <row r="74" spans="1:13" ht="63.75" x14ac:dyDescent="0.25">
      <c r="A74" s="276" t="str">
        <f>+CONCATENATE($A$71,".",TEXT(ROW(A4)-ROW($A$1),0))</f>
        <v>ESC1.4.3</v>
      </c>
      <c r="B74" s="608" t="s">
        <v>982</v>
      </c>
      <c r="C74" s="607" t="s">
        <v>983</v>
      </c>
      <c r="D74" s="277" t="s">
        <v>984</v>
      </c>
      <c r="E74" s="277" t="str">
        <f>IF(VLOOKUP(D74,'EMBOP-CI_ITA'!$D$4:$D$250,1,FALSE)=D74,"YES","NO")</f>
        <v>YES</v>
      </c>
      <c r="F74" s="278" t="s">
        <v>464</v>
      </c>
      <c r="G74" s="279">
        <v>0</v>
      </c>
      <c r="H74" s="280"/>
      <c r="I74" s="281">
        <f>+G74*H74</f>
        <v>0</v>
      </c>
      <c r="J74" s="282" t="s">
        <v>871</v>
      </c>
      <c r="K74" s="283" t="s">
        <v>883</v>
      </c>
      <c r="L74" s="283" t="s">
        <v>873</v>
      </c>
      <c r="M74" s="283"/>
    </row>
    <row r="75" spans="1:13" ht="63.75" x14ac:dyDescent="0.25">
      <c r="A75" s="276" t="str">
        <f>+CONCATENATE($A$71,".",TEXT(ROW(A5)-ROW($A$1),0))</f>
        <v>ESC1.4.4</v>
      </c>
      <c r="B75" s="577" t="s">
        <v>985</v>
      </c>
      <c r="C75" s="607" t="s">
        <v>986</v>
      </c>
      <c r="D75" s="277" t="s">
        <v>987</v>
      </c>
      <c r="E75" s="277" t="str">
        <f>IF(VLOOKUP(D75,'EMBOP-CI_ITA'!$D$4:$D$250,1,FALSE)=D75,"YES","NO")</f>
        <v>YES</v>
      </c>
      <c r="F75" s="278" t="s">
        <v>464</v>
      </c>
      <c r="G75" s="279">
        <v>0</v>
      </c>
      <c r="H75" s="280"/>
      <c r="I75" s="281">
        <f>+G75*H75</f>
        <v>0</v>
      </c>
      <c r="J75" s="282" t="s">
        <v>871</v>
      </c>
      <c r="K75" s="283" t="s">
        <v>883</v>
      </c>
      <c r="L75" s="283" t="s">
        <v>873</v>
      </c>
      <c r="M75" s="283"/>
    </row>
    <row r="76" spans="1:13" s="629" customFormat="1" ht="38.25" x14ac:dyDescent="0.25">
      <c r="A76" s="631" t="str">
        <f>+CONCATENATE($A$71,".",TEXT(ROW(A6)-ROW($A$1),0))</f>
        <v>ESC1.4.5</v>
      </c>
      <c r="B76" s="637" t="s">
        <v>988</v>
      </c>
      <c r="C76" s="684" t="s">
        <v>788</v>
      </c>
      <c r="D76" s="626" t="s">
        <v>789</v>
      </c>
      <c r="E76" s="626" t="str">
        <f>IF(VLOOKUP(D76,'EMBOP-CI_ITA'!$D$4:$D$250,1,FALSE)=D76,"YES","NO")</f>
        <v>YES</v>
      </c>
      <c r="F76" s="625" t="s">
        <v>464</v>
      </c>
      <c r="G76" s="624">
        <v>0</v>
      </c>
      <c r="H76" s="623"/>
      <c r="I76" s="622">
        <f>+G76*H76</f>
        <v>0</v>
      </c>
      <c r="J76" s="621" t="s">
        <v>871</v>
      </c>
      <c r="K76" s="620" t="s">
        <v>883</v>
      </c>
      <c r="L76" s="620" t="s">
        <v>873</v>
      </c>
      <c r="M76" s="620"/>
    </row>
    <row r="77" spans="1:13" s="275" customFormat="1" ht="12.75" x14ac:dyDescent="0.25">
      <c r="A77" s="553" t="s">
        <v>989</v>
      </c>
      <c r="B77" s="551"/>
      <c r="C77" s="551"/>
      <c r="D77" s="552" t="s">
        <v>990</v>
      </c>
      <c r="E77" s="552" t="str">
        <f>IF(VLOOKUP(D77,'EMBOP-CI_ITA'!$D$4:$D$250,1,FALSE)=D77,"YES","NO")</f>
        <v>YES</v>
      </c>
      <c r="F77" s="551"/>
      <c r="G77" s="567"/>
      <c r="H77" s="565"/>
      <c r="I77" s="565"/>
      <c r="J77" s="549"/>
      <c r="K77" s="548"/>
      <c r="L77" s="548"/>
      <c r="M77" s="548"/>
    </row>
    <row r="78" spans="1:13" ht="12.75" x14ac:dyDescent="0.25">
      <c r="A78" s="276"/>
      <c r="B78" s="1617" t="s">
        <v>991</v>
      </c>
      <c r="C78" s="575" t="s">
        <v>992</v>
      </c>
      <c r="D78" s="277" t="s">
        <v>993</v>
      </c>
      <c r="E78" s="277" t="str">
        <f>IF(VLOOKUP(D78,'EMBOP-CI_ITA'!$D$4:$D$250,1,FALSE)=D78,"YES","NO")</f>
        <v>YES</v>
      </c>
      <c r="F78" s="278" t="s">
        <v>464</v>
      </c>
      <c r="G78" s="279">
        <v>0</v>
      </c>
      <c r="H78" s="280"/>
      <c r="I78" s="281">
        <f t="shared" ref="I78:I114" si="5">+G78*H78</f>
        <v>0</v>
      </c>
      <c r="J78" s="282" t="s">
        <v>871</v>
      </c>
      <c r="K78" s="283" t="s">
        <v>872</v>
      </c>
      <c r="L78" s="283" t="s">
        <v>873</v>
      </c>
      <c r="M78" s="283"/>
    </row>
    <row r="79" spans="1:13" ht="12.75" x14ac:dyDescent="0.25">
      <c r="A79" s="276"/>
      <c r="B79" s="1618"/>
      <c r="C79" s="575" t="s">
        <v>994</v>
      </c>
      <c r="D79" s="277" t="s">
        <v>995</v>
      </c>
      <c r="E79" s="277" t="str">
        <f>IF(VLOOKUP(D79,'EMBOP-CI_ITA'!$D$4:$D$250,1,FALSE)=D79,"YES","NO")</f>
        <v>YES</v>
      </c>
      <c r="F79" s="278" t="s">
        <v>464</v>
      </c>
      <c r="G79" s="279">
        <v>0</v>
      </c>
      <c r="H79" s="280"/>
      <c r="I79" s="281">
        <f t="shared" si="5"/>
        <v>0</v>
      </c>
      <c r="J79" s="282" t="s">
        <v>871</v>
      </c>
      <c r="K79" s="283" t="s">
        <v>872</v>
      </c>
      <c r="L79" s="283" t="s">
        <v>873</v>
      </c>
      <c r="M79" s="283"/>
    </row>
    <row r="80" spans="1:13" ht="12.75" x14ac:dyDescent="0.25">
      <c r="A80" s="276"/>
      <c r="B80" s="1618"/>
      <c r="C80" s="575" t="s">
        <v>996</v>
      </c>
      <c r="D80" s="277" t="s">
        <v>997</v>
      </c>
      <c r="E80" s="277" t="str">
        <f>IF(VLOOKUP(D80,'EMBOP-CI_ITA'!$D$4:$D$250,1,FALSE)=D80,"YES","NO")</f>
        <v>YES</v>
      </c>
      <c r="F80" s="278" t="s">
        <v>464</v>
      </c>
      <c r="G80" s="279">
        <v>0</v>
      </c>
      <c r="H80" s="280"/>
      <c r="I80" s="281">
        <f t="shared" si="5"/>
        <v>0</v>
      </c>
      <c r="J80" s="282" t="s">
        <v>871</v>
      </c>
      <c r="K80" s="283" t="s">
        <v>872</v>
      </c>
      <c r="L80" s="283" t="s">
        <v>873</v>
      </c>
      <c r="M80" s="283"/>
    </row>
    <row r="81" spans="1:13" ht="12.75" x14ac:dyDescent="0.25">
      <c r="A81" s="276"/>
      <c r="B81" s="1619"/>
      <c r="C81" s="575" t="s">
        <v>998</v>
      </c>
      <c r="D81" s="277" t="s">
        <v>999</v>
      </c>
      <c r="E81" s="277" t="str">
        <f>IF(VLOOKUP(D81,'EMBOP-CI_ITA'!$D$4:$D$250,1,FALSE)=D81,"YES","NO")</f>
        <v>YES</v>
      </c>
      <c r="F81" s="278" t="s">
        <v>464</v>
      </c>
      <c r="G81" s="279">
        <v>0</v>
      </c>
      <c r="H81" s="280"/>
      <c r="I81" s="281">
        <f t="shared" si="5"/>
        <v>0</v>
      </c>
      <c r="J81" s="282" t="s">
        <v>871</v>
      </c>
      <c r="K81" s="283" t="s">
        <v>872</v>
      </c>
      <c r="L81" s="283" t="s">
        <v>873</v>
      </c>
      <c r="M81" s="283"/>
    </row>
    <row r="82" spans="1:13" ht="12.75" x14ac:dyDescent="0.25">
      <c r="A82" s="276"/>
      <c r="B82" s="1629" t="s">
        <v>991</v>
      </c>
      <c r="C82" s="575" t="s">
        <v>1000</v>
      </c>
      <c r="D82" s="277" t="s">
        <v>1001</v>
      </c>
      <c r="E82" s="277" t="str">
        <f>IF(VLOOKUP(D82,'EMBOP-CI_ITA'!$D$4:$D$250,1,FALSE)=D82,"YES","NO")</f>
        <v>YES</v>
      </c>
      <c r="F82" s="278" t="s">
        <v>464</v>
      </c>
      <c r="G82" s="279">
        <v>0</v>
      </c>
      <c r="H82" s="280"/>
      <c r="I82" s="281">
        <f t="shared" si="5"/>
        <v>0</v>
      </c>
      <c r="J82" s="282" t="s">
        <v>871</v>
      </c>
      <c r="K82" s="283" t="s">
        <v>872</v>
      </c>
      <c r="L82" s="283" t="s">
        <v>873</v>
      </c>
      <c r="M82" s="283"/>
    </row>
    <row r="83" spans="1:13" ht="12.75" x14ac:dyDescent="0.25">
      <c r="A83" s="276"/>
      <c r="B83" s="1618"/>
      <c r="C83" s="575" t="s">
        <v>1002</v>
      </c>
      <c r="D83" s="277" t="s">
        <v>1003</v>
      </c>
      <c r="E83" s="277" t="str">
        <f>IF(VLOOKUP(D83,'EMBOP-CI_ITA'!$D$4:$D$250,1,FALSE)=D83,"YES","NO")</f>
        <v>YES</v>
      </c>
      <c r="F83" s="278" t="s">
        <v>464</v>
      </c>
      <c r="G83" s="279">
        <v>0</v>
      </c>
      <c r="H83" s="280"/>
      <c r="I83" s="281">
        <f t="shared" si="5"/>
        <v>0</v>
      </c>
      <c r="J83" s="282" t="s">
        <v>871</v>
      </c>
      <c r="K83" s="283" t="s">
        <v>872</v>
      </c>
      <c r="L83" s="283" t="s">
        <v>873</v>
      </c>
      <c r="M83" s="283"/>
    </row>
    <row r="84" spans="1:13" ht="12.75" x14ac:dyDescent="0.25">
      <c r="A84" s="276"/>
      <c r="B84" s="1618"/>
      <c r="C84" s="575" t="s">
        <v>1004</v>
      </c>
      <c r="D84" s="277" t="s">
        <v>1005</v>
      </c>
      <c r="E84" s="277" t="str">
        <f>IF(VLOOKUP(D84,'EMBOP-CI_ITA'!$D$4:$D$250,1,FALSE)=D84,"YES","NO")</f>
        <v>YES</v>
      </c>
      <c r="F84" s="278" t="s">
        <v>464</v>
      </c>
      <c r="G84" s="279">
        <v>0</v>
      </c>
      <c r="H84" s="280"/>
      <c r="I84" s="281">
        <f t="shared" si="5"/>
        <v>0</v>
      </c>
      <c r="J84" s="282" t="s">
        <v>871</v>
      </c>
      <c r="K84" s="283" t="s">
        <v>872</v>
      </c>
      <c r="L84" s="283" t="s">
        <v>873</v>
      </c>
      <c r="M84" s="283"/>
    </row>
    <row r="85" spans="1:13" ht="12.75" x14ac:dyDescent="0.25">
      <c r="A85" s="276"/>
      <c r="B85" s="1618"/>
      <c r="C85" s="575" t="s">
        <v>1006</v>
      </c>
      <c r="D85" s="277" t="s">
        <v>1007</v>
      </c>
      <c r="E85" s="277" t="str">
        <f>IF(VLOOKUP(D85,'EMBOP-CI_ITA'!$D$4:$D$250,1,FALSE)=D85,"YES","NO")</f>
        <v>YES</v>
      </c>
      <c r="F85" s="278" t="s">
        <v>464</v>
      </c>
      <c r="G85" s="279">
        <v>0</v>
      </c>
      <c r="H85" s="280"/>
      <c r="I85" s="281">
        <f t="shared" si="5"/>
        <v>0</v>
      </c>
      <c r="J85" s="282" t="s">
        <v>871</v>
      </c>
      <c r="K85" s="283" t="s">
        <v>872</v>
      </c>
      <c r="L85" s="283" t="s">
        <v>873</v>
      </c>
      <c r="M85" s="283"/>
    </row>
    <row r="86" spans="1:13" ht="12.75" x14ac:dyDescent="0.25">
      <c r="A86" s="276"/>
      <c r="B86" s="1618"/>
      <c r="C86" s="575" t="s">
        <v>1008</v>
      </c>
      <c r="D86" s="277" t="s">
        <v>1009</v>
      </c>
      <c r="E86" s="277" t="str">
        <f>IF(VLOOKUP(D86,'EMBOP-CI_ITA'!$D$4:$D$250,1,FALSE)=D86,"YES","NO")</f>
        <v>YES</v>
      </c>
      <c r="F86" s="278" t="s">
        <v>464</v>
      </c>
      <c r="G86" s="279">
        <v>0</v>
      </c>
      <c r="H86" s="280"/>
      <c r="I86" s="281">
        <f t="shared" si="5"/>
        <v>0</v>
      </c>
      <c r="J86" s="282" t="s">
        <v>871</v>
      </c>
      <c r="K86" s="283" t="s">
        <v>872</v>
      </c>
      <c r="L86" s="283" t="s">
        <v>873</v>
      </c>
      <c r="M86" s="283"/>
    </row>
    <row r="87" spans="1:13" ht="12.75" x14ac:dyDescent="0.25">
      <c r="A87" s="276"/>
      <c r="B87" s="1619"/>
      <c r="C87" s="575" t="s">
        <v>1010</v>
      </c>
      <c r="D87" s="277" t="s">
        <v>1011</v>
      </c>
      <c r="E87" s="277" t="str">
        <f>IF(VLOOKUP(D87,'EMBOP-CI_ITA'!$D$4:$D$250,1,FALSE)=D87,"YES","NO")</f>
        <v>YES</v>
      </c>
      <c r="F87" s="278" t="s">
        <v>464</v>
      </c>
      <c r="G87" s="279">
        <v>0</v>
      </c>
      <c r="H87" s="280"/>
      <c r="I87" s="281">
        <f t="shared" si="5"/>
        <v>0</v>
      </c>
      <c r="J87" s="282" t="s">
        <v>871</v>
      </c>
      <c r="K87" s="283" t="s">
        <v>872</v>
      </c>
      <c r="L87" s="283" t="s">
        <v>873</v>
      </c>
      <c r="M87" s="283"/>
    </row>
    <row r="88" spans="1:13" ht="12.75" x14ac:dyDescent="0.25">
      <c r="A88" s="276"/>
      <c r="B88" s="1617" t="s">
        <v>1012</v>
      </c>
      <c r="C88" s="605" t="s">
        <v>1013</v>
      </c>
      <c r="D88" s="277" t="s">
        <v>1014</v>
      </c>
      <c r="E88" s="277" t="str">
        <f>IF(VLOOKUP(D88,'EMBOP-CI_ITA'!$D$4:$D$250,1,FALSE)=D88,"YES","NO")</f>
        <v>YES</v>
      </c>
      <c r="F88" s="278" t="s">
        <v>464</v>
      </c>
      <c r="G88" s="279">
        <v>0</v>
      </c>
      <c r="H88" s="280"/>
      <c r="I88" s="281">
        <f t="shared" si="5"/>
        <v>0</v>
      </c>
      <c r="J88" s="282" t="s">
        <v>871</v>
      </c>
      <c r="K88" s="283" t="s">
        <v>883</v>
      </c>
      <c r="L88" s="283" t="s">
        <v>873</v>
      </c>
      <c r="M88" s="283"/>
    </row>
    <row r="89" spans="1:13" ht="12.75" x14ac:dyDescent="0.25">
      <c r="A89" s="276"/>
      <c r="B89" s="1618"/>
      <c r="C89" s="605" t="s">
        <v>1015</v>
      </c>
      <c r="D89" s="277" t="s">
        <v>1016</v>
      </c>
      <c r="E89" s="277" t="str">
        <f>IF(VLOOKUP(D89,'EMBOP-CI_ITA'!$D$4:$D$250,1,FALSE)=D89,"YES","NO")</f>
        <v>YES</v>
      </c>
      <c r="F89" s="278" t="s">
        <v>464</v>
      </c>
      <c r="G89" s="279">
        <v>0</v>
      </c>
      <c r="H89" s="280"/>
      <c r="I89" s="281">
        <f t="shared" si="5"/>
        <v>0</v>
      </c>
      <c r="J89" s="282" t="s">
        <v>871</v>
      </c>
      <c r="K89" s="283" t="s">
        <v>883</v>
      </c>
      <c r="L89" s="283" t="s">
        <v>873</v>
      </c>
      <c r="M89" s="283"/>
    </row>
    <row r="90" spans="1:13" ht="12.75" x14ac:dyDescent="0.25">
      <c r="A90" s="276"/>
      <c r="B90" s="1618"/>
      <c r="C90" s="605" t="s">
        <v>1017</v>
      </c>
      <c r="D90" s="277" t="s">
        <v>1018</v>
      </c>
      <c r="E90" s="277" t="str">
        <f>IF(VLOOKUP(D90,'EMBOP-CI_ITA'!$D$4:$D$250,1,FALSE)=D90,"YES","NO")</f>
        <v>YES</v>
      </c>
      <c r="F90" s="278" t="s">
        <v>464</v>
      </c>
      <c r="G90" s="279">
        <v>0</v>
      </c>
      <c r="H90" s="280"/>
      <c r="I90" s="281">
        <f t="shared" si="5"/>
        <v>0</v>
      </c>
      <c r="J90" s="282" t="s">
        <v>871</v>
      </c>
      <c r="K90" s="283" t="s">
        <v>883</v>
      </c>
      <c r="L90" s="283" t="s">
        <v>873</v>
      </c>
      <c r="M90" s="283"/>
    </row>
    <row r="91" spans="1:13" ht="12.75" x14ac:dyDescent="0.25">
      <c r="A91" s="276"/>
      <c r="B91" s="1619"/>
      <c r="C91" s="605" t="s">
        <v>1019</v>
      </c>
      <c r="D91" s="277" t="s">
        <v>1020</v>
      </c>
      <c r="E91" s="277" t="str">
        <f>IF(VLOOKUP(D91,'EMBOP-CI_ITA'!$D$4:$D$250,1,FALSE)=D91,"YES","NO")</f>
        <v>YES</v>
      </c>
      <c r="F91" s="278" t="s">
        <v>464</v>
      </c>
      <c r="G91" s="279">
        <v>0</v>
      </c>
      <c r="H91" s="280"/>
      <c r="I91" s="281">
        <f t="shared" si="5"/>
        <v>0</v>
      </c>
      <c r="J91" s="282" t="s">
        <v>871</v>
      </c>
      <c r="K91" s="283" t="s">
        <v>883</v>
      </c>
      <c r="L91" s="283" t="s">
        <v>873</v>
      </c>
      <c r="M91" s="283"/>
    </row>
    <row r="92" spans="1:13" ht="12.75" x14ac:dyDescent="0.25">
      <c r="A92" s="276"/>
      <c r="B92" s="1617" t="s">
        <v>1021</v>
      </c>
      <c r="C92" s="605" t="s">
        <v>1022</v>
      </c>
      <c r="D92" s="277" t="s">
        <v>1023</v>
      </c>
      <c r="E92" s="277" t="str">
        <f>IF(VLOOKUP(D92,'EMBOP-CI_ITA'!$D$4:$D$250,1,FALSE)=D92,"YES","NO")</f>
        <v>YES</v>
      </c>
      <c r="F92" s="278" t="s">
        <v>464</v>
      </c>
      <c r="G92" s="279">
        <v>0</v>
      </c>
      <c r="H92" s="280"/>
      <c r="I92" s="281">
        <f t="shared" si="5"/>
        <v>0</v>
      </c>
      <c r="J92" s="282" t="s">
        <v>871</v>
      </c>
      <c r="K92" s="283" t="s">
        <v>883</v>
      </c>
      <c r="L92" s="283" t="s">
        <v>873</v>
      </c>
      <c r="M92" s="283"/>
    </row>
    <row r="93" spans="1:13" ht="12.75" x14ac:dyDescent="0.25">
      <c r="A93" s="276"/>
      <c r="B93" s="1618"/>
      <c r="C93" s="605" t="s">
        <v>1024</v>
      </c>
      <c r="D93" s="277" t="s">
        <v>1025</v>
      </c>
      <c r="E93" s="277" t="str">
        <f>IF(VLOOKUP(D93,'EMBOP-CI_ITA'!$D$4:$D$250,1,FALSE)=D93,"YES","NO")</f>
        <v>YES</v>
      </c>
      <c r="F93" s="278" t="s">
        <v>464</v>
      </c>
      <c r="G93" s="279">
        <v>0</v>
      </c>
      <c r="H93" s="280"/>
      <c r="I93" s="281">
        <f t="shared" si="5"/>
        <v>0</v>
      </c>
      <c r="J93" s="282" t="s">
        <v>871</v>
      </c>
      <c r="K93" s="283" t="s">
        <v>883</v>
      </c>
      <c r="L93" s="283" t="s">
        <v>873</v>
      </c>
      <c r="M93" s="283"/>
    </row>
    <row r="94" spans="1:13" ht="12.75" x14ac:dyDescent="0.25">
      <c r="A94" s="276"/>
      <c r="B94" s="1618"/>
      <c r="C94" s="605" t="s">
        <v>1026</v>
      </c>
      <c r="D94" s="277" t="s">
        <v>1027</v>
      </c>
      <c r="E94" s="277" t="str">
        <f>IF(VLOOKUP(D94,'EMBOP-CI_ITA'!$D$4:$D$250,1,FALSE)=D94,"YES","NO")</f>
        <v>YES</v>
      </c>
      <c r="F94" s="278" t="s">
        <v>464</v>
      </c>
      <c r="G94" s="279">
        <v>0</v>
      </c>
      <c r="H94" s="280"/>
      <c r="I94" s="281">
        <f t="shared" si="5"/>
        <v>0</v>
      </c>
      <c r="J94" s="282" t="s">
        <v>871</v>
      </c>
      <c r="K94" s="283" t="s">
        <v>883</v>
      </c>
      <c r="L94" s="283" t="s">
        <v>873</v>
      </c>
      <c r="M94" s="283"/>
    </row>
    <row r="95" spans="1:13" ht="12.75" x14ac:dyDescent="0.25">
      <c r="A95" s="276"/>
      <c r="B95" s="1618"/>
      <c r="C95" s="605" t="s">
        <v>1028</v>
      </c>
      <c r="D95" s="277" t="s">
        <v>1029</v>
      </c>
      <c r="E95" s="277" t="str">
        <f>IF(VLOOKUP(D95,'EMBOP-CI_ITA'!$D$4:$D$250,1,FALSE)=D95,"YES","NO")</f>
        <v>YES</v>
      </c>
      <c r="F95" s="278" t="s">
        <v>464</v>
      </c>
      <c r="G95" s="279">
        <v>0</v>
      </c>
      <c r="H95" s="280"/>
      <c r="I95" s="281">
        <f t="shared" si="5"/>
        <v>0</v>
      </c>
      <c r="J95" s="282" t="s">
        <v>871</v>
      </c>
      <c r="K95" s="283" t="s">
        <v>883</v>
      </c>
      <c r="L95" s="283" t="s">
        <v>873</v>
      </c>
      <c r="M95" s="283"/>
    </row>
    <row r="96" spans="1:13" ht="12.75" x14ac:dyDescent="0.25">
      <c r="A96" s="276"/>
      <c r="B96" s="1618"/>
      <c r="C96" s="605" t="s">
        <v>1030</v>
      </c>
      <c r="D96" s="277" t="s">
        <v>1031</v>
      </c>
      <c r="E96" s="277" t="str">
        <f>IF(VLOOKUP(D96,'EMBOP-CI_ITA'!$D$4:$D$250,1,FALSE)=D96,"YES","NO")</f>
        <v>YES</v>
      </c>
      <c r="F96" s="278" t="s">
        <v>464</v>
      </c>
      <c r="G96" s="279">
        <v>0</v>
      </c>
      <c r="H96" s="280"/>
      <c r="I96" s="281">
        <f t="shared" si="5"/>
        <v>0</v>
      </c>
      <c r="J96" s="282" t="s">
        <v>871</v>
      </c>
      <c r="K96" s="283" t="s">
        <v>883</v>
      </c>
      <c r="L96" s="283" t="s">
        <v>873</v>
      </c>
      <c r="M96" s="283"/>
    </row>
    <row r="97" spans="1:13" ht="12.75" x14ac:dyDescent="0.25">
      <c r="A97" s="276"/>
      <c r="B97" s="1619"/>
      <c r="C97" s="605" t="s">
        <v>1032</v>
      </c>
      <c r="D97" s="277" t="s">
        <v>1033</v>
      </c>
      <c r="E97" s="277" t="str">
        <f>IF(VLOOKUP(D97,'EMBOP-CI_ITA'!$D$4:$D$250,1,FALSE)=D97,"YES","NO")</f>
        <v>YES</v>
      </c>
      <c r="F97" s="278" t="s">
        <v>464</v>
      </c>
      <c r="G97" s="279">
        <v>0</v>
      </c>
      <c r="H97" s="280"/>
      <c r="I97" s="281">
        <f t="shared" si="5"/>
        <v>0</v>
      </c>
      <c r="J97" s="282" t="s">
        <v>871</v>
      </c>
      <c r="K97" s="283" t="s">
        <v>883</v>
      </c>
      <c r="L97" s="283" t="s">
        <v>873</v>
      </c>
      <c r="M97" s="283"/>
    </row>
    <row r="98" spans="1:13" ht="41.65" customHeight="1" x14ac:dyDescent="0.25">
      <c r="A98" s="276"/>
      <c r="B98" s="1617" t="s">
        <v>988</v>
      </c>
      <c r="C98" s="605" t="s">
        <v>794</v>
      </c>
      <c r="D98" s="626" t="s">
        <v>795</v>
      </c>
      <c r="E98" s="277" t="str">
        <f>IF(VLOOKUP(D98,'EMBOP-CI_ITA'!$D$4:$D$250,1,FALSE)=D98,"YES","NO")</f>
        <v>YES</v>
      </c>
      <c r="F98" s="278" t="s">
        <v>464</v>
      </c>
      <c r="G98" s="279">
        <v>0</v>
      </c>
      <c r="H98" s="280"/>
      <c r="I98" s="281">
        <f t="shared" si="5"/>
        <v>0</v>
      </c>
      <c r="J98" s="282" t="s">
        <v>871</v>
      </c>
      <c r="K98" s="283" t="s">
        <v>883</v>
      </c>
      <c r="L98" s="283" t="s">
        <v>873</v>
      </c>
      <c r="M98" s="283"/>
    </row>
    <row r="99" spans="1:13" ht="12.75" x14ac:dyDescent="0.25">
      <c r="A99" s="276"/>
      <c r="B99" s="1620"/>
      <c r="C99" s="605" t="s">
        <v>796</v>
      </c>
      <c r="D99" s="626" t="s">
        <v>797</v>
      </c>
      <c r="E99" s="277" t="str">
        <f>IF(VLOOKUP(D99,'EMBOP-CI_ITA'!$D$4:$D$250,1,FALSE)=D99,"YES","NO")</f>
        <v>YES</v>
      </c>
      <c r="F99" s="278" t="s">
        <v>464</v>
      </c>
      <c r="G99" s="279">
        <v>0</v>
      </c>
      <c r="H99" s="280"/>
      <c r="I99" s="281">
        <f t="shared" si="5"/>
        <v>0</v>
      </c>
      <c r="J99" s="282" t="s">
        <v>871</v>
      </c>
      <c r="K99" s="283" t="s">
        <v>883</v>
      </c>
      <c r="L99" s="283" t="s">
        <v>873</v>
      </c>
      <c r="M99" s="283"/>
    </row>
    <row r="100" spans="1:13" ht="12.75" x14ac:dyDescent="0.25">
      <c r="A100" s="276"/>
      <c r="B100" s="1621"/>
      <c r="C100" s="605" t="s">
        <v>798</v>
      </c>
      <c r="D100" s="819" t="s">
        <v>799</v>
      </c>
      <c r="E100" s="606" t="str">
        <f>IF(VLOOKUP(D100,'EMBOP-CI_ITA'!$D$4:$D$250,1,FALSE)=D100,"YES","NO")</f>
        <v>YES</v>
      </c>
      <c r="F100" s="278" t="s">
        <v>464</v>
      </c>
      <c r="G100" s="279">
        <v>0</v>
      </c>
      <c r="H100" s="280"/>
      <c r="I100" s="281">
        <f t="shared" si="5"/>
        <v>0</v>
      </c>
      <c r="J100" s="282" t="s">
        <v>871</v>
      </c>
      <c r="K100" s="283" t="s">
        <v>883</v>
      </c>
      <c r="L100" s="283" t="s">
        <v>873</v>
      </c>
      <c r="M100" s="283"/>
    </row>
    <row r="101" spans="1:13" ht="25.5" x14ac:dyDescent="0.25">
      <c r="A101" s="276" t="str">
        <f>+CONCATENATE($A$77,".",TEXT(ROW(A7)-ROW($A$1),0))</f>
        <v>ESC1.5.6</v>
      </c>
      <c r="B101" s="564" t="s">
        <v>991</v>
      </c>
      <c r="C101" s="575" t="s">
        <v>1034</v>
      </c>
      <c r="D101" s="277" t="s">
        <v>1035</v>
      </c>
      <c r="E101" s="277" t="str">
        <f>IF(VLOOKUP(D101,'EMBOP-CI_ITA'!$D$4:$D$250,1,FALSE)=D101,"YES","NO")</f>
        <v>YES</v>
      </c>
      <c r="F101" s="278" t="s">
        <v>464</v>
      </c>
      <c r="G101" s="279">
        <v>0</v>
      </c>
      <c r="H101" s="280"/>
      <c r="I101" s="281">
        <f t="shared" si="5"/>
        <v>0</v>
      </c>
      <c r="J101" s="282" t="s">
        <v>871</v>
      </c>
      <c r="K101" s="283" t="s">
        <v>872</v>
      </c>
      <c r="L101" s="283" t="s">
        <v>873</v>
      </c>
      <c r="M101" s="283"/>
    </row>
    <row r="102" spans="1:13" ht="25.5" x14ac:dyDescent="0.25">
      <c r="A102" s="276" t="str">
        <f>+CONCATENATE($A$77,".",TEXT(ROW(A8)-ROW($A$1),0))</f>
        <v>ESC1.5.7</v>
      </c>
      <c r="B102" s="564" t="s">
        <v>991</v>
      </c>
      <c r="C102" s="575" t="s">
        <v>1036</v>
      </c>
      <c r="D102" s="277" t="s">
        <v>1037</v>
      </c>
      <c r="E102" s="277" t="str">
        <f>IF(VLOOKUP(D102,'EMBOP-CI_ITA'!$D$4:$D$250,1,FALSE)=D102,"YES","NO")</f>
        <v>YES</v>
      </c>
      <c r="F102" s="278" t="s">
        <v>464</v>
      </c>
      <c r="G102" s="279">
        <v>0</v>
      </c>
      <c r="H102" s="280"/>
      <c r="I102" s="281">
        <f t="shared" si="5"/>
        <v>0</v>
      </c>
      <c r="J102" s="282" t="s">
        <v>871</v>
      </c>
      <c r="K102" s="283" t="s">
        <v>872</v>
      </c>
      <c r="L102" s="283" t="s">
        <v>873</v>
      </c>
      <c r="M102" s="283"/>
    </row>
    <row r="103" spans="1:13" ht="51" x14ac:dyDescent="0.25">
      <c r="A103" s="276" t="str">
        <f>+CONCATENATE($A$77,".",TEXT(ROW(A9)-ROW($A$1),0))</f>
        <v>ESC1.5.8</v>
      </c>
      <c r="B103" s="564" t="s">
        <v>1012</v>
      </c>
      <c r="C103" s="605" t="s">
        <v>1038</v>
      </c>
      <c r="D103" s="277" t="s">
        <v>1039</v>
      </c>
      <c r="E103" s="277" t="str">
        <f>IF(VLOOKUP(D103,'EMBOP-CI_ITA'!$D$4:$D$250,1,FALSE)=D103,"YES","NO")</f>
        <v>YES</v>
      </c>
      <c r="F103" s="278" t="s">
        <v>464</v>
      </c>
      <c r="G103" s="279">
        <v>0</v>
      </c>
      <c r="H103" s="280"/>
      <c r="I103" s="281">
        <f t="shared" si="5"/>
        <v>0</v>
      </c>
      <c r="J103" s="282" t="s">
        <v>871</v>
      </c>
      <c r="K103" s="283" t="s">
        <v>883</v>
      </c>
      <c r="L103" s="283" t="s">
        <v>873</v>
      </c>
      <c r="M103" s="283"/>
    </row>
    <row r="104" spans="1:13" ht="51" x14ac:dyDescent="0.25">
      <c r="A104" s="276" t="str">
        <f>+CONCATENATE($A$77,".",TEXT(ROW(A11)-ROW($A$1),0))</f>
        <v>ESC1.5.10</v>
      </c>
      <c r="B104" s="564" t="s">
        <v>1012</v>
      </c>
      <c r="C104" s="605" t="s">
        <v>1040</v>
      </c>
      <c r="D104" s="277" t="s">
        <v>1041</v>
      </c>
      <c r="E104" s="277" t="str">
        <f>IF(VLOOKUP(D104,'EMBOP-CI_ITA'!$D$4:$D$250,1,FALSE)=D104,"YES","NO")</f>
        <v>YES</v>
      </c>
      <c r="F104" s="278" t="s">
        <v>464</v>
      </c>
      <c r="G104" s="279">
        <v>0</v>
      </c>
      <c r="H104" s="280"/>
      <c r="I104" s="281">
        <f t="shared" si="5"/>
        <v>0</v>
      </c>
      <c r="J104" s="282" t="s">
        <v>871</v>
      </c>
      <c r="K104" s="283" t="s">
        <v>883</v>
      </c>
      <c r="L104" s="283" t="s">
        <v>873</v>
      </c>
      <c r="M104" s="283"/>
    </row>
    <row r="105" spans="1:13" ht="38.25" x14ac:dyDescent="0.25">
      <c r="A105" s="276" t="e">
        <f>+CONCATENATE($A$77,".",TEXT(ROW(#REF!)-ROW($A$1),0))</f>
        <v>#REF!</v>
      </c>
      <c r="B105" s="564" t="s">
        <v>973</v>
      </c>
      <c r="C105" s="605" t="s">
        <v>800</v>
      </c>
      <c r="D105" s="626" t="s">
        <v>801</v>
      </c>
      <c r="E105" s="277" t="str">
        <f>IF(VLOOKUP(D105,'EMBOP-CI_ITA'!$D$4:$D$250,1,FALSE)=D105,"YES","NO")</f>
        <v>YES</v>
      </c>
      <c r="F105" s="278" t="s">
        <v>464</v>
      </c>
      <c r="G105" s="279">
        <v>0</v>
      </c>
      <c r="H105" s="280"/>
      <c r="I105" s="281">
        <f t="shared" si="5"/>
        <v>0</v>
      </c>
      <c r="J105" s="282" t="s">
        <v>871</v>
      </c>
      <c r="K105" s="283" t="s">
        <v>883</v>
      </c>
      <c r="L105" s="283" t="s">
        <v>873</v>
      </c>
      <c r="M105" s="283"/>
    </row>
    <row r="106" spans="1:13" ht="38.25" x14ac:dyDescent="0.25">
      <c r="A106" s="276" t="e">
        <f>+CONCATENATE($A$77,".",TEXT(ROW(#REF!)-ROW($A$1),0))</f>
        <v>#REF!</v>
      </c>
      <c r="B106" s="564" t="s">
        <v>1042</v>
      </c>
      <c r="C106" s="575" t="s">
        <v>480</v>
      </c>
      <c r="D106" s="277" t="s">
        <v>1043</v>
      </c>
      <c r="E106" s="277" t="str">
        <f>IF(VLOOKUP(D106,'EMBOP-CI_ITA'!$D$4:$D$250,1,FALSE)=D106,"YES","NO")</f>
        <v>YES</v>
      </c>
      <c r="F106" s="278" t="s">
        <v>345</v>
      </c>
      <c r="G106" s="279">
        <v>0</v>
      </c>
      <c r="H106" s="280"/>
      <c r="I106" s="281">
        <f t="shared" si="5"/>
        <v>0</v>
      </c>
      <c r="J106" s="282" t="s">
        <v>871</v>
      </c>
      <c r="K106" s="283" t="s">
        <v>872</v>
      </c>
      <c r="L106" s="283" t="s">
        <v>873</v>
      </c>
      <c r="M106" s="283"/>
    </row>
    <row r="107" spans="1:13" ht="38.25" x14ac:dyDescent="0.25">
      <c r="A107" s="276"/>
      <c r="B107" s="564" t="s">
        <v>1042</v>
      </c>
      <c r="C107" s="575" t="s">
        <v>482</v>
      </c>
      <c r="D107" s="277" t="s">
        <v>1044</v>
      </c>
      <c r="E107" s="277" t="str">
        <f>IF(VLOOKUP(D107,'EMBOP-CI_ITA'!$D$4:$D$250,1,FALSE)=D107,"YES","NO")</f>
        <v>YES</v>
      </c>
      <c r="F107" s="278" t="s">
        <v>345</v>
      </c>
      <c r="G107" s="279">
        <v>0</v>
      </c>
      <c r="H107" s="280"/>
      <c r="I107" s="281">
        <f t="shared" si="5"/>
        <v>0</v>
      </c>
      <c r="J107" s="282"/>
      <c r="K107" s="283" t="s">
        <v>872</v>
      </c>
      <c r="L107" s="283" t="s">
        <v>873</v>
      </c>
      <c r="M107" s="283"/>
    </row>
    <row r="108" spans="1:13" ht="12.75" x14ac:dyDescent="0.25">
      <c r="A108" s="276"/>
      <c r="B108" s="564"/>
      <c r="C108" s="575" t="s">
        <v>494</v>
      </c>
      <c r="D108" s="277" t="s">
        <v>495</v>
      </c>
      <c r="E108" s="277" t="str">
        <f>IF(VLOOKUP(D108,'EMBOP-CI_ITA'!$D$4:$D$250,1,FALSE)=D108,"YES","NO")</f>
        <v>YES</v>
      </c>
      <c r="F108" s="278" t="s">
        <v>345</v>
      </c>
      <c r="G108" s="279">
        <v>0</v>
      </c>
      <c r="H108" s="280"/>
      <c r="I108" s="281">
        <f t="shared" si="5"/>
        <v>0</v>
      </c>
      <c r="J108" s="282"/>
      <c r="K108" s="283" t="s">
        <v>872</v>
      </c>
      <c r="L108" s="283" t="s">
        <v>873</v>
      </c>
      <c r="M108" s="283"/>
    </row>
    <row r="109" spans="1:13" ht="38.25" x14ac:dyDescent="0.25">
      <c r="A109" s="276" t="str">
        <f>+CONCATENATE($A$77,".",TEXT(ROW(A18)-ROW($A$1),0))</f>
        <v>ESC1.5.17</v>
      </c>
      <c r="B109" s="564" t="s">
        <v>1042</v>
      </c>
      <c r="C109" s="575" t="s">
        <v>492</v>
      </c>
      <c r="D109" s="277" t="s">
        <v>493</v>
      </c>
      <c r="E109" s="277" t="str">
        <f>IF(VLOOKUP(D109,'EMBOP-CI_ITA'!$D$4:$D$250,1,FALSE)=D109,"YES","NO")</f>
        <v>YES</v>
      </c>
      <c r="F109" s="278" t="s">
        <v>1045</v>
      </c>
      <c r="G109" s="279">
        <v>0</v>
      </c>
      <c r="H109" s="280"/>
      <c r="I109" s="281">
        <f t="shared" si="5"/>
        <v>0</v>
      </c>
      <c r="J109" s="282" t="s">
        <v>871</v>
      </c>
      <c r="K109" s="283" t="s">
        <v>872</v>
      </c>
      <c r="L109" s="283" t="s">
        <v>873</v>
      </c>
      <c r="M109" s="283"/>
    </row>
    <row r="110" spans="1:13" ht="63.75" x14ac:dyDescent="0.25">
      <c r="A110" s="276" t="str">
        <f>+CONCATENATE($A$77,".",TEXT(ROW(A19)-ROW($A$1),0))</f>
        <v>ESC1.5.18</v>
      </c>
      <c r="B110" s="564" t="s">
        <v>1046</v>
      </c>
      <c r="C110" s="605" t="s">
        <v>1047</v>
      </c>
      <c r="D110" s="277" t="s">
        <v>1048</v>
      </c>
      <c r="E110" s="277" t="str">
        <f>IF(VLOOKUP(D110,'EMBOP-CI_ITA'!$D$4:$D$250,1,FALSE)=D110,"YES","NO")</f>
        <v>YES</v>
      </c>
      <c r="F110" s="278" t="s">
        <v>345</v>
      </c>
      <c r="G110" s="279">
        <v>0</v>
      </c>
      <c r="H110" s="280"/>
      <c r="I110" s="281">
        <f t="shared" si="5"/>
        <v>0</v>
      </c>
      <c r="J110" s="282" t="s">
        <v>871</v>
      </c>
      <c r="K110" s="283" t="s">
        <v>883</v>
      </c>
      <c r="L110" s="283" t="s">
        <v>873</v>
      </c>
      <c r="M110" s="278"/>
    </row>
    <row r="111" spans="1:13" ht="12.75" x14ac:dyDescent="0.25">
      <c r="A111" s="276"/>
      <c r="B111" s="564"/>
      <c r="C111" s="605" t="s">
        <v>1049</v>
      </c>
      <c r="D111" s="277" t="s">
        <v>1050</v>
      </c>
      <c r="E111" s="277" t="str">
        <f>IF(VLOOKUP(D111,'EMBOP-CI_ITA'!$D$4:$D$250,1,FALSE)=D111,"YES","NO")</f>
        <v>YES</v>
      </c>
      <c r="F111" s="278" t="s">
        <v>345</v>
      </c>
      <c r="G111" s="279">
        <v>0</v>
      </c>
      <c r="H111" s="280"/>
      <c r="I111" s="281">
        <f t="shared" si="5"/>
        <v>0</v>
      </c>
      <c r="J111" s="282"/>
      <c r="K111" s="283" t="s">
        <v>883</v>
      </c>
      <c r="L111" s="283" t="s">
        <v>873</v>
      </c>
      <c r="M111" s="278"/>
    </row>
    <row r="112" spans="1:13" ht="76.5" x14ac:dyDescent="0.25">
      <c r="A112" s="276" t="e">
        <f>+CONCATENATE($A$77,".",TEXT(ROW(#REF!)-ROW($A$1),0))</f>
        <v>#REF!</v>
      </c>
      <c r="B112" s="564" t="s">
        <v>1051</v>
      </c>
      <c r="C112" s="605" t="s">
        <v>498</v>
      </c>
      <c r="D112" s="277" t="s">
        <v>1052</v>
      </c>
      <c r="E112" s="277" t="str">
        <f>IF(VLOOKUP(D112,'EMBOP-CI_ITA'!$D$4:$D$250,1,FALSE)=D112,"YES","NO")</f>
        <v>YES</v>
      </c>
      <c r="F112" s="278" t="s">
        <v>1045</v>
      </c>
      <c r="G112" s="279">
        <v>0</v>
      </c>
      <c r="H112" s="280"/>
      <c r="I112" s="281">
        <f t="shared" si="5"/>
        <v>0</v>
      </c>
      <c r="J112" s="282" t="s">
        <v>871</v>
      </c>
      <c r="K112" s="283" t="s">
        <v>883</v>
      </c>
      <c r="L112" s="283" t="s">
        <v>873</v>
      </c>
      <c r="M112" s="283"/>
    </row>
    <row r="113" spans="1:13" ht="12.75" x14ac:dyDescent="0.25">
      <c r="A113" s="276"/>
      <c r="B113" s="564"/>
      <c r="C113" s="605" t="s">
        <v>496</v>
      </c>
      <c r="D113" s="277" t="s">
        <v>1053</v>
      </c>
      <c r="E113" s="277" t="str">
        <f>IF(VLOOKUP(D113,'EMBOP-CI_ITA'!$D$4:$D$250,1,FALSE)=D113,"YES","NO")</f>
        <v>YES</v>
      </c>
      <c r="F113" s="278" t="s">
        <v>345</v>
      </c>
      <c r="G113" s="279">
        <v>0</v>
      </c>
      <c r="H113" s="280"/>
      <c r="I113" s="281">
        <f t="shared" si="5"/>
        <v>0</v>
      </c>
      <c r="J113" s="282"/>
      <c r="K113" s="283" t="s">
        <v>883</v>
      </c>
      <c r="L113" s="283" t="s">
        <v>873</v>
      </c>
      <c r="M113" s="283"/>
    </row>
    <row r="114" spans="1:13" ht="51" x14ac:dyDescent="0.25">
      <c r="A114" s="276" t="e">
        <f>+CONCATENATE($A$77,".",TEXT(ROW(#REF!)-ROW($A$1),0))</f>
        <v>#REF!</v>
      </c>
      <c r="B114" s="564" t="s">
        <v>1054</v>
      </c>
      <c r="C114" s="605" t="s">
        <v>802</v>
      </c>
      <c r="D114" s="626" t="s">
        <v>803</v>
      </c>
      <c r="E114" s="277" t="str">
        <f>IF(VLOOKUP(D114,'EMBOP-CI_ITA'!$D$4:$D$250,1,FALSE)=D114,"YES","NO")</f>
        <v>YES</v>
      </c>
      <c r="F114" s="278" t="s">
        <v>1055</v>
      </c>
      <c r="G114" s="279">
        <v>0</v>
      </c>
      <c r="H114" s="280"/>
      <c r="I114" s="281">
        <f t="shared" si="5"/>
        <v>0</v>
      </c>
      <c r="J114" s="282" t="s">
        <v>871</v>
      </c>
      <c r="K114" s="283" t="s">
        <v>883</v>
      </c>
      <c r="L114" s="283" t="s">
        <v>873</v>
      </c>
      <c r="M114" s="283"/>
    </row>
    <row r="115" spans="1:13" s="275" customFormat="1" ht="12.75" x14ac:dyDescent="0.25">
      <c r="A115" s="553" t="s">
        <v>1056</v>
      </c>
      <c r="B115" s="551"/>
      <c r="C115" s="551"/>
      <c r="D115" s="552" t="s">
        <v>1057</v>
      </c>
      <c r="E115" s="552" t="str">
        <f>IF(VLOOKUP(D115,'EMBOP-CI_ITA'!$D$4:$D$250,1,FALSE)=D115,"YES","NO")</f>
        <v>YES</v>
      </c>
      <c r="F115" s="551"/>
      <c r="G115" s="567"/>
      <c r="H115" s="565"/>
      <c r="I115" s="565"/>
      <c r="J115" s="549"/>
      <c r="K115" s="548"/>
      <c r="L115" s="548"/>
      <c r="M115" s="548"/>
    </row>
    <row r="116" spans="1:13" s="275" customFormat="1" ht="13.5" customHeight="1" x14ac:dyDescent="0.25">
      <c r="A116" s="276" t="str">
        <f>+CONCATENATE($A$115,".",TEXT(ROW(A2)-ROW($A$1),0))</f>
        <v>ESC1.7.1</v>
      </c>
      <c r="B116" s="1617" t="s">
        <v>1058</v>
      </c>
      <c r="C116" s="574" t="s">
        <v>1059</v>
      </c>
      <c r="D116" s="277" t="s">
        <v>1060</v>
      </c>
      <c r="E116" s="277" t="str">
        <f>IF(VLOOKUP(D116,'EMBOP-CI_ITA'!$D$4:$D$250,1,FALSE)=D116,"YES","NO")</f>
        <v>YES</v>
      </c>
      <c r="F116" s="278" t="s">
        <v>464</v>
      </c>
      <c r="G116" s="601">
        <v>0</v>
      </c>
      <c r="H116" s="600"/>
      <c r="I116" s="561">
        <f t="shared" ref="I116:I142" si="6">+G116*H116</f>
        <v>0</v>
      </c>
      <c r="J116" s="604" t="s">
        <v>871</v>
      </c>
      <c r="K116" s="559" t="s">
        <v>872</v>
      </c>
      <c r="L116" s="559" t="s">
        <v>873</v>
      </c>
      <c r="M116" s="283"/>
    </row>
    <row r="117" spans="1:13" ht="12.75" x14ac:dyDescent="0.25">
      <c r="A117" s="276" t="str">
        <f>+CONCATENATE($A$115,".",TEXT(ROW(A3)-ROW($A$1),0))</f>
        <v>ESC1.7.2</v>
      </c>
      <c r="B117" s="1618"/>
      <c r="C117" s="574" t="s">
        <v>1061</v>
      </c>
      <c r="D117" s="277" t="s">
        <v>1062</v>
      </c>
      <c r="E117" s="277" t="str">
        <f>IF(VLOOKUP(D117,'EMBOP-CI_ITA'!$D$4:$D$250,1,FALSE)=D117,"YES","NO")</f>
        <v>YES</v>
      </c>
      <c r="F117" s="278" t="s">
        <v>464</v>
      </c>
      <c r="G117" s="601">
        <v>0</v>
      </c>
      <c r="H117" s="600"/>
      <c r="I117" s="561">
        <f t="shared" si="6"/>
        <v>0</v>
      </c>
      <c r="J117" s="603"/>
      <c r="K117" s="559" t="s">
        <v>872</v>
      </c>
      <c r="L117" s="559" t="s">
        <v>873</v>
      </c>
      <c r="M117" s="283"/>
    </row>
    <row r="118" spans="1:13" ht="12.75" x14ac:dyDescent="0.25">
      <c r="A118" s="276" t="str">
        <f>+CONCATENATE($A$115,".",TEXT(ROW(A4)-ROW($A$1),0))</f>
        <v>ESC1.7.3</v>
      </c>
      <c r="B118" s="1618"/>
      <c r="C118" s="574" t="s">
        <v>1063</v>
      </c>
      <c r="D118" s="277" t="s">
        <v>1064</v>
      </c>
      <c r="E118" s="277" t="str">
        <f>IF(VLOOKUP(D118,'EMBOP-CI_ITA'!$D$4:$D$250,1,FALSE)=D118,"YES","NO")</f>
        <v>YES</v>
      </c>
      <c r="F118" s="278" t="s">
        <v>464</v>
      </c>
      <c r="G118" s="601">
        <v>0</v>
      </c>
      <c r="H118" s="600"/>
      <c r="I118" s="561">
        <f t="shared" si="6"/>
        <v>0</v>
      </c>
      <c r="J118" s="603"/>
      <c r="K118" s="559" t="s">
        <v>872</v>
      </c>
      <c r="L118" s="559" t="s">
        <v>873</v>
      </c>
      <c r="M118" s="283"/>
    </row>
    <row r="119" spans="1:13" ht="12.75" x14ac:dyDescent="0.25">
      <c r="A119" s="276"/>
      <c r="B119" s="1618"/>
      <c r="C119" s="574" t="s">
        <v>1065</v>
      </c>
      <c r="D119" s="277" t="s">
        <v>1066</v>
      </c>
      <c r="E119" s="277" t="str">
        <f>IF(VLOOKUP(D119,'EMBOP-CI_ITA'!$D$4:$D$250,1,FALSE)=D119,"YES","NO")</f>
        <v>YES</v>
      </c>
      <c r="F119" s="278" t="s">
        <v>464</v>
      </c>
      <c r="G119" s="601">
        <v>0</v>
      </c>
      <c r="H119" s="600"/>
      <c r="I119" s="561">
        <f t="shared" si="6"/>
        <v>0</v>
      </c>
      <c r="J119" s="603"/>
      <c r="K119" s="559" t="s">
        <v>872</v>
      </c>
      <c r="L119" s="559" t="s">
        <v>873</v>
      </c>
      <c r="M119" s="283"/>
    </row>
    <row r="120" spans="1:13" ht="12.75" x14ac:dyDescent="0.25">
      <c r="A120" s="276"/>
      <c r="B120" s="1618"/>
      <c r="C120" s="574" t="s">
        <v>1067</v>
      </c>
      <c r="D120" s="277" t="s">
        <v>1068</v>
      </c>
      <c r="E120" s="277" t="str">
        <f>IF(VLOOKUP(D120,'EMBOP-CI_ITA'!$D$4:$D$250,1,FALSE)=D120,"YES","NO")</f>
        <v>YES</v>
      </c>
      <c r="F120" s="278" t="s">
        <v>464</v>
      </c>
      <c r="G120" s="601">
        <v>0</v>
      </c>
      <c r="H120" s="600"/>
      <c r="I120" s="561">
        <f t="shared" si="6"/>
        <v>0</v>
      </c>
      <c r="J120" s="603"/>
      <c r="K120" s="559" t="s">
        <v>872</v>
      </c>
      <c r="L120" s="559" t="s">
        <v>873</v>
      </c>
      <c r="M120" s="283"/>
    </row>
    <row r="121" spans="1:13" ht="12.75" x14ac:dyDescent="0.25">
      <c r="A121" s="276"/>
      <c r="B121" s="1618"/>
      <c r="C121" s="574" t="s">
        <v>1069</v>
      </c>
      <c r="D121" s="277" t="s">
        <v>1070</v>
      </c>
      <c r="E121" s="277" t="str">
        <f>IF(VLOOKUP(D121,'EMBOP-CI_ITA'!$D$4:$D$250,1,FALSE)=D121,"YES","NO")</f>
        <v>YES</v>
      </c>
      <c r="F121" s="278" t="s">
        <v>464</v>
      </c>
      <c r="G121" s="601">
        <v>0</v>
      </c>
      <c r="H121" s="600"/>
      <c r="I121" s="561">
        <f t="shared" si="6"/>
        <v>0</v>
      </c>
      <c r="J121" s="603"/>
      <c r="K121" s="559" t="s">
        <v>872</v>
      </c>
      <c r="L121" s="559" t="s">
        <v>873</v>
      </c>
      <c r="M121" s="283"/>
    </row>
    <row r="122" spans="1:13" ht="12.75" x14ac:dyDescent="0.25">
      <c r="A122" s="276"/>
      <c r="B122" s="1618"/>
      <c r="C122" s="574" t="s">
        <v>1071</v>
      </c>
      <c r="D122" s="277" t="s">
        <v>1072</v>
      </c>
      <c r="E122" s="277" t="str">
        <f>IF(VLOOKUP(D122,'EMBOP-CI_ITA'!$D$4:$D$250,1,FALSE)=D122,"YES","NO")</f>
        <v>YES</v>
      </c>
      <c r="F122" s="278" t="s">
        <v>464</v>
      </c>
      <c r="G122" s="601">
        <v>0</v>
      </c>
      <c r="H122" s="600"/>
      <c r="I122" s="561">
        <f t="shared" si="6"/>
        <v>0</v>
      </c>
      <c r="J122" s="603"/>
      <c r="K122" s="559" t="s">
        <v>872</v>
      </c>
      <c r="L122" s="559" t="s">
        <v>873</v>
      </c>
      <c r="M122" s="283"/>
    </row>
    <row r="123" spans="1:13" ht="12.75" x14ac:dyDescent="0.25">
      <c r="A123" s="276"/>
      <c r="B123" s="1618"/>
      <c r="C123" s="574" t="s">
        <v>1073</v>
      </c>
      <c r="D123" s="277" t="s">
        <v>1074</v>
      </c>
      <c r="E123" s="277" t="str">
        <f>IF(VLOOKUP(D123,'EMBOP-CI_ITA'!$D$4:$D$250,1,FALSE)=D123,"YES","NO")</f>
        <v>YES</v>
      </c>
      <c r="F123" s="278" t="s">
        <v>464</v>
      </c>
      <c r="G123" s="601">
        <v>0</v>
      </c>
      <c r="H123" s="600"/>
      <c r="I123" s="561">
        <f t="shared" si="6"/>
        <v>0</v>
      </c>
      <c r="J123" s="603"/>
      <c r="K123" s="559" t="s">
        <v>872</v>
      </c>
      <c r="L123" s="559" t="s">
        <v>873</v>
      </c>
      <c r="M123" s="283"/>
    </row>
    <row r="124" spans="1:13" ht="12.75" x14ac:dyDescent="0.25">
      <c r="A124" s="276"/>
      <c r="B124" s="1618"/>
      <c r="C124" s="574" t="s">
        <v>1075</v>
      </c>
      <c r="D124" s="277" t="s">
        <v>1076</v>
      </c>
      <c r="E124" s="277" t="str">
        <f>IF(VLOOKUP(D124,'EMBOP-CI_ITA'!$D$4:$D$250,1,FALSE)=D124,"YES","NO")</f>
        <v>YES</v>
      </c>
      <c r="F124" s="278" t="s">
        <v>464</v>
      </c>
      <c r="G124" s="601">
        <v>0</v>
      </c>
      <c r="H124" s="600"/>
      <c r="I124" s="561">
        <f t="shared" si="6"/>
        <v>0</v>
      </c>
      <c r="J124" s="603"/>
      <c r="K124" s="559" t="s">
        <v>872</v>
      </c>
      <c r="L124" s="559" t="s">
        <v>873</v>
      </c>
      <c r="M124" s="283"/>
    </row>
    <row r="125" spans="1:13" ht="15" customHeight="1" x14ac:dyDescent="0.25">
      <c r="A125" s="276" t="str">
        <f t="shared" ref="A125:A139" si="7">+CONCATENATE($A$115,".",TEXT(ROW(A5)-ROW($A$1),0))</f>
        <v>ESC1.7.4</v>
      </c>
      <c r="B125" s="1618"/>
      <c r="C125" s="574" t="s">
        <v>1077</v>
      </c>
      <c r="D125" s="277" t="s">
        <v>1078</v>
      </c>
      <c r="E125" s="277" t="str">
        <f>IF(VLOOKUP(D125,'EMBOP-CI_ITA'!$D$4:$D$250,1,FALSE)=D125,"YES","NO")</f>
        <v>YES</v>
      </c>
      <c r="F125" s="278" t="s">
        <v>464</v>
      </c>
      <c r="G125" s="601">
        <v>0</v>
      </c>
      <c r="H125" s="600"/>
      <c r="I125" s="561">
        <f t="shared" si="6"/>
        <v>0</v>
      </c>
      <c r="J125" s="1630" t="s">
        <v>871</v>
      </c>
      <c r="K125" s="559" t="s">
        <v>872</v>
      </c>
      <c r="L125" s="559" t="s">
        <v>873</v>
      </c>
      <c r="M125" s="283"/>
    </row>
    <row r="126" spans="1:13" ht="15" customHeight="1" x14ac:dyDescent="0.25">
      <c r="A126" s="276" t="str">
        <f t="shared" si="7"/>
        <v>ESC1.7.5</v>
      </c>
      <c r="B126" s="1618"/>
      <c r="C126" s="574" t="s">
        <v>1079</v>
      </c>
      <c r="D126" s="277" t="s">
        <v>1080</v>
      </c>
      <c r="E126" s="277" t="str">
        <f>IF(VLOOKUP(D126,'EMBOP-CI_ITA'!$D$4:$D$250,1,FALSE)=D126,"YES","NO")</f>
        <v>YES</v>
      </c>
      <c r="F126" s="278" t="s">
        <v>464</v>
      </c>
      <c r="G126" s="601">
        <v>0</v>
      </c>
      <c r="H126" s="600"/>
      <c r="I126" s="561">
        <f t="shared" si="6"/>
        <v>0</v>
      </c>
      <c r="J126" s="1631"/>
      <c r="K126" s="559" t="s">
        <v>872</v>
      </c>
      <c r="L126" s="559" t="s">
        <v>873</v>
      </c>
      <c r="M126" s="283"/>
    </row>
    <row r="127" spans="1:13" ht="12.75" x14ac:dyDescent="0.25">
      <c r="A127" s="276" t="str">
        <f t="shared" si="7"/>
        <v>ESC1.7.6</v>
      </c>
      <c r="B127" s="1618"/>
      <c r="C127" s="574" t="s">
        <v>1081</v>
      </c>
      <c r="D127" s="277" t="s">
        <v>1082</v>
      </c>
      <c r="E127" s="277" t="str">
        <f>IF(VLOOKUP(D127,'EMBOP-CI_ITA'!$D$4:$D$250,1,FALSE)=D127,"YES","NO")</f>
        <v>YES</v>
      </c>
      <c r="F127" s="278" t="s">
        <v>464</v>
      </c>
      <c r="G127" s="601">
        <v>0</v>
      </c>
      <c r="H127" s="600"/>
      <c r="I127" s="561">
        <f t="shared" si="6"/>
        <v>0</v>
      </c>
      <c r="J127" s="1631"/>
      <c r="K127" s="559" t="s">
        <v>872</v>
      </c>
      <c r="L127" s="559" t="s">
        <v>873</v>
      </c>
      <c r="M127" s="283"/>
    </row>
    <row r="128" spans="1:13" ht="12.75" x14ac:dyDescent="0.25">
      <c r="A128" s="276" t="str">
        <f t="shared" si="7"/>
        <v>ESC1.7.7</v>
      </c>
      <c r="B128" s="1618"/>
      <c r="C128" s="574" t="s">
        <v>1083</v>
      </c>
      <c r="D128" s="277" t="s">
        <v>1084</v>
      </c>
      <c r="E128" s="277" t="str">
        <f>IF(VLOOKUP(D128,'EMBOP-CI_ITA'!$D$4:$D$250,1,FALSE)=D128,"YES","NO")</f>
        <v>YES</v>
      </c>
      <c r="F128" s="278" t="s">
        <v>464</v>
      </c>
      <c r="G128" s="601">
        <v>0</v>
      </c>
      <c r="H128" s="600"/>
      <c r="I128" s="561">
        <f t="shared" si="6"/>
        <v>0</v>
      </c>
      <c r="J128" s="1631"/>
      <c r="K128" s="559" t="s">
        <v>872</v>
      </c>
      <c r="L128" s="559" t="s">
        <v>873</v>
      </c>
      <c r="M128" s="283"/>
    </row>
    <row r="129" spans="1:13" ht="12.75" x14ac:dyDescent="0.25">
      <c r="A129" s="276" t="str">
        <f t="shared" si="7"/>
        <v>ESC1.7.8</v>
      </c>
      <c r="B129" s="1618"/>
      <c r="C129" s="574" t="s">
        <v>1085</v>
      </c>
      <c r="D129" s="277" t="s">
        <v>1086</v>
      </c>
      <c r="E129" s="277" t="str">
        <f>IF(VLOOKUP(D129,'EMBOP-CI_ITA'!$D$4:$D$250,1,FALSE)=D129,"YES","NO")</f>
        <v>YES</v>
      </c>
      <c r="F129" s="278" t="s">
        <v>464</v>
      </c>
      <c r="G129" s="601">
        <v>0</v>
      </c>
      <c r="H129" s="600"/>
      <c r="I129" s="561">
        <f t="shared" si="6"/>
        <v>0</v>
      </c>
      <c r="J129" s="1632"/>
      <c r="K129" s="559" t="s">
        <v>872</v>
      </c>
      <c r="L129" s="559" t="s">
        <v>873</v>
      </c>
      <c r="M129" s="283"/>
    </row>
    <row r="130" spans="1:13" ht="12.75" x14ac:dyDescent="0.25">
      <c r="A130" s="276" t="str">
        <f t="shared" si="7"/>
        <v>ESC1.7.9</v>
      </c>
      <c r="B130" s="1618"/>
      <c r="C130" s="574" t="s">
        <v>1087</v>
      </c>
      <c r="D130" s="277" t="s">
        <v>1088</v>
      </c>
      <c r="E130" s="277" t="str">
        <f>IF(VLOOKUP(D130,'EMBOP-CI_ITA'!$D$4:$D$250,1,FALSE)=D130,"YES","NO")</f>
        <v>YES</v>
      </c>
      <c r="F130" s="278" t="s">
        <v>464</v>
      </c>
      <c r="G130" s="601">
        <v>0</v>
      </c>
      <c r="H130" s="600"/>
      <c r="I130" s="561">
        <f t="shared" si="6"/>
        <v>0</v>
      </c>
      <c r="J130" s="602"/>
      <c r="K130" s="559" t="s">
        <v>872</v>
      </c>
      <c r="L130" s="559" t="s">
        <v>873</v>
      </c>
      <c r="M130" s="283"/>
    </row>
    <row r="131" spans="1:13" ht="12.75" x14ac:dyDescent="0.25">
      <c r="A131" s="276" t="str">
        <f t="shared" si="7"/>
        <v>ESC1.7.10</v>
      </c>
      <c r="B131" s="1618"/>
      <c r="C131" s="574" t="s">
        <v>1089</v>
      </c>
      <c r="D131" s="277" t="s">
        <v>1090</v>
      </c>
      <c r="E131" s="277" t="str">
        <f>IF(VLOOKUP(D131,'EMBOP-CI_ITA'!$D$4:$D$250,1,FALSE)=D131,"YES","NO")</f>
        <v>YES</v>
      </c>
      <c r="F131" s="278" t="s">
        <v>464</v>
      </c>
      <c r="G131" s="601">
        <v>0</v>
      </c>
      <c r="H131" s="600"/>
      <c r="I131" s="561">
        <f t="shared" si="6"/>
        <v>0</v>
      </c>
      <c r="J131" s="602"/>
      <c r="K131" s="559" t="s">
        <v>872</v>
      </c>
      <c r="L131" s="559" t="s">
        <v>873</v>
      </c>
      <c r="M131" s="283"/>
    </row>
    <row r="132" spans="1:13" ht="12.75" x14ac:dyDescent="0.25">
      <c r="A132" s="276" t="str">
        <f t="shared" si="7"/>
        <v>ESC1.7.11</v>
      </c>
      <c r="B132" s="1618"/>
      <c r="C132" s="574" t="s">
        <v>1091</v>
      </c>
      <c r="D132" s="277" t="s">
        <v>1092</v>
      </c>
      <c r="E132" s="277" t="str">
        <f>IF(VLOOKUP(D132,'EMBOP-CI_ITA'!$D$4:$D$250,1,FALSE)=D132,"YES","NO")</f>
        <v>YES</v>
      </c>
      <c r="F132" s="278" t="s">
        <v>464</v>
      </c>
      <c r="G132" s="601">
        <v>0</v>
      </c>
      <c r="H132" s="600"/>
      <c r="I132" s="561">
        <f t="shared" si="6"/>
        <v>0</v>
      </c>
      <c r="J132" s="602"/>
      <c r="K132" s="283" t="s">
        <v>872</v>
      </c>
      <c r="L132" s="283" t="s">
        <v>873</v>
      </c>
      <c r="M132" s="283"/>
    </row>
    <row r="133" spans="1:13" ht="12.75" x14ac:dyDescent="0.25">
      <c r="A133" s="276" t="str">
        <f t="shared" si="7"/>
        <v>ESC1.7.12</v>
      </c>
      <c r="B133" s="1618"/>
      <c r="C133" s="574" t="s">
        <v>1093</v>
      </c>
      <c r="D133" s="277" t="s">
        <v>1094</v>
      </c>
      <c r="E133" s="277" t="str">
        <f>IF(VLOOKUP(D133,'EMBOP-CI_ITA'!$D$4:$D$250,1,FALSE)=D133,"YES","NO")</f>
        <v>YES</v>
      </c>
      <c r="F133" s="278" t="s">
        <v>464</v>
      </c>
      <c r="G133" s="601">
        <v>0</v>
      </c>
      <c r="H133" s="600"/>
      <c r="I133" s="561">
        <f t="shared" si="6"/>
        <v>0</v>
      </c>
      <c r="J133" s="602"/>
      <c r="K133" s="283" t="s">
        <v>883</v>
      </c>
      <c r="L133" s="283" t="s">
        <v>873</v>
      </c>
      <c r="M133" s="283"/>
    </row>
    <row r="134" spans="1:13" ht="12.75" x14ac:dyDescent="0.25">
      <c r="A134" s="276" t="str">
        <f t="shared" si="7"/>
        <v>ESC1.7.13</v>
      </c>
      <c r="B134" s="1618"/>
      <c r="C134" s="574" t="s">
        <v>1095</v>
      </c>
      <c r="D134" s="277" t="s">
        <v>1096</v>
      </c>
      <c r="E134" s="277" t="str">
        <f>IF(VLOOKUP(D134,'EMBOP-CI_ITA'!$D$4:$D$250,1,FALSE)=D134,"YES","NO")</f>
        <v>YES</v>
      </c>
      <c r="F134" s="278" t="s">
        <v>464</v>
      </c>
      <c r="G134" s="601">
        <v>0</v>
      </c>
      <c r="H134" s="600"/>
      <c r="I134" s="561">
        <f t="shared" si="6"/>
        <v>0</v>
      </c>
      <c r="J134" s="602"/>
      <c r="K134" s="283" t="s">
        <v>872</v>
      </c>
      <c r="L134" s="283" t="s">
        <v>873</v>
      </c>
      <c r="M134" s="283"/>
    </row>
    <row r="135" spans="1:13" ht="12.75" x14ac:dyDescent="0.25">
      <c r="A135" s="276" t="str">
        <f t="shared" si="7"/>
        <v>ESC1.7.14</v>
      </c>
      <c r="B135" s="1618"/>
      <c r="C135" s="574" t="s">
        <v>1097</v>
      </c>
      <c r="D135" s="277" t="s">
        <v>1098</v>
      </c>
      <c r="E135" s="277" t="str">
        <f>IF(VLOOKUP(D135,'EMBOP-CI_ITA'!$D$4:$D$250,1,FALSE)=D135,"YES","NO")</f>
        <v>YES</v>
      </c>
      <c r="F135" s="278" t="s">
        <v>464</v>
      </c>
      <c r="G135" s="601">
        <v>0</v>
      </c>
      <c r="H135" s="600"/>
      <c r="I135" s="561">
        <f t="shared" si="6"/>
        <v>0</v>
      </c>
      <c r="J135" s="282" t="s">
        <v>871</v>
      </c>
      <c r="K135" s="283" t="s">
        <v>883</v>
      </c>
      <c r="L135" s="283" t="s">
        <v>873</v>
      </c>
      <c r="M135" s="283"/>
    </row>
    <row r="136" spans="1:13" ht="12.75" x14ac:dyDescent="0.25">
      <c r="A136" s="276" t="str">
        <f t="shared" si="7"/>
        <v>ESC1.7.15</v>
      </c>
      <c r="B136" s="1618"/>
      <c r="C136" s="574" t="s">
        <v>1099</v>
      </c>
      <c r="D136" s="277" t="s">
        <v>1100</v>
      </c>
      <c r="E136" s="277" t="str">
        <f>IF(VLOOKUP(D136,'EMBOP-CI_ITA'!$D$4:$D$250,1,FALSE)=D136,"YES","NO")</f>
        <v>YES</v>
      </c>
      <c r="F136" s="278" t="s">
        <v>464</v>
      </c>
      <c r="G136" s="601">
        <v>0</v>
      </c>
      <c r="H136" s="600"/>
      <c r="I136" s="561">
        <f t="shared" si="6"/>
        <v>0</v>
      </c>
      <c r="J136" s="282"/>
      <c r="K136" s="283" t="s">
        <v>872</v>
      </c>
      <c r="L136" s="283" t="s">
        <v>873</v>
      </c>
      <c r="M136" s="283"/>
    </row>
    <row r="137" spans="1:13" ht="12.75" x14ac:dyDescent="0.25">
      <c r="A137" s="276" t="str">
        <f t="shared" si="7"/>
        <v>ESC1.7.16</v>
      </c>
      <c r="B137" s="1618"/>
      <c r="C137" s="574" t="s">
        <v>1101</v>
      </c>
      <c r="D137" s="277" t="s">
        <v>1102</v>
      </c>
      <c r="E137" s="277" t="str">
        <f>IF(VLOOKUP(D137,'EMBOP-CI_ITA'!$D$4:$D$250,1,FALSE)=D137,"YES","NO")</f>
        <v>YES</v>
      </c>
      <c r="F137" s="278" t="s">
        <v>464</v>
      </c>
      <c r="G137" s="601">
        <v>0</v>
      </c>
      <c r="H137" s="600"/>
      <c r="I137" s="561">
        <f t="shared" si="6"/>
        <v>0</v>
      </c>
      <c r="J137" s="282" t="s">
        <v>871</v>
      </c>
      <c r="K137" s="283" t="s">
        <v>883</v>
      </c>
      <c r="L137" s="283" t="s">
        <v>873</v>
      </c>
      <c r="M137" s="283"/>
    </row>
    <row r="138" spans="1:13" ht="12.75" x14ac:dyDescent="0.25">
      <c r="A138" s="276" t="str">
        <f t="shared" si="7"/>
        <v>ESC1.7.17</v>
      </c>
      <c r="B138" s="1618"/>
      <c r="C138" s="574" t="s">
        <v>1103</v>
      </c>
      <c r="D138" s="277" t="s">
        <v>1104</v>
      </c>
      <c r="E138" s="277" t="str">
        <f>IF(VLOOKUP(D138,'EMBOP-CI_ITA'!$D$4:$D$250,1,FALSE)=D138,"YES","NO")</f>
        <v>YES</v>
      </c>
      <c r="F138" s="278" t="s">
        <v>464</v>
      </c>
      <c r="G138" s="601">
        <v>0</v>
      </c>
      <c r="H138" s="600"/>
      <c r="I138" s="561">
        <f t="shared" si="6"/>
        <v>0</v>
      </c>
      <c r="J138" s="282"/>
      <c r="K138" s="283" t="s">
        <v>872</v>
      </c>
      <c r="L138" s="283" t="s">
        <v>873</v>
      </c>
      <c r="M138" s="283"/>
    </row>
    <row r="139" spans="1:13" ht="12.75" x14ac:dyDescent="0.25">
      <c r="A139" s="276" t="str">
        <f t="shared" si="7"/>
        <v>ESC1.7.18</v>
      </c>
      <c r="B139" s="1619"/>
      <c r="C139" s="574" t="s">
        <v>1105</v>
      </c>
      <c r="D139" s="277" t="s">
        <v>1106</v>
      </c>
      <c r="E139" s="277" t="str">
        <f>IF(VLOOKUP(D139,'EMBOP-CI_ITA'!$D$4:$D$250,1,FALSE)=D139,"YES","NO")</f>
        <v>YES</v>
      </c>
      <c r="F139" s="278" t="s">
        <v>464</v>
      </c>
      <c r="G139" s="279">
        <v>0</v>
      </c>
      <c r="H139" s="600"/>
      <c r="I139" s="561">
        <f t="shared" si="6"/>
        <v>0</v>
      </c>
      <c r="J139" s="282" t="s">
        <v>871</v>
      </c>
      <c r="K139" s="283" t="s">
        <v>883</v>
      </c>
      <c r="L139" s="283" t="s">
        <v>873</v>
      </c>
      <c r="M139" s="283"/>
    </row>
    <row r="140" spans="1:13" ht="13.5" customHeight="1" x14ac:dyDescent="0.25">
      <c r="A140" s="276" t="e">
        <f>+CONCATENATE($A$115,".",TEXT(ROW(#REF!)-ROW($A$1),0))</f>
        <v>#REF!</v>
      </c>
      <c r="B140" s="1617" t="s">
        <v>1107</v>
      </c>
      <c r="C140" s="599" t="s">
        <v>1108</v>
      </c>
      <c r="D140" s="537" t="s">
        <v>1109</v>
      </c>
      <c r="E140" s="537" t="str">
        <f>IF(VLOOKUP(D140,'EMBOP-CI_ITA'!$D$4:$D$250,1,FALSE)=D140,"YES","NO")</f>
        <v>YES</v>
      </c>
      <c r="F140" s="278" t="s">
        <v>464</v>
      </c>
      <c r="G140" s="279">
        <v>0</v>
      </c>
      <c r="H140" s="280"/>
      <c r="I140" s="561">
        <f t="shared" si="6"/>
        <v>0</v>
      </c>
      <c r="J140" s="282" t="s">
        <v>871</v>
      </c>
      <c r="K140" s="283" t="s">
        <v>883</v>
      </c>
      <c r="L140" s="283" t="s">
        <v>873</v>
      </c>
      <c r="M140" s="283"/>
    </row>
    <row r="141" spans="1:13" ht="34.5" customHeight="1" x14ac:dyDescent="0.25">
      <c r="A141" s="276" t="e">
        <f>+CONCATENATE($A$115,".",TEXT(ROW(#REF!)-ROW($A$1),0))</f>
        <v>#REF!</v>
      </c>
      <c r="B141" s="1619"/>
      <c r="C141" s="558" t="s">
        <v>1110</v>
      </c>
      <c r="D141" s="537" t="s">
        <v>1111</v>
      </c>
      <c r="E141" s="537" t="str">
        <f>IF(VLOOKUP(D141,'EMBOP-CI_ITA'!$D$4:$D$250,1,FALSE)=D141,"YES","NO")</f>
        <v>YES</v>
      </c>
      <c r="F141" s="278" t="s">
        <v>464</v>
      </c>
      <c r="G141" s="279">
        <v>0</v>
      </c>
      <c r="H141" s="280"/>
      <c r="I141" s="561">
        <f t="shared" si="6"/>
        <v>0</v>
      </c>
      <c r="J141" s="282" t="s">
        <v>871</v>
      </c>
      <c r="K141" s="283" t="s">
        <v>883</v>
      </c>
      <c r="L141" s="283" t="s">
        <v>873</v>
      </c>
      <c r="M141" s="283"/>
    </row>
    <row r="142" spans="1:13" ht="38.25" x14ac:dyDescent="0.25">
      <c r="A142" s="276" t="str">
        <f>+CONCATENATE($A$115,".",TEXT(ROW(A20)-ROW($A$1),0))</f>
        <v>ESC1.7.19</v>
      </c>
      <c r="B142" s="564" t="s">
        <v>973</v>
      </c>
      <c r="C142" s="558" t="s">
        <v>806</v>
      </c>
      <c r="D142" s="698" t="s">
        <v>1112</v>
      </c>
      <c r="E142" s="537" t="str">
        <f>IF(VLOOKUP(D142,'EMBOP-CI_ITA'!$D$4:$D$250,1,FALSE)=D142,"YES","NO")</f>
        <v>YES</v>
      </c>
      <c r="F142" s="278" t="s">
        <v>464</v>
      </c>
      <c r="G142" s="279">
        <v>0</v>
      </c>
      <c r="H142" s="280"/>
      <c r="I142" s="281">
        <f t="shared" si="6"/>
        <v>0</v>
      </c>
      <c r="J142" s="282" t="s">
        <v>871</v>
      </c>
      <c r="K142" s="283" t="s">
        <v>883</v>
      </c>
      <c r="L142" s="283" t="s">
        <v>873</v>
      </c>
      <c r="M142" s="283"/>
    </row>
    <row r="143" spans="1:13" s="677" customFormat="1" ht="12.75" x14ac:dyDescent="0.25">
      <c r="A143" s="682" t="s">
        <v>1113</v>
      </c>
      <c r="B143" s="683"/>
      <c r="C143" s="682"/>
      <c r="D143" s="682" t="s">
        <v>1114</v>
      </c>
      <c r="E143" s="682" t="str">
        <f>IF(VLOOKUP(D143,'EMBOP-CI_ITA'!$D$4:$D$250,1,FALSE)=D143,"YES","NO")</f>
        <v>YES</v>
      </c>
      <c r="F143" s="681"/>
      <c r="G143" s="680"/>
      <c r="H143" s="679"/>
      <c r="I143" s="679"/>
      <c r="J143" s="679"/>
      <c r="K143" s="678"/>
      <c r="L143" s="678"/>
      <c r="M143" s="678"/>
    </row>
    <row r="144" spans="1:13" s="655" customFormat="1" ht="12.75" x14ac:dyDescent="0.25">
      <c r="A144" s="671" t="s">
        <v>1115</v>
      </c>
      <c r="B144" s="670"/>
      <c r="C144" s="676" t="s">
        <v>1116</v>
      </c>
      <c r="D144" s="670" t="s">
        <v>1117</v>
      </c>
      <c r="E144" s="670" t="str">
        <f>IF(VLOOKUP(D144,'EMBOP-CI_ITA'!$D$4:$D$250,1,FALSE)=D144,"YES","NO")</f>
        <v>YES</v>
      </c>
      <c r="F144" s="669"/>
      <c r="G144" s="668"/>
      <c r="H144" s="667"/>
      <c r="I144" s="667"/>
      <c r="J144" s="666"/>
      <c r="K144" s="665"/>
      <c r="L144" s="665"/>
      <c r="M144" s="665"/>
    </row>
    <row r="145" spans="1:13" s="655" customFormat="1" ht="25.5" x14ac:dyDescent="0.25">
      <c r="A145" s="675" t="str">
        <f>+CONCATENATE($A$144,".",TEXT(ROW(A2)-ROW($A$1),0))</f>
        <v>ECC2.1.1</v>
      </c>
      <c r="B145" s="663" t="s">
        <v>1118</v>
      </c>
      <c r="C145" s="662" t="s">
        <v>1119</v>
      </c>
      <c r="D145" s="663" t="s">
        <v>1120</v>
      </c>
      <c r="E145" s="663" t="str">
        <f>IF(VLOOKUP(D145,'EMBOP-CI_ITA'!$D$4:$D$250,1,FALSE)=D145,"YES","NO")</f>
        <v>YES</v>
      </c>
      <c r="F145" s="662" t="s">
        <v>345</v>
      </c>
      <c r="G145" s="661">
        <v>0</v>
      </c>
      <c r="H145" s="660"/>
      <c r="I145" s="659">
        <f>+G145*H145</f>
        <v>0</v>
      </c>
      <c r="J145" s="658" t="s">
        <v>871</v>
      </c>
      <c r="K145" s="657" t="s">
        <v>883</v>
      </c>
      <c r="L145" s="657" t="s">
        <v>873</v>
      </c>
      <c r="M145" s="656"/>
    </row>
    <row r="146" spans="1:13" s="655" customFormat="1" ht="25.5" x14ac:dyDescent="0.25">
      <c r="A146" s="675" t="str">
        <f>+CONCATENATE($A$144,".",TEXT(ROW(A3)-ROW($A$1),0))</f>
        <v>ECC2.1.2</v>
      </c>
      <c r="B146" s="663" t="s">
        <v>1118</v>
      </c>
      <c r="C146" s="662" t="s">
        <v>1121</v>
      </c>
      <c r="D146" s="663" t="s">
        <v>1122</v>
      </c>
      <c r="E146" s="663" t="str">
        <f>IF(VLOOKUP(D146,'EMBOP-CI_ITA'!$D$4:$D$250,1,FALSE)=D146,"YES","NO")</f>
        <v>YES</v>
      </c>
      <c r="F146" s="662" t="s">
        <v>345</v>
      </c>
      <c r="G146" s="661">
        <v>0</v>
      </c>
      <c r="H146" s="660"/>
      <c r="I146" s="659">
        <f>+G146*H146</f>
        <v>0</v>
      </c>
      <c r="J146" s="658" t="s">
        <v>871</v>
      </c>
      <c r="K146" s="657" t="s">
        <v>883</v>
      </c>
      <c r="L146" s="657" t="s">
        <v>873</v>
      </c>
      <c r="M146" s="656"/>
    </row>
    <row r="147" spans="1:13" s="655" customFormat="1" ht="12.75" x14ac:dyDescent="0.25">
      <c r="A147" s="671" t="s">
        <v>1123</v>
      </c>
      <c r="B147" s="670"/>
      <c r="C147" s="669" t="s">
        <v>1124</v>
      </c>
      <c r="D147" s="670" t="s">
        <v>1125</v>
      </c>
      <c r="E147" s="670" t="str">
        <f>IF(VLOOKUP(D147,'EMBOP-CI_ITA'!$D$4:$D$250,1,FALSE)=D147,"YES","NO")</f>
        <v>YES</v>
      </c>
      <c r="F147" s="669"/>
      <c r="G147" s="668"/>
      <c r="H147" s="667"/>
      <c r="I147" s="667"/>
      <c r="J147" s="666"/>
      <c r="K147" s="665"/>
      <c r="L147" s="665"/>
      <c r="M147" s="665"/>
    </row>
    <row r="148" spans="1:13" s="655" customFormat="1" ht="25.5" x14ac:dyDescent="0.25">
      <c r="A148" s="664" t="str">
        <f t="shared" ref="A148:A164" si="8">+CONCATENATE($A$147,".",TEXT(ROW(A2)-ROW($A$1),0))</f>
        <v>ECC2.2.1</v>
      </c>
      <c r="B148" s="663" t="s">
        <v>1118</v>
      </c>
      <c r="C148" s="662" t="s">
        <v>1126</v>
      </c>
      <c r="D148" s="672" t="s">
        <v>1127</v>
      </c>
      <c r="E148" s="672" t="str">
        <f>IF(VLOOKUP(D148,'EMBOP-CI_ITA'!$D$4:$D$250,1,FALSE)=D148,"YES","NO")</f>
        <v>YES</v>
      </c>
      <c r="F148" s="662" t="s">
        <v>345</v>
      </c>
      <c r="G148" s="661">
        <v>0</v>
      </c>
      <c r="H148" s="660"/>
      <c r="I148" s="659">
        <f t="shared" ref="I148:I164" si="9">+G148*H148</f>
        <v>0</v>
      </c>
      <c r="J148" s="658" t="s">
        <v>871</v>
      </c>
      <c r="K148" s="657" t="s">
        <v>1128</v>
      </c>
      <c r="L148" s="657" t="s">
        <v>873</v>
      </c>
      <c r="M148" s="665"/>
    </row>
    <row r="149" spans="1:13" s="655" customFormat="1" ht="25.5" x14ac:dyDescent="0.25">
      <c r="A149" s="664" t="str">
        <f t="shared" si="8"/>
        <v>ECC2.2.2</v>
      </c>
      <c r="B149" s="663" t="s">
        <v>1118</v>
      </c>
      <c r="C149" s="662" t="s">
        <v>1129</v>
      </c>
      <c r="D149" s="672" t="s">
        <v>1130</v>
      </c>
      <c r="E149" s="672" t="str">
        <f>IF(VLOOKUP(D149,'EMBOP-CI_ITA'!$D$4:$D$250,1,FALSE)=D149,"YES","NO")</f>
        <v>YES</v>
      </c>
      <c r="F149" s="662" t="s">
        <v>345</v>
      </c>
      <c r="G149" s="661">
        <v>0</v>
      </c>
      <c r="H149" s="660"/>
      <c r="I149" s="659">
        <f t="shared" si="9"/>
        <v>0</v>
      </c>
      <c r="J149" s="658" t="s">
        <v>871</v>
      </c>
      <c r="K149" s="657" t="s">
        <v>1128</v>
      </c>
      <c r="L149" s="657" t="s">
        <v>873</v>
      </c>
      <c r="M149" s="665"/>
    </row>
    <row r="150" spans="1:13" s="655" customFormat="1" ht="25.5" x14ac:dyDescent="0.25">
      <c r="A150" s="664" t="str">
        <f t="shared" si="8"/>
        <v>ECC2.2.3</v>
      </c>
      <c r="B150" s="663" t="s">
        <v>1118</v>
      </c>
      <c r="C150" s="662" t="s">
        <v>1131</v>
      </c>
      <c r="D150" s="672" t="s">
        <v>1132</v>
      </c>
      <c r="E150" s="672" t="str">
        <f>IF(VLOOKUP(D150,'EMBOP-CI_ITA'!$D$4:$D$250,1,FALSE)=D150,"YES","NO")</f>
        <v>YES</v>
      </c>
      <c r="F150" s="662" t="s">
        <v>345</v>
      </c>
      <c r="G150" s="661">
        <v>0</v>
      </c>
      <c r="H150" s="660"/>
      <c r="I150" s="659">
        <f t="shared" si="9"/>
        <v>0</v>
      </c>
      <c r="J150" s="658" t="s">
        <v>871</v>
      </c>
      <c r="K150" s="657" t="s">
        <v>1128</v>
      </c>
      <c r="L150" s="657" t="s">
        <v>873</v>
      </c>
      <c r="M150" s="665"/>
    </row>
    <row r="151" spans="1:13" s="655" customFormat="1" ht="25.5" x14ac:dyDescent="0.25">
      <c r="A151" s="664" t="str">
        <f t="shared" si="8"/>
        <v>ECC2.2.4</v>
      </c>
      <c r="B151" s="663" t="s">
        <v>1118</v>
      </c>
      <c r="C151" s="662" t="s">
        <v>1133</v>
      </c>
      <c r="D151" s="672" t="s">
        <v>1134</v>
      </c>
      <c r="E151" s="672" t="str">
        <f>IF(VLOOKUP(D151,'EMBOP-CI_ITA'!$D$4:$D$250,1,FALSE)=D151,"YES","NO")</f>
        <v>YES</v>
      </c>
      <c r="F151" s="662" t="s">
        <v>345</v>
      </c>
      <c r="G151" s="661">
        <v>0</v>
      </c>
      <c r="H151" s="660"/>
      <c r="I151" s="659">
        <f t="shared" si="9"/>
        <v>0</v>
      </c>
      <c r="J151" s="658" t="s">
        <v>871</v>
      </c>
      <c r="K151" s="657" t="s">
        <v>1128</v>
      </c>
      <c r="L151" s="657" t="s">
        <v>873</v>
      </c>
      <c r="M151" s="665"/>
    </row>
    <row r="152" spans="1:13" s="655" customFormat="1" ht="25.5" x14ac:dyDescent="0.25">
      <c r="A152" s="664" t="str">
        <f t="shared" si="8"/>
        <v>ECC2.2.5</v>
      </c>
      <c r="B152" s="663" t="s">
        <v>1118</v>
      </c>
      <c r="C152" s="662" t="s">
        <v>1135</v>
      </c>
      <c r="D152" s="672" t="s">
        <v>1136</v>
      </c>
      <c r="E152" s="672" t="str">
        <f>IF(VLOOKUP(D152,'EMBOP-CI_ITA'!$D$4:$D$250,1,FALSE)=D152,"YES","NO")</f>
        <v>YES</v>
      </c>
      <c r="F152" s="662" t="s">
        <v>345</v>
      </c>
      <c r="G152" s="661">
        <v>0</v>
      </c>
      <c r="H152" s="660"/>
      <c r="I152" s="659">
        <f t="shared" si="9"/>
        <v>0</v>
      </c>
      <c r="J152" s="658" t="s">
        <v>871</v>
      </c>
      <c r="K152" s="657" t="s">
        <v>1128</v>
      </c>
      <c r="L152" s="657" t="s">
        <v>873</v>
      </c>
      <c r="M152" s="665"/>
    </row>
    <row r="153" spans="1:13" s="655" customFormat="1" ht="25.5" x14ac:dyDescent="0.25">
      <c r="A153" s="664" t="str">
        <f t="shared" si="8"/>
        <v>ECC2.2.6</v>
      </c>
      <c r="B153" s="663" t="s">
        <v>1118</v>
      </c>
      <c r="C153" s="662" t="s">
        <v>1137</v>
      </c>
      <c r="D153" s="672" t="s">
        <v>1138</v>
      </c>
      <c r="E153" s="672" t="str">
        <f>IF(VLOOKUP(D153,'EMBOP-CI_ITA'!$D$4:$D$250,1,FALSE)=D153,"YES","NO")</f>
        <v>YES</v>
      </c>
      <c r="F153" s="662" t="s">
        <v>345</v>
      </c>
      <c r="G153" s="661">
        <v>0</v>
      </c>
      <c r="H153" s="660"/>
      <c r="I153" s="659">
        <f t="shared" si="9"/>
        <v>0</v>
      </c>
      <c r="J153" s="658" t="s">
        <v>871</v>
      </c>
      <c r="K153" s="657" t="s">
        <v>1128</v>
      </c>
      <c r="L153" s="657" t="s">
        <v>873</v>
      </c>
      <c r="M153" s="665"/>
    </row>
    <row r="154" spans="1:13" s="655" customFormat="1" ht="25.5" x14ac:dyDescent="0.25">
      <c r="A154" s="664" t="str">
        <f t="shared" si="8"/>
        <v>ECC2.2.7</v>
      </c>
      <c r="B154" s="663" t="s">
        <v>1118</v>
      </c>
      <c r="C154" s="662" t="s">
        <v>1139</v>
      </c>
      <c r="D154" s="672" t="s">
        <v>1140</v>
      </c>
      <c r="E154" s="672" t="str">
        <f>IF(VLOOKUP(D154,'EMBOP-CI_ITA'!$D$4:$D$250,1,FALSE)=D154,"YES","NO")</f>
        <v>YES</v>
      </c>
      <c r="F154" s="662" t="s">
        <v>345</v>
      </c>
      <c r="G154" s="661">
        <v>0</v>
      </c>
      <c r="H154" s="660"/>
      <c r="I154" s="659">
        <f t="shared" si="9"/>
        <v>0</v>
      </c>
      <c r="J154" s="658" t="s">
        <v>871</v>
      </c>
      <c r="K154" s="657" t="s">
        <v>1128</v>
      </c>
      <c r="L154" s="657" t="s">
        <v>873</v>
      </c>
      <c r="M154" s="665"/>
    </row>
    <row r="155" spans="1:13" s="655" customFormat="1" ht="25.5" x14ac:dyDescent="0.25">
      <c r="A155" s="664" t="str">
        <f t="shared" si="8"/>
        <v>ECC2.2.8</v>
      </c>
      <c r="B155" s="663" t="s">
        <v>1118</v>
      </c>
      <c r="C155" s="662" t="s">
        <v>1141</v>
      </c>
      <c r="D155" s="672" t="s">
        <v>1142</v>
      </c>
      <c r="E155" s="672" t="str">
        <f>IF(VLOOKUP(D155,'EMBOP-CI_ITA'!$D$4:$D$250,1,FALSE)=D155,"YES","NO")</f>
        <v>YES</v>
      </c>
      <c r="F155" s="662" t="s">
        <v>345</v>
      </c>
      <c r="G155" s="661">
        <v>0</v>
      </c>
      <c r="H155" s="660"/>
      <c r="I155" s="659">
        <f t="shared" si="9"/>
        <v>0</v>
      </c>
      <c r="J155" s="658" t="s">
        <v>871</v>
      </c>
      <c r="K155" s="657" t="s">
        <v>1128</v>
      </c>
      <c r="L155" s="657" t="s">
        <v>873</v>
      </c>
      <c r="M155" s="665"/>
    </row>
    <row r="156" spans="1:13" s="655" customFormat="1" ht="25.5" x14ac:dyDescent="0.25">
      <c r="A156" s="664" t="str">
        <f t="shared" si="8"/>
        <v>ECC2.2.9</v>
      </c>
      <c r="B156" s="663" t="s">
        <v>1118</v>
      </c>
      <c r="C156" s="662" t="s">
        <v>1143</v>
      </c>
      <c r="D156" s="672" t="s">
        <v>1144</v>
      </c>
      <c r="E156" s="672" t="str">
        <f>IF(VLOOKUP(D156,'EMBOP-CI_ITA'!$D$4:$D$250,1,FALSE)=D156,"YES","NO")</f>
        <v>YES</v>
      </c>
      <c r="F156" s="662" t="s">
        <v>345</v>
      </c>
      <c r="G156" s="661">
        <v>0</v>
      </c>
      <c r="H156" s="660"/>
      <c r="I156" s="659">
        <f t="shared" si="9"/>
        <v>0</v>
      </c>
      <c r="J156" s="658" t="s">
        <v>871</v>
      </c>
      <c r="K156" s="657" t="s">
        <v>1128</v>
      </c>
      <c r="L156" s="657" t="s">
        <v>873</v>
      </c>
      <c r="M156" s="665"/>
    </row>
    <row r="157" spans="1:13" s="655" customFormat="1" ht="25.5" x14ac:dyDescent="0.25">
      <c r="A157" s="664" t="str">
        <f t="shared" si="8"/>
        <v>ECC2.2.10</v>
      </c>
      <c r="B157" s="663" t="s">
        <v>1118</v>
      </c>
      <c r="C157" s="662" t="s">
        <v>1145</v>
      </c>
      <c r="D157" s="672" t="s">
        <v>1146</v>
      </c>
      <c r="E157" s="672" t="str">
        <f>IF(VLOOKUP(D157,'EMBOP-CI_ITA'!$D$4:$D$250,1,FALSE)=D157,"YES","NO")</f>
        <v>YES</v>
      </c>
      <c r="F157" s="662" t="s">
        <v>345</v>
      </c>
      <c r="G157" s="661">
        <v>0</v>
      </c>
      <c r="H157" s="660"/>
      <c r="I157" s="659">
        <f t="shared" si="9"/>
        <v>0</v>
      </c>
      <c r="J157" s="658" t="s">
        <v>871</v>
      </c>
      <c r="K157" s="657" t="s">
        <v>1128</v>
      </c>
      <c r="L157" s="657" t="s">
        <v>873</v>
      </c>
      <c r="M157" s="665"/>
    </row>
    <row r="158" spans="1:13" s="655" customFormat="1" ht="25.5" x14ac:dyDescent="0.25">
      <c r="A158" s="664" t="str">
        <f t="shared" si="8"/>
        <v>ECC2.2.11</v>
      </c>
      <c r="B158" s="663" t="s">
        <v>1118</v>
      </c>
      <c r="C158" s="662" t="s">
        <v>1147</v>
      </c>
      <c r="D158" s="672" t="s">
        <v>1148</v>
      </c>
      <c r="E158" s="672" t="str">
        <f>IF(VLOOKUP(D158,'EMBOP-CI_ITA'!$D$4:$D$250,1,FALSE)=D158,"YES","NO")</f>
        <v>YES</v>
      </c>
      <c r="F158" s="662" t="s">
        <v>345</v>
      </c>
      <c r="G158" s="661">
        <v>0</v>
      </c>
      <c r="H158" s="660"/>
      <c r="I158" s="659">
        <f t="shared" si="9"/>
        <v>0</v>
      </c>
      <c r="J158" s="658" t="s">
        <v>871</v>
      </c>
      <c r="K158" s="657" t="s">
        <v>1128</v>
      </c>
      <c r="L158" s="657" t="s">
        <v>873</v>
      </c>
      <c r="M158" s="665"/>
    </row>
    <row r="159" spans="1:13" s="655" customFormat="1" ht="25.5" x14ac:dyDescent="0.25">
      <c r="A159" s="664" t="str">
        <f t="shared" si="8"/>
        <v>ECC2.2.12</v>
      </c>
      <c r="B159" s="663" t="s">
        <v>1118</v>
      </c>
      <c r="C159" s="662" t="s">
        <v>1149</v>
      </c>
      <c r="D159" s="672" t="s">
        <v>1150</v>
      </c>
      <c r="E159" s="672" t="str">
        <f>IF(VLOOKUP(D159,'EMBOP-CI_ITA'!$D$4:$D$250,1,FALSE)=D159,"YES","NO")</f>
        <v>YES</v>
      </c>
      <c r="F159" s="662" t="s">
        <v>345</v>
      </c>
      <c r="G159" s="661">
        <v>0</v>
      </c>
      <c r="H159" s="660"/>
      <c r="I159" s="659">
        <f t="shared" si="9"/>
        <v>0</v>
      </c>
      <c r="J159" s="658" t="s">
        <v>871</v>
      </c>
      <c r="K159" s="657" t="s">
        <v>1128</v>
      </c>
      <c r="L159" s="657" t="s">
        <v>873</v>
      </c>
      <c r="M159" s="665"/>
    </row>
    <row r="160" spans="1:13" s="655" customFormat="1" ht="25.5" x14ac:dyDescent="0.25">
      <c r="A160" s="664" t="str">
        <f t="shared" si="8"/>
        <v>ECC2.2.13</v>
      </c>
      <c r="B160" s="663" t="s">
        <v>1118</v>
      </c>
      <c r="C160" s="662" t="s">
        <v>1151</v>
      </c>
      <c r="D160" s="672" t="s">
        <v>1152</v>
      </c>
      <c r="E160" s="672" t="str">
        <f>IF(VLOOKUP(D160,'EMBOP-CI_ITA'!$D$4:$D$250,1,FALSE)=D160,"YES","NO")</f>
        <v>YES</v>
      </c>
      <c r="F160" s="662" t="s">
        <v>345</v>
      </c>
      <c r="G160" s="661">
        <v>0</v>
      </c>
      <c r="H160" s="660"/>
      <c r="I160" s="659">
        <f t="shared" si="9"/>
        <v>0</v>
      </c>
      <c r="J160" s="658" t="s">
        <v>871</v>
      </c>
      <c r="K160" s="657" t="s">
        <v>1128</v>
      </c>
      <c r="L160" s="657" t="s">
        <v>873</v>
      </c>
      <c r="M160" s="665"/>
    </row>
    <row r="161" spans="1:13" s="655" customFormat="1" ht="25.5" x14ac:dyDescent="0.25">
      <c r="A161" s="664" t="str">
        <f t="shared" si="8"/>
        <v>ECC2.2.14</v>
      </c>
      <c r="B161" s="663" t="s">
        <v>1118</v>
      </c>
      <c r="C161" s="662" t="s">
        <v>1153</v>
      </c>
      <c r="D161" s="672" t="s">
        <v>1154</v>
      </c>
      <c r="E161" s="672" t="str">
        <f>IF(VLOOKUP(D161,'EMBOP-CI_ITA'!$D$4:$D$250,1,FALSE)=D161,"YES","NO")</f>
        <v>YES</v>
      </c>
      <c r="F161" s="662" t="s">
        <v>345</v>
      </c>
      <c r="G161" s="661">
        <v>0</v>
      </c>
      <c r="H161" s="660"/>
      <c r="I161" s="659">
        <f t="shared" si="9"/>
        <v>0</v>
      </c>
      <c r="J161" s="658" t="s">
        <v>871</v>
      </c>
      <c r="K161" s="657" t="s">
        <v>1128</v>
      </c>
      <c r="L161" s="657" t="s">
        <v>873</v>
      </c>
      <c r="M161" s="665"/>
    </row>
    <row r="162" spans="1:13" s="655" customFormat="1" ht="25.5" x14ac:dyDescent="0.25">
      <c r="A162" s="664" t="str">
        <f t="shared" si="8"/>
        <v>ECC2.2.15</v>
      </c>
      <c r="B162" s="663" t="s">
        <v>1118</v>
      </c>
      <c r="C162" s="662" t="s">
        <v>1155</v>
      </c>
      <c r="D162" s="672" t="s">
        <v>1156</v>
      </c>
      <c r="E162" s="672" t="str">
        <f>IF(VLOOKUP(D162,'EMBOP-CI_ITA'!$D$4:$D$250,1,FALSE)=D162,"YES","NO")</f>
        <v>YES</v>
      </c>
      <c r="F162" s="662" t="s">
        <v>345</v>
      </c>
      <c r="G162" s="661">
        <v>0</v>
      </c>
      <c r="H162" s="660"/>
      <c r="I162" s="659">
        <f t="shared" si="9"/>
        <v>0</v>
      </c>
      <c r="J162" s="658" t="s">
        <v>871</v>
      </c>
      <c r="K162" s="657" t="s">
        <v>1128</v>
      </c>
      <c r="L162" s="657" t="s">
        <v>873</v>
      </c>
      <c r="M162" s="665"/>
    </row>
    <row r="163" spans="1:13" s="655" customFormat="1" ht="25.5" x14ac:dyDescent="0.25">
      <c r="A163" s="664" t="str">
        <f t="shared" si="8"/>
        <v>ECC2.2.16</v>
      </c>
      <c r="B163" s="663" t="s">
        <v>1118</v>
      </c>
      <c r="C163" s="662" t="s">
        <v>1157</v>
      </c>
      <c r="D163" s="672" t="s">
        <v>1158</v>
      </c>
      <c r="E163" s="672" t="str">
        <f>IF(VLOOKUP(D163,'EMBOP-CI_ITA'!$D$4:$D$250,1,FALSE)=D163,"YES","NO")</f>
        <v>YES</v>
      </c>
      <c r="F163" s="662" t="s">
        <v>345</v>
      </c>
      <c r="G163" s="661">
        <v>0</v>
      </c>
      <c r="H163" s="660"/>
      <c r="I163" s="659">
        <f t="shared" si="9"/>
        <v>0</v>
      </c>
      <c r="J163" s="658" t="s">
        <v>871</v>
      </c>
      <c r="K163" s="657" t="s">
        <v>1128</v>
      </c>
      <c r="L163" s="657" t="s">
        <v>873</v>
      </c>
      <c r="M163" s="665"/>
    </row>
    <row r="164" spans="1:13" s="655" customFormat="1" ht="25.5" x14ac:dyDescent="0.25">
      <c r="A164" s="664" t="str">
        <f t="shared" si="8"/>
        <v>ECC2.2.17</v>
      </c>
      <c r="B164" s="663" t="s">
        <v>1118</v>
      </c>
      <c r="C164" s="662" t="s">
        <v>1159</v>
      </c>
      <c r="D164" s="672" t="s">
        <v>1160</v>
      </c>
      <c r="E164" s="672" t="str">
        <f>IF(VLOOKUP(D164,'EMBOP-CI_ITA'!$D$4:$D$250,1,FALSE)=D164,"YES","NO")</f>
        <v>YES</v>
      </c>
      <c r="F164" s="662" t="s">
        <v>345</v>
      </c>
      <c r="G164" s="661">
        <v>0</v>
      </c>
      <c r="H164" s="660"/>
      <c r="I164" s="659">
        <f t="shared" si="9"/>
        <v>0</v>
      </c>
      <c r="J164" s="658" t="s">
        <v>871</v>
      </c>
      <c r="K164" s="657" t="s">
        <v>1128</v>
      </c>
      <c r="L164" s="657" t="s">
        <v>873</v>
      </c>
      <c r="M164" s="665"/>
    </row>
    <row r="165" spans="1:13" s="655" customFormat="1" ht="12.75" x14ac:dyDescent="0.25">
      <c r="A165" s="671" t="s">
        <v>1161</v>
      </c>
      <c r="B165" s="670"/>
      <c r="C165" s="669" t="s">
        <v>1162</v>
      </c>
      <c r="D165" s="670" t="s">
        <v>1163</v>
      </c>
      <c r="E165" s="670" t="str">
        <f>IF(VLOOKUP(D165,'EMBOP-CI_ITA'!$D$4:$D$250,1,FALSE)=D165,"YES","NO")</f>
        <v>YES</v>
      </c>
      <c r="F165" s="669"/>
      <c r="G165" s="669"/>
      <c r="H165" s="674"/>
      <c r="I165" s="674"/>
      <c r="J165" s="674"/>
      <c r="K165" s="665"/>
      <c r="L165" s="665"/>
      <c r="M165" s="665"/>
    </row>
    <row r="166" spans="1:13" s="655" customFormat="1" ht="25.5" x14ac:dyDescent="0.25">
      <c r="A166" s="664" t="str">
        <f t="shared" ref="A166:A171" si="10">+CONCATENATE($A$165,".",TEXT(ROW(A2)-ROW($A$1),0))</f>
        <v>ECC2.3.1</v>
      </c>
      <c r="B166" s="663" t="s">
        <v>1118</v>
      </c>
      <c r="C166" s="662" t="s">
        <v>1164</v>
      </c>
      <c r="D166" s="672" t="s">
        <v>1165</v>
      </c>
      <c r="E166" s="672" t="str">
        <f>IF(VLOOKUP(D166,'EMBOP-CI_ITA'!$D$4:$D$250,1,FALSE)=D166,"YES","NO")</f>
        <v>YES</v>
      </c>
      <c r="F166" s="662" t="s">
        <v>345</v>
      </c>
      <c r="G166" s="661">
        <v>0</v>
      </c>
      <c r="H166" s="660"/>
      <c r="I166" s="659">
        <f t="shared" ref="I166:I171" si="11">+G166*H166</f>
        <v>0</v>
      </c>
      <c r="J166" s="658" t="s">
        <v>871</v>
      </c>
      <c r="K166" s="657" t="s">
        <v>1128</v>
      </c>
      <c r="L166" s="657" t="s">
        <v>873</v>
      </c>
      <c r="M166" s="656"/>
    </row>
    <row r="167" spans="1:13" s="655" customFormat="1" ht="25.5" x14ac:dyDescent="0.25">
      <c r="A167" s="664" t="str">
        <f t="shared" si="10"/>
        <v>ECC2.3.2</v>
      </c>
      <c r="B167" s="663" t="s">
        <v>1118</v>
      </c>
      <c r="C167" s="662" t="s">
        <v>1166</v>
      </c>
      <c r="D167" s="672" t="s">
        <v>1167</v>
      </c>
      <c r="E167" s="672" t="str">
        <f>IF(VLOOKUP(D167,'EMBOP-CI_ITA'!$D$4:$D$250,1,FALSE)=D167,"YES","NO")</f>
        <v>YES</v>
      </c>
      <c r="F167" s="662" t="s">
        <v>345</v>
      </c>
      <c r="G167" s="661">
        <v>0</v>
      </c>
      <c r="H167" s="660"/>
      <c r="I167" s="659">
        <f t="shared" si="11"/>
        <v>0</v>
      </c>
      <c r="J167" s="658" t="s">
        <v>871</v>
      </c>
      <c r="K167" s="657" t="s">
        <v>1128</v>
      </c>
      <c r="L167" s="657" t="s">
        <v>873</v>
      </c>
      <c r="M167" s="656"/>
    </row>
    <row r="168" spans="1:13" s="655" customFormat="1" ht="25.5" x14ac:dyDescent="0.25">
      <c r="A168" s="664" t="str">
        <f t="shared" si="10"/>
        <v>ECC2.3.3</v>
      </c>
      <c r="B168" s="663" t="s">
        <v>1118</v>
      </c>
      <c r="C168" s="662" t="s">
        <v>1168</v>
      </c>
      <c r="D168" s="672" t="s">
        <v>1169</v>
      </c>
      <c r="E168" s="672" t="str">
        <f>IF(VLOOKUP(D168,'EMBOP-CI_ITA'!$D$4:$D$250,1,FALSE)=D168,"YES","NO")</f>
        <v>YES</v>
      </c>
      <c r="F168" s="662" t="s">
        <v>345</v>
      </c>
      <c r="G168" s="661">
        <v>0</v>
      </c>
      <c r="H168" s="660"/>
      <c r="I168" s="659">
        <f t="shared" si="11"/>
        <v>0</v>
      </c>
      <c r="J168" s="658" t="s">
        <v>871</v>
      </c>
      <c r="K168" s="657" t="s">
        <v>1128</v>
      </c>
      <c r="L168" s="657" t="s">
        <v>873</v>
      </c>
      <c r="M168" s="656"/>
    </row>
    <row r="169" spans="1:13" s="655" customFormat="1" ht="25.5" x14ac:dyDescent="0.25">
      <c r="A169" s="664" t="str">
        <f t="shared" si="10"/>
        <v>ECC2.3.4</v>
      </c>
      <c r="B169" s="663" t="s">
        <v>1118</v>
      </c>
      <c r="C169" s="662" t="s">
        <v>1170</v>
      </c>
      <c r="D169" s="672" t="s">
        <v>1171</v>
      </c>
      <c r="E169" s="672" t="str">
        <f>IF(VLOOKUP(D169,'EMBOP-CI_ITA'!$D$4:$D$250,1,FALSE)=D169,"YES","NO")</f>
        <v>YES</v>
      </c>
      <c r="F169" s="662" t="s">
        <v>345</v>
      </c>
      <c r="G169" s="661">
        <v>0</v>
      </c>
      <c r="H169" s="660"/>
      <c r="I169" s="659">
        <f t="shared" si="11"/>
        <v>0</v>
      </c>
      <c r="J169" s="658" t="s">
        <v>871</v>
      </c>
      <c r="K169" s="657" t="s">
        <v>1128</v>
      </c>
      <c r="L169" s="657" t="s">
        <v>873</v>
      </c>
      <c r="M169" s="656"/>
    </row>
    <row r="170" spans="1:13" s="655" customFormat="1" ht="25.5" x14ac:dyDescent="0.25">
      <c r="A170" s="664" t="str">
        <f t="shared" si="10"/>
        <v>ECC2.3.5</v>
      </c>
      <c r="B170" s="663" t="s">
        <v>1118</v>
      </c>
      <c r="C170" s="662" t="s">
        <v>1172</v>
      </c>
      <c r="D170" s="672" t="s">
        <v>1173</v>
      </c>
      <c r="E170" s="672" t="str">
        <f>IF(VLOOKUP(D170,'EMBOP-CI_ITA'!$D$4:$D$250,1,FALSE)=D170,"YES","NO")</f>
        <v>YES</v>
      </c>
      <c r="F170" s="662" t="s">
        <v>345</v>
      </c>
      <c r="G170" s="661">
        <v>0</v>
      </c>
      <c r="H170" s="660"/>
      <c r="I170" s="659">
        <f t="shared" si="11"/>
        <v>0</v>
      </c>
      <c r="J170" s="658" t="s">
        <v>871</v>
      </c>
      <c r="K170" s="657" t="s">
        <v>1128</v>
      </c>
      <c r="L170" s="657" t="s">
        <v>873</v>
      </c>
      <c r="M170" s="656"/>
    </row>
    <row r="171" spans="1:13" s="655" customFormat="1" ht="26.25" customHeight="1" x14ac:dyDescent="0.25">
      <c r="A171" s="664" t="str">
        <f t="shared" si="10"/>
        <v>ECC2.3.6</v>
      </c>
      <c r="B171" s="663" t="s">
        <v>1118</v>
      </c>
      <c r="C171" s="662" t="s">
        <v>1174</v>
      </c>
      <c r="D171" s="672" t="s">
        <v>1175</v>
      </c>
      <c r="E171" s="672" t="str">
        <f>IF(VLOOKUP(D171,'EMBOP-CI_ITA'!$D$4:$D$250,1,FALSE)=D171,"YES","NO")</f>
        <v>YES</v>
      </c>
      <c r="F171" s="662" t="s">
        <v>345</v>
      </c>
      <c r="G171" s="661">
        <v>0</v>
      </c>
      <c r="H171" s="660"/>
      <c r="I171" s="659">
        <f t="shared" si="11"/>
        <v>0</v>
      </c>
      <c r="J171" s="658" t="s">
        <v>871</v>
      </c>
      <c r="K171" s="657" t="s">
        <v>1128</v>
      </c>
      <c r="L171" s="657" t="s">
        <v>873</v>
      </c>
      <c r="M171" s="656"/>
    </row>
    <row r="172" spans="1:13" s="655" customFormat="1" ht="12.75" x14ac:dyDescent="0.25">
      <c r="A172" s="671" t="s">
        <v>1176</v>
      </c>
      <c r="B172" s="670"/>
      <c r="C172" s="669" t="s">
        <v>1177</v>
      </c>
      <c r="D172" s="670" t="s">
        <v>1178</v>
      </c>
      <c r="E172" s="670" t="str">
        <f>IF(VLOOKUP(D172,'EMBOP-CI_ITA'!$D$4:$D$250,1,FALSE)=D172,"YES","NO")</f>
        <v>YES</v>
      </c>
      <c r="F172" s="669"/>
      <c r="G172" s="668"/>
      <c r="H172" s="667"/>
      <c r="I172" s="667"/>
      <c r="J172" s="666"/>
      <c r="K172" s="665"/>
      <c r="L172" s="665"/>
      <c r="M172" s="665"/>
    </row>
    <row r="173" spans="1:13" s="655" customFormat="1" ht="25.5" x14ac:dyDescent="0.25">
      <c r="A173" s="664" t="str">
        <f t="shared" ref="A173:A178" si="12">+CONCATENATE($A$172,".",TEXT(ROW(A2)-ROW($A$1),0))</f>
        <v>ECC2.4.1</v>
      </c>
      <c r="B173" s="663" t="s">
        <v>1118</v>
      </c>
      <c r="C173" s="673" t="s">
        <v>1179</v>
      </c>
      <c r="D173" s="672" t="s">
        <v>1180</v>
      </c>
      <c r="E173" s="672" t="str">
        <f>IF(VLOOKUP(D173,'EMBOP-CI_ITA'!$D$4:$D$250,1,FALSE)=D173,"YES","NO")</f>
        <v>YES</v>
      </c>
      <c r="F173" s="662" t="s">
        <v>345</v>
      </c>
      <c r="G173" s="661">
        <v>0</v>
      </c>
      <c r="H173" s="660"/>
      <c r="I173" s="659">
        <f t="shared" ref="I173:I186" si="13">+G173*H173</f>
        <v>0</v>
      </c>
      <c r="J173" s="658" t="s">
        <v>871</v>
      </c>
      <c r="K173" s="657" t="s">
        <v>1128</v>
      </c>
      <c r="L173" s="657" t="s">
        <v>873</v>
      </c>
      <c r="M173" s="656"/>
    </row>
    <row r="174" spans="1:13" s="655" customFormat="1" ht="25.5" x14ac:dyDescent="0.25">
      <c r="A174" s="664" t="str">
        <f t="shared" si="12"/>
        <v>ECC2.4.2</v>
      </c>
      <c r="B174" s="663" t="s">
        <v>1118</v>
      </c>
      <c r="C174" s="673" t="s">
        <v>1181</v>
      </c>
      <c r="D174" s="672" t="s">
        <v>1182</v>
      </c>
      <c r="E174" s="672" t="str">
        <f>IF(VLOOKUP(D174,'EMBOP-CI_ITA'!$D$4:$D$250,1,FALSE)=D174,"YES","NO")</f>
        <v>YES</v>
      </c>
      <c r="F174" s="662" t="s">
        <v>345</v>
      </c>
      <c r="G174" s="661">
        <v>0</v>
      </c>
      <c r="H174" s="660"/>
      <c r="I174" s="659">
        <f t="shared" si="13"/>
        <v>0</v>
      </c>
      <c r="J174" s="658" t="s">
        <v>871</v>
      </c>
      <c r="K174" s="657" t="s">
        <v>1128</v>
      </c>
      <c r="L174" s="657" t="s">
        <v>873</v>
      </c>
      <c r="M174" s="656"/>
    </row>
    <row r="175" spans="1:13" s="655" customFormat="1" ht="25.5" x14ac:dyDescent="0.25">
      <c r="A175" s="664" t="str">
        <f t="shared" si="12"/>
        <v>ECC2.4.3</v>
      </c>
      <c r="B175" s="663" t="s">
        <v>1118</v>
      </c>
      <c r="C175" s="673" t="s">
        <v>1183</v>
      </c>
      <c r="D175" s="672" t="s">
        <v>1184</v>
      </c>
      <c r="E175" s="672" t="str">
        <f>IF(VLOOKUP(D175,'EMBOP-CI_ITA'!$D$4:$D$250,1,FALSE)=D175,"YES","NO")</f>
        <v>YES</v>
      </c>
      <c r="F175" s="662" t="s">
        <v>345</v>
      </c>
      <c r="G175" s="661">
        <v>0</v>
      </c>
      <c r="H175" s="660"/>
      <c r="I175" s="659">
        <f t="shared" si="13"/>
        <v>0</v>
      </c>
      <c r="J175" s="658" t="s">
        <v>871</v>
      </c>
      <c r="K175" s="657" t="s">
        <v>1128</v>
      </c>
      <c r="L175" s="657" t="s">
        <v>873</v>
      </c>
      <c r="M175" s="656"/>
    </row>
    <row r="176" spans="1:13" s="655" customFormat="1" ht="25.5" x14ac:dyDescent="0.25">
      <c r="A176" s="664" t="str">
        <f t="shared" si="12"/>
        <v>ECC2.4.4</v>
      </c>
      <c r="B176" s="663" t="s">
        <v>1118</v>
      </c>
      <c r="C176" s="673" t="s">
        <v>1185</v>
      </c>
      <c r="D176" s="672" t="s">
        <v>1186</v>
      </c>
      <c r="E176" s="672" t="str">
        <f>IF(VLOOKUP(D176,'EMBOP-CI_ITA'!$D$4:$D$250,1,FALSE)=D176,"YES","NO")</f>
        <v>YES</v>
      </c>
      <c r="F176" s="662" t="s">
        <v>345</v>
      </c>
      <c r="G176" s="661">
        <v>0</v>
      </c>
      <c r="H176" s="660"/>
      <c r="I176" s="659">
        <f t="shared" si="13"/>
        <v>0</v>
      </c>
      <c r="J176" s="658" t="s">
        <v>871</v>
      </c>
      <c r="K176" s="657" t="s">
        <v>1128</v>
      </c>
      <c r="L176" s="657" t="s">
        <v>873</v>
      </c>
      <c r="M176" s="656"/>
    </row>
    <row r="177" spans="1:13" s="655" customFormat="1" ht="25.5" x14ac:dyDescent="0.25">
      <c r="A177" s="664" t="str">
        <f t="shared" si="12"/>
        <v>ECC2.4.5</v>
      </c>
      <c r="B177" s="663" t="s">
        <v>1118</v>
      </c>
      <c r="C177" s="673" t="s">
        <v>1187</v>
      </c>
      <c r="D177" s="672" t="s">
        <v>1188</v>
      </c>
      <c r="E177" s="672" t="str">
        <f>IF(VLOOKUP(D177,'EMBOP-CI_ITA'!$D$4:$D$250,1,FALSE)=D177,"YES","NO")</f>
        <v>YES</v>
      </c>
      <c r="F177" s="662" t="s">
        <v>345</v>
      </c>
      <c r="G177" s="661">
        <v>0</v>
      </c>
      <c r="H177" s="660"/>
      <c r="I177" s="659">
        <f t="shared" si="13"/>
        <v>0</v>
      </c>
      <c r="J177" s="658" t="s">
        <v>871</v>
      </c>
      <c r="K177" s="657" t="s">
        <v>1128</v>
      </c>
      <c r="L177" s="657" t="s">
        <v>873</v>
      </c>
      <c r="M177" s="656"/>
    </row>
    <row r="178" spans="1:13" s="655" customFormat="1" ht="25.5" x14ac:dyDescent="0.25">
      <c r="A178" s="664" t="str">
        <f t="shared" si="12"/>
        <v>ECC2.4.6</v>
      </c>
      <c r="B178" s="663" t="s">
        <v>1118</v>
      </c>
      <c r="C178" s="673" t="s">
        <v>1189</v>
      </c>
      <c r="D178" s="672" t="s">
        <v>1190</v>
      </c>
      <c r="E178" s="672" t="str">
        <f>IF(VLOOKUP(D178,'EMBOP-CI_ITA'!$D$4:$D$250,1,FALSE)=D178,"YES","NO")</f>
        <v>YES</v>
      </c>
      <c r="F178" s="662" t="s">
        <v>345</v>
      </c>
      <c r="G178" s="661">
        <v>0</v>
      </c>
      <c r="H178" s="660"/>
      <c r="I178" s="659">
        <f t="shared" si="13"/>
        <v>0</v>
      </c>
      <c r="J178" s="658" t="s">
        <v>871</v>
      </c>
      <c r="K178" s="657" t="s">
        <v>1128</v>
      </c>
      <c r="L178" s="657" t="s">
        <v>873</v>
      </c>
      <c r="M178" s="656"/>
    </row>
    <row r="179" spans="1:13" s="655" customFormat="1" ht="26.25" customHeight="1" x14ac:dyDescent="0.25">
      <c r="A179" s="664" t="str">
        <f>+CONCATENATE($A$172,".",TEXT(ROW(A9)-ROW($A$1),0))</f>
        <v>ECC2.4.8</v>
      </c>
      <c r="B179" s="663" t="s">
        <v>1118</v>
      </c>
      <c r="C179" s="673" t="s">
        <v>1191</v>
      </c>
      <c r="D179" s="672" t="s">
        <v>1192</v>
      </c>
      <c r="E179" s="672" t="str">
        <f>IF(VLOOKUP(D179,'EMBOP-CI_ITA'!$D$4:$D$250,1,FALSE)=D179,"YES","NO")</f>
        <v>YES</v>
      </c>
      <c r="F179" s="662" t="s">
        <v>345</v>
      </c>
      <c r="G179" s="661">
        <v>0</v>
      </c>
      <c r="H179" s="660"/>
      <c r="I179" s="659">
        <f t="shared" si="13"/>
        <v>0</v>
      </c>
      <c r="J179" s="658" t="s">
        <v>871</v>
      </c>
      <c r="K179" s="657" t="s">
        <v>1128</v>
      </c>
      <c r="L179" s="657" t="s">
        <v>873</v>
      </c>
      <c r="M179" s="656"/>
    </row>
    <row r="180" spans="1:13" s="655" customFormat="1" ht="25.5" x14ac:dyDescent="0.25">
      <c r="A180" s="664" t="str">
        <f>+CONCATENATE($A$172,".",TEXT(ROW(A11)-ROW($A$1),0))</f>
        <v>ECC2.4.10</v>
      </c>
      <c r="B180" s="663" t="s">
        <v>1118</v>
      </c>
      <c r="C180" s="673" t="s">
        <v>1193</v>
      </c>
      <c r="D180" s="672" t="s">
        <v>1194</v>
      </c>
      <c r="E180" s="672" t="str">
        <f>IF(VLOOKUP(D180,'EMBOP-CI_ITA'!$D$4:$D$250,1,FALSE)=D180,"YES","NO")</f>
        <v>YES</v>
      </c>
      <c r="F180" s="662" t="s">
        <v>345</v>
      </c>
      <c r="G180" s="661">
        <v>0</v>
      </c>
      <c r="H180" s="660"/>
      <c r="I180" s="659">
        <f t="shared" si="13"/>
        <v>0</v>
      </c>
      <c r="J180" s="658" t="s">
        <v>871</v>
      </c>
      <c r="K180" s="657" t="s">
        <v>1128</v>
      </c>
      <c r="L180" s="657" t="s">
        <v>873</v>
      </c>
      <c r="M180" s="656"/>
    </row>
    <row r="181" spans="1:13" s="655" customFormat="1" ht="25.5" x14ac:dyDescent="0.25">
      <c r="A181" s="664" t="e">
        <f>+CONCATENATE($A$172,".",TEXT(ROW(#REF!)-ROW($A$1),0))</f>
        <v>#REF!</v>
      </c>
      <c r="B181" s="663" t="s">
        <v>1118</v>
      </c>
      <c r="C181" s="673" t="s">
        <v>1195</v>
      </c>
      <c r="D181" s="672" t="s">
        <v>1196</v>
      </c>
      <c r="E181" s="672" t="str">
        <f>IF(VLOOKUP(D181,'EMBOP-CI_ITA'!$D$4:$D$250,1,FALSE)=D181,"YES","NO")</f>
        <v>YES</v>
      </c>
      <c r="F181" s="662" t="s">
        <v>345</v>
      </c>
      <c r="G181" s="661">
        <v>0</v>
      </c>
      <c r="H181" s="660"/>
      <c r="I181" s="659">
        <f t="shared" si="13"/>
        <v>0</v>
      </c>
      <c r="J181" s="658" t="s">
        <v>871</v>
      </c>
      <c r="K181" s="657" t="s">
        <v>1128</v>
      </c>
      <c r="L181" s="657" t="s">
        <v>873</v>
      </c>
      <c r="M181" s="656"/>
    </row>
    <row r="182" spans="1:13" s="655" customFormat="1" ht="25.5" x14ac:dyDescent="0.25">
      <c r="A182" s="664" t="e">
        <f>+CONCATENATE($A$172,".",TEXT(ROW(#REF!)-ROW($A$1),0))</f>
        <v>#REF!</v>
      </c>
      <c r="B182" s="663" t="s">
        <v>1118</v>
      </c>
      <c r="C182" s="673" t="s">
        <v>1197</v>
      </c>
      <c r="D182" s="672" t="s">
        <v>1198</v>
      </c>
      <c r="E182" s="672" t="str">
        <f>IF(VLOOKUP(D182,'EMBOP-CI_ITA'!$D$4:$D$250,1,FALSE)=D182,"YES","NO")</f>
        <v>YES</v>
      </c>
      <c r="F182" s="662" t="s">
        <v>345</v>
      </c>
      <c r="G182" s="661">
        <v>0</v>
      </c>
      <c r="H182" s="660"/>
      <c r="I182" s="659">
        <f t="shared" si="13"/>
        <v>0</v>
      </c>
      <c r="J182" s="658" t="s">
        <v>871</v>
      </c>
      <c r="K182" s="657" t="s">
        <v>1128</v>
      </c>
      <c r="L182" s="657" t="s">
        <v>873</v>
      </c>
      <c r="M182" s="656"/>
    </row>
    <row r="183" spans="1:13" s="655" customFormat="1" ht="25.5" x14ac:dyDescent="0.25">
      <c r="A183" s="664" t="str">
        <f>+CONCATENATE($A$172,".",TEXT(ROW(A18)-ROW($A$1),0))</f>
        <v>ECC2.4.17</v>
      </c>
      <c r="B183" s="663" t="s">
        <v>1118</v>
      </c>
      <c r="C183" s="673" t="s">
        <v>1199</v>
      </c>
      <c r="D183" s="672" t="s">
        <v>1200</v>
      </c>
      <c r="E183" s="672" t="str">
        <f>IF(VLOOKUP(D183,'EMBOP-CI_ITA'!$D$4:$D$250,1,FALSE)=D183,"YES","NO")</f>
        <v>YES</v>
      </c>
      <c r="F183" s="662" t="s">
        <v>345</v>
      </c>
      <c r="G183" s="661">
        <v>0</v>
      </c>
      <c r="H183" s="660"/>
      <c r="I183" s="659">
        <f t="shared" si="13"/>
        <v>0</v>
      </c>
      <c r="J183" s="658" t="s">
        <v>871</v>
      </c>
      <c r="K183" s="657" t="s">
        <v>1128</v>
      </c>
      <c r="L183" s="657" t="s">
        <v>873</v>
      </c>
      <c r="M183" s="656"/>
    </row>
    <row r="184" spans="1:13" s="655" customFormat="1" ht="25.5" x14ac:dyDescent="0.25">
      <c r="A184" s="664" t="str">
        <f>+CONCATENATE($A$172,".",TEXT(ROW(A19)-ROW($A$1),0))</f>
        <v>ECC2.4.18</v>
      </c>
      <c r="B184" s="663" t="s">
        <v>1118</v>
      </c>
      <c r="C184" s="673" t="s">
        <v>1201</v>
      </c>
      <c r="D184" s="672" t="s">
        <v>1202</v>
      </c>
      <c r="E184" s="672" t="str">
        <f>IF(VLOOKUP(D184,'EMBOP-CI_ITA'!$D$4:$D$250,1,FALSE)=D184,"YES","NO")</f>
        <v>YES</v>
      </c>
      <c r="F184" s="662" t="s">
        <v>345</v>
      </c>
      <c r="G184" s="661">
        <v>0</v>
      </c>
      <c r="H184" s="660"/>
      <c r="I184" s="659">
        <f t="shared" si="13"/>
        <v>0</v>
      </c>
      <c r="J184" s="658" t="s">
        <v>871</v>
      </c>
      <c r="K184" s="657" t="s">
        <v>1128</v>
      </c>
      <c r="L184" s="657" t="s">
        <v>873</v>
      </c>
      <c r="M184" s="656"/>
    </row>
    <row r="185" spans="1:13" s="655" customFormat="1" ht="26.25" customHeight="1" x14ac:dyDescent="0.25">
      <c r="A185" s="664" t="e">
        <f>+CONCATENATE($A$172,".",TEXT(ROW(#REF!)-ROW($A$1),0))</f>
        <v>#REF!</v>
      </c>
      <c r="B185" s="663" t="s">
        <v>1118</v>
      </c>
      <c r="C185" s="673" t="s">
        <v>1203</v>
      </c>
      <c r="D185" s="672" t="s">
        <v>1204</v>
      </c>
      <c r="E185" s="672" t="str">
        <f>IF(VLOOKUP(D185,'EMBOP-CI_ITA'!$D$4:$D$250,1,FALSE)=D185,"YES","NO")</f>
        <v>YES</v>
      </c>
      <c r="F185" s="662" t="s">
        <v>345</v>
      </c>
      <c r="G185" s="661">
        <v>0</v>
      </c>
      <c r="H185" s="660"/>
      <c r="I185" s="659">
        <f t="shared" si="13"/>
        <v>0</v>
      </c>
      <c r="J185" s="658" t="s">
        <v>871</v>
      </c>
      <c r="K185" s="657" t="s">
        <v>1128</v>
      </c>
      <c r="L185" s="657" t="s">
        <v>873</v>
      </c>
      <c r="M185" s="656"/>
    </row>
    <row r="186" spans="1:13" s="655" customFormat="1" ht="26.25" customHeight="1" x14ac:dyDescent="0.25">
      <c r="A186" s="664" t="e">
        <f>+CONCATENATE($A$172,".",TEXT(ROW(#REF!)-ROW($A$1),0))</f>
        <v>#REF!</v>
      </c>
      <c r="B186" s="663" t="s">
        <v>1118</v>
      </c>
      <c r="C186" s="673" t="s">
        <v>1205</v>
      </c>
      <c r="D186" s="672" t="s">
        <v>1206</v>
      </c>
      <c r="E186" s="672" t="str">
        <f>IF(VLOOKUP(D186,'EMBOP-CI_ITA'!$D$4:$D$250,1,FALSE)=D186,"YES","NO")</f>
        <v>YES</v>
      </c>
      <c r="F186" s="662" t="s">
        <v>345</v>
      </c>
      <c r="G186" s="661">
        <v>0</v>
      </c>
      <c r="H186" s="660"/>
      <c r="I186" s="659">
        <f t="shared" si="13"/>
        <v>0</v>
      </c>
      <c r="J186" s="658" t="s">
        <v>871</v>
      </c>
      <c r="K186" s="657" t="s">
        <v>1128</v>
      </c>
      <c r="L186" s="657" t="s">
        <v>873</v>
      </c>
      <c r="M186" s="656"/>
    </row>
    <row r="187" spans="1:13" s="655" customFormat="1" ht="12.75" x14ac:dyDescent="0.25">
      <c r="A187" s="671" t="s">
        <v>1212</v>
      </c>
      <c r="B187" s="670"/>
      <c r="C187" s="669" t="s">
        <v>1342</v>
      </c>
      <c r="D187" s="670" t="s">
        <v>1214</v>
      </c>
      <c r="E187" s="670" t="str">
        <f>IF(VLOOKUP(D187,'EMBOP-CI_ITA'!$D$4:$D$250,1,FALSE)=D187,"YES","NO")</f>
        <v>YES</v>
      </c>
      <c r="F187" s="669"/>
      <c r="G187" s="668"/>
      <c r="H187" s="667"/>
      <c r="I187" s="667"/>
      <c r="J187" s="666"/>
      <c r="K187" s="665"/>
      <c r="L187" s="665"/>
      <c r="M187" s="665"/>
    </row>
    <row r="188" spans="1:13" s="655" customFormat="1" ht="25.5" x14ac:dyDescent="0.25">
      <c r="A188" s="664" t="str">
        <f>+CONCATENATE($A$187,".",TEXT(ROW(A2)-ROW($A$1),0))</f>
        <v>ECC2.24.2.1</v>
      </c>
      <c r="B188" s="663" t="s">
        <v>1118</v>
      </c>
      <c r="C188" s="662" t="s">
        <v>1215</v>
      </c>
      <c r="D188" s="663" t="s">
        <v>1216</v>
      </c>
      <c r="E188" s="663" t="str">
        <f>IF(VLOOKUP(D188,'EMBOP-CI_ITA'!$D$4:$D$250,1,FALSE)=D188,"YES","NO")</f>
        <v>YES</v>
      </c>
      <c r="F188" s="662" t="s">
        <v>1045</v>
      </c>
      <c r="G188" s="661">
        <v>0</v>
      </c>
      <c r="H188" s="660"/>
      <c r="I188" s="659">
        <f>+G188*H188</f>
        <v>0</v>
      </c>
      <c r="J188" s="658" t="s">
        <v>871</v>
      </c>
      <c r="K188" s="657" t="s">
        <v>1128</v>
      </c>
      <c r="L188" s="657" t="s">
        <v>873</v>
      </c>
      <c r="M188" s="656"/>
    </row>
    <row r="189" spans="1:13" s="655" customFormat="1" ht="25.5" x14ac:dyDescent="0.25">
      <c r="A189" s="664" t="str">
        <f>+CONCATENATE($A$187,".",TEXT(ROW(A3)-ROW($A$1),0))</f>
        <v>ECC2.24.2.2</v>
      </c>
      <c r="B189" s="663" t="s">
        <v>1118</v>
      </c>
      <c r="C189" s="662" t="s">
        <v>1217</v>
      </c>
      <c r="D189" s="663" t="s">
        <v>1218</v>
      </c>
      <c r="E189" s="663" t="str">
        <f>IF(VLOOKUP(D189,'EMBOP-CI_ITA'!$D$4:$D$250,1,FALSE)=D189,"YES","NO")</f>
        <v>YES</v>
      </c>
      <c r="F189" s="662" t="s">
        <v>1045</v>
      </c>
      <c r="G189" s="661">
        <v>0</v>
      </c>
      <c r="H189" s="660"/>
      <c r="I189" s="659">
        <f>+G189*H189</f>
        <v>0</v>
      </c>
      <c r="J189" s="658" t="s">
        <v>871</v>
      </c>
      <c r="K189" s="657" t="s">
        <v>1128</v>
      </c>
      <c r="L189" s="657" t="s">
        <v>873</v>
      </c>
      <c r="M189" s="656"/>
    </row>
    <row r="190" spans="1:13" s="655" customFormat="1" ht="25.5" x14ac:dyDescent="0.25">
      <c r="A190" s="664" t="str">
        <f>+CONCATENATE($A$189,".",TEXT(ROW(A2)-ROW($A$1),0))</f>
        <v>ECC2.24.2.2.1</v>
      </c>
      <c r="B190" s="663" t="s">
        <v>1118</v>
      </c>
      <c r="C190" s="662" t="s">
        <v>1219</v>
      </c>
      <c r="D190" s="663" t="s">
        <v>1220</v>
      </c>
      <c r="E190" s="663" t="str">
        <f>IF(VLOOKUP(D190,'EMBOP-CI_ITA'!$D$4:$D$250,1,FALSE)=D190,"YES","NO")</f>
        <v>YES</v>
      </c>
      <c r="F190" s="662" t="s">
        <v>1045</v>
      </c>
      <c r="G190" s="661">
        <v>0</v>
      </c>
      <c r="H190" s="660"/>
      <c r="I190" s="659">
        <f>+G190*H190</f>
        <v>0</v>
      </c>
      <c r="J190" s="658" t="s">
        <v>871</v>
      </c>
      <c r="K190" s="657" t="s">
        <v>1128</v>
      </c>
      <c r="L190" s="657" t="s">
        <v>873</v>
      </c>
      <c r="M190" s="656"/>
    </row>
    <row r="191" spans="1:13" s="655" customFormat="1" ht="25.5" x14ac:dyDescent="0.25">
      <c r="A191" s="664" t="str">
        <f>+CONCATENATE($A$189,".",TEXT(ROW(A3)-ROW($A$1),0))</f>
        <v>ECC2.24.2.2.2</v>
      </c>
      <c r="B191" s="663" t="s">
        <v>1118</v>
      </c>
      <c r="C191" s="662" t="s">
        <v>1221</v>
      </c>
      <c r="D191" s="663" t="s">
        <v>1222</v>
      </c>
      <c r="E191" s="663" t="str">
        <f>IF(VLOOKUP(D191,'EMBOP-CI_ITA'!$D$4:$D$250,1,FALSE)=D191,"YES","NO")</f>
        <v>YES</v>
      </c>
      <c r="F191" s="662" t="s">
        <v>1045</v>
      </c>
      <c r="G191" s="661">
        <v>0</v>
      </c>
      <c r="H191" s="660"/>
      <c r="I191" s="659">
        <f>+G191*H191</f>
        <v>0</v>
      </c>
      <c r="J191" s="658" t="s">
        <v>871</v>
      </c>
      <c r="K191" s="657" t="s">
        <v>1128</v>
      </c>
      <c r="L191" s="657" t="s">
        <v>873</v>
      </c>
      <c r="M191" s="656"/>
    </row>
    <row r="192" spans="1:13" s="655" customFormat="1" ht="26.25" customHeight="1" x14ac:dyDescent="0.25">
      <c r="A192" s="664" t="str">
        <f>+CONCATENATE($A$189,".",TEXT(ROW(A4)-ROW($A$1),0))</f>
        <v>ECC2.24.2.2.3</v>
      </c>
      <c r="B192" s="663" t="s">
        <v>1118</v>
      </c>
      <c r="C192" s="662" t="s">
        <v>1223</v>
      </c>
      <c r="D192" s="663" t="s">
        <v>1224</v>
      </c>
      <c r="E192" s="663" t="str">
        <f>IF(VLOOKUP(D192,'EMBOP-CI_ITA'!$D$4:$D$250,1,FALSE)=D192,"YES","NO")</f>
        <v>YES</v>
      </c>
      <c r="F192" s="662" t="s">
        <v>1045</v>
      </c>
      <c r="G192" s="661">
        <v>0</v>
      </c>
      <c r="H192" s="660"/>
      <c r="I192" s="659">
        <f>+G192*H192</f>
        <v>0</v>
      </c>
      <c r="J192" s="658" t="s">
        <v>871</v>
      </c>
      <c r="K192" s="657" t="s">
        <v>1128</v>
      </c>
      <c r="L192" s="657" t="s">
        <v>873</v>
      </c>
      <c r="M192" s="656"/>
    </row>
    <row r="193" spans="1:12" x14ac:dyDescent="0.25"/>
    <row r="194" spans="1:12" ht="25.5" x14ac:dyDescent="0.25">
      <c r="A194" s="553" t="s">
        <v>1225</v>
      </c>
      <c r="B194" s="551"/>
      <c r="C194" s="551"/>
      <c r="D194" s="552" t="s">
        <v>1226</v>
      </c>
      <c r="E194" s="552" t="str">
        <f>IF(VLOOKUP(D194,'EMBOP-CI_ITA'!$D$4:$D$250,1,FALSE)=D194,"YES","NO")</f>
        <v>YES</v>
      </c>
      <c r="F194" s="551"/>
      <c r="G194" s="567"/>
      <c r="H194" s="565"/>
      <c r="I194" s="565"/>
      <c r="J194" s="549"/>
      <c r="K194" s="548"/>
      <c r="L194" s="548"/>
    </row>
    <row r="195" spans="1:12" ht="76.5" x14ac:dyDescent="0.25">
      <c r="A195" s="276" t="str">
        <f>+CONCATENATE($A$194,".",TEXT(ROW(A2)-ROW($A$1),0))</f>
        <v>ESC2.24.4.1</v>
      </c>
      <c r="B195" s="563" t="s">
        <v>1227</v>
      </c>
      <c r="C195" s="574" t="s">
        <v>1228</v>
      </c>
      <c r="D195" s="277" t="s">
        <v>1229</v>
      </c>
      <c r="E195" s="277" t="str">
        <f>IF(VLOOKUP(D195,'EMBOP-CI_ITA'!$D$4:$D$250,1,FALSE)=D195,"YES","NO")</f>
        <v>YES</v>
      </c>
      <c r="F195" s="278" t="s">
        <v>464</v>
      </c>
      <c r="G195" s="279">
        <v>0</v>
      </c>
      <c r="H195" s="280"/>
      <c r="I195" s="281">
        <f>+G195*H195</f>
        <v>0</v>
      </c>
      <c r="J195" s="282" t="s">
        <v>871</v>
      </c>
      <c r="K195" s="283" t="s">
        <v>872</v>
      </c>
      <c r="L195" s="283" t="s">
        <v>873</v>
      </c>
    </row>
    <row r="196" spans="1:12" ht="102" x14ac:dyDescent="0.25">
      <c r="A196" s="276" t="str">
        <f>+CONCATENATE($A$194,".",TEXT(ROW(A3)-ROW($A$1),0))</f>
        <v>ESC2.24.4.2</v>
      </c>
      <c r="B196" s="564" t="s">
        <v>1230</v>
      </c>
      <c r="C196" s="574" t="s">
        <v>1231</v>
      </c>
      <c r="D196" s="277" t="s">
        <v>1232</v>
      </c>
      <c r="E196" s="277" t="str">
        <f>IF(VLOOKUP(D196,'EMBOP-CI_ITA'!$D$4:$D$250,1,FALSE)=D196,"YES","NO")</f>
        <v>YES</v>
      </c>
      <c r="F196" s="278" t="s">
        <v>464</v>
      </c>
      <c r="G196" s="279">
        <v>0</v>
      </c>
      <c r="H196" s="280"/>
      <c r="I196" s="281">
        <f>+G196*H196</f>
        <v>0</v>
      </c>
      <c r="J196" s="282" t="s">
        <v>871</v>
      </c>
      <c r="K196" s="283" t="s">
        <v>883</v>
      </c>
      <c r="L196" s="283" t="s">
        <v>873</v>
      </c>
    </row>
    <row r="197" spans="1:12" s="275" customFormat="1" ht="12.75" x14ac:dyDescent="0.25">
      <c r="A197" s="268" t="s">
        <v>1233</v>
      </c>
      <c r="B197" s="578"/>
      <c r="C197" s="578"/>
      <c r="D197" s="270" t="s">
        <v>1234</v>
      </c>
      <c r="E197" s="270" t="str">
        <f>IF(VLOOKUP(D197,'EMBOP-CI_ITA'!$D$4:$D$250,1,FALSE)=D197,"YES","NO")</f>
        <v>YES</v>
      </c>
      <c r="F197" s="269"/>
      <c r="G197" s="271"/>
      <c r="H197" s="285"/>
      <c r="I197" s="285"/>
      <c r="J197" s="273" t="s">
        <v>871</v>
      </c>
      <c r="K197" s="274"/>
      <c r="L197" s="274"/>
    </row>
    <row r="198" spans="1:12" ht="63.75" x14ac:dyDescent="0.25">
      <c r="A198" s="276" t="str">
        <f>+CONCATENATE($A$197,".",TEXT(ROW(A2)-ROW($A$1),0))</f>
        <v>ESC3.1</v>
      </c>
      <c r="B198" s="564" t="s">
        <v>1235</v>
      </c>
      <c r="C198" s="575" t="s">
        <v>1236</v>
      </c>
      <c r="D198" s="277" t="s">
        <v>1237</v>
      </c>
      <c r="E198" s="277" t="str">
        <f>IF(VLOOKUP(D198,'EMBOP-CI_ITA'!$D$4:$D$250,1,FALSE)=D198,"YES","NO")</f>
        <v>YES</v>
      </c>
      <c r="F198" s="278" t="s">
        <v>141</v>
      </c>
      <c r="G198" s="279">
        <v>0</v>
      </c>
      <c r="H198" s="280"/>
      <c r="I198" s="281">
        <f>+G198*H198</f>
        <v>0</v>
      </c>
      <c r="J198" s="282" t="s">
        <v>871</v>
      </c>
      <c r="K198" s="283" t="s">
        <v>872</v>
      </c>
      <c r="L198" s="283" t="s">
        <v>873</v>
      </c>
    </row>
    <row r="199" spans="1:12" ht="89.25" x14ac:dyDescent="0.25">
      <c r="A199" s="276" t="str">
        <f>+CONCATENATE($A$197,".",TEXT(ROW(A3)-ROW($A$1),0))</f>
        <v>ESC3.2</v>
      </c>
      <c r="B199" s="564" t="s">
        <v>1238</v>
      </c>
      <c r="C199" s="575" t="s">
        <v>1239</v>
      </c>
      <c r="D199" s="277" t="s">
        <v>1240</v>
      </c>
      <c r="E199" s="277" t="str">
        <f>IF(VLOOKUP(D199,'EMBOP-CI_ITA'!$D$4:$D$250,1,FALSE)=D199,"YES","NO")</f>
        <v>YES</v>
      </c>
      <c r="F199" s="278" t="s">
        <v>141</v>
      </c>
      <c r="G199" s="279">
        <v>0</v>
      </c>
      <c r="H199" s="280"/>
      <c r="I199" s="281">
        <f>+G199*H199</f>
        <v>0</v>
      </c>
      <c r="J199" s="282" t="s">
        <v>871</v>
      </c>
      <c r="K199" s="283" t="s">
        <v>883</v>
      </c>
      <c r="L199" s="283" t="s">
        <v>873</v>
      </c>
    </row>
    <row r="200" spans="1:12" s="275" customFormat="1" ht="12.75" x14ac:dyDescent="0.25">
      <c r="A200" s="268" t="s">
        <v>1241</v>
      </c>
      <c r="B200" s="269"/>
      <c r="C200" s="269"/>
      <c r="D200" s="270" t="s">
        <v>1242</v>
      </c>
      <c r="E200" s="270" t="str">
        <f>IF(VLOOKUP(D200,'EMBOP-CI_ITA'!$D$4:$D$250,1,FALSE)=D200,"YES","NO")</f>
        <v>YES</v>
      </c>
      <c r="F200" s="269"/>
      <c r="G200" s="271"/>
      <c r="H200" s="272"/>
      <c r="I200" s="272"/>
      <c r="J200" s="273"/>
      <c r="K200" s="274"/>
      <c r="L200" s="274"/>
    </row>
    <row r="201" spans="1:12" s="275" customFormat="1" ht="12.75" x14ac:dyDescent="0.25">
      <c r="A201" s="553" t="s">
        <v>1243</v>
      </c>
      <c r="B201" s="551"/>
      <c r="C201" s="551"/>
      <c r="D201" s="571" t="s">
        <v>1244</v>
      </c>
      <c r="E201" s="571" t="str">
        <f>IF(VLOOKUP(D201,'EMBOP-CI_ITA'!$D$4:$D$250,1,FALSE)=D201,"YES","NO")</f>
        <v>YES</v>
      </c>
      <c r="F201" s="551"/>
      <c r="G201" s="567"/>
      <c r="H201" s="565"/>
      <c r="I201" s="565"/>
      <c r="J201" s="549"/>
      <c r="K201" s="548"/>
      <c r="L201" s="548"/>
    </row>
    <row r="202" spans="1:12" ht="25.5" x14ac:dyDescent="0.25">
      <c r="A202" s="276" t="str">
        <f>+CONCATENATE($A$201,".",TEXT(ROW(A2)-ROW($A$1),0))</f>
        <v>ESC4.1.1</v>
      </c>
      <c r="B202" s="563" t="s">
        <v>1245</v>
      </c>
      <c r="C202" s="574" t="s">
        <v>1246</v>
      </c>
      <c r="D202" s="791" t="s">
        <v>1247</v>
      </c>
      <c r="E202" s="791" t="str">
        <f>IF(VLOOKUP(D202,'EMBOP-CI_ITA'!$D$4:$D$250,1,FALSE)=D202,"YES","NO")</f>
        <v>YES</v>
      </c>
      <c r="F202" s="278" t="s">
        <v>464</v>
      </c>
      <c r="G202" s="279">
        <v>0</v>
      </c>
      <c r="H202" s="280"/>
      <c r="I202" s="281">
        <f>+G202*H202</f>
        <v>0</v>
      </c>
      <c r="J202" s="282" t="s">
        <v>871</v>
      </c>
      <c r="K202" s="283" t="s">
        <v>872</v>
      </c>
      <c r="L202" s="283" t="s">
        <v>1248</v>
      </c>
    </row>
    <row r="203" spans="1:12" ht="88.5" customHeight="1" x14ac:dyDescent="0.25">
      <c r="A203" s="276" t="str">
        <f>+CONCATENATE($A$201,".",TEXT(ROW(A3)-ROW($A$1),0))</f>
        <v>ESC4.1.2</v>
      </c>
      <c r="B203" s="564" t="s">
        <v>1249</v>
      </c>
      <c r="C203" s="558" t="s">
        <v>1250</v>
      </c>
      <c r="D203" s="818" t="s">
        <v>1251</v>
      </c>
      <c r="E203" s="791" t="str">
        <f>IF(VLOOKUP(D203,'EMBOP-CI_ITA'!$D$4:$D$250,1,FALSE)=D203,"YES","NO")</f>
        <v>YES</v>
      </c>
      <c r="F203" s="278" t="s">
        <v>464</v>
      </c>
      <c r="G203" s="279">
        <v>0</v>
      </c>
      <c r="H203" s="280"/>
      <c r="I203" s="281">
        <f>+G203*H203</f>
        <v>0</v>
      </c>
      <c r="J203" s="282" t="s">
        <v>871</v>
      </c>
      <c r="K203" s="283" t="s">
        <v>883</v>
      </c>
      <c r="L203" s="283" t="s">
        <v>1248</v>
      </c>
    </row>
    <row r="204" spans="1:12" s="648" customFormat="1" ht="12.75" x14ac:dyDescent="0.25">
      <c r="A204" s="654" t="s">
        <v>1252</v>
      </c>
      <c r="B204" s="652"/>
      <c r="C204" s="652"/>
      <c r="D204" s="653" t="s">
        <v>1253</v>
      </c>
      <c r="E204" s="653" t="str">
        <f>IF(VLOOKUP(D204,'EMBOP-CI_ITA'!$D$4:$D$250,1,FALSE)=D204,"YES","NO")</f>
        <v>YES</v>
      </c>
      <c r="F204" s="652"/>
      <c r="G204" s="651"/>
      <c r="H204" s="651"/>
      <c r="I204" s="651"/>
      <c r="J204" s="650"/>
      <c r="K204" s="649"/>
      <c r="L204" s="649"/>
    </row>
    <row r="205" spans="1:12" s="638" customFormat="1" ht="12.75" x14ac:dyDescent="0.25">
      <c r="A205" s="647" t="str">
        <f>+CONCATENATE($A$204,".",TEXT(ROW(A2)-ROW($A$1),0))</f>
        <v>ESC4.2.1</v>
      </c>
      <c r="B205" s="1638" t="s">
        <v>1254</v>
      </c>
      <c r="C205" s="646" t="s">
        <v>1255</v>
      </c>
      <c r="D205" s="645" t="s">
        <v>1256</v>
      </c>
      <c r="E205" s="645" t="str">
        <f>IF(VLOOKUP(D205,'EMBOP-CI_ITA'!$D$4:$D$250,1,FALSE)=D205,"YES","NO")</f>
        <v>YES</v>
      </c>
      <c r="F205" s="644" t="s">
        <v>464</v>
      </c>
      <c r="G205" s="643">
        <v>0</v>
      </c>
      <c r="H205" s="642"/>
      <c r="I205" s="641">
        <f>+G205*H205</f>
        <v>0</v>
      </c>
      <c r="J205" s="640" t="s">
        <v>871</v>
      </c>
      <c r="K205" s="639" t="s">
        <v>872</v>
      </c>
      <c r="L205" s="639" t="s">
        <v>873</v>
      </c>
    </row>
    <row r="206" spans="1:12" s="638" customFormat="1" ht="12.75" x14ac:dyDescent="0.25">
      <c r="A206" s="647" t="str">
        <f>+CONCATENATE($A$204,".",TEXT(ROW(A5)-ROW($A$1),0))</f>
        <v>ESC4.2.4</v>
      </c>
      <c r="B206" s="1639"/>
      <c r="C206" s="646" t="s">
        <v>1257</v>
      </c>
      <c r="D206" s="645" t="s">
        <v>1258</v>
      </c>
      <c r="E206" s="645" t="str">
        <f>IF(VLOOKUP(D206,'EMBOP-CI_ITA'!$D$4:$D$250,1,FALSE)=D206,"YES","NO")</f>
        <v>YES</v>
      </c>
      <c r="F206" s="644" t="s">
        <v>464</v>
      </c>
      <c r="G206" s="643">
        <v>0</v>
      </c>
      <c r="H206" s="642"/>
      <c r="I206" s="641">
        <f>+G206*H206</f>
        <v>0</v>
      </c>
      <c r="J206" s="640" t="s">
        <v>871</v>
      </c>
      <c r="K206" s="639" t="s">
        <v>883</v>
      </c>
      <c r="L206" s="639" t="s">
        <v>873</v>
      </c>
    </row>
    <row r="207" spans="1:12" s="275" customFormat="1" ht="12.75" x14ac:dyDescent="0.25">
      <c r="A207" s="553" t="s">
        <v>1259</v>
      </c>
      <c r="B207" s="566"/>
      <c r="C207" s="566"/>
      <c r="D207" s="552" t="s">
        <v>1260</v>
      </c>
      <c r="E207" s="552" t="str">
        <f>IF(VLOOKUP(D207,'EMBOP-CI_ITA'!$D$4:$D$250,1,FALSE)=D207,"YES","NO")</f>
        <v>YES</v>
      </c>
      <c r="F207" s="551"/>
      <c r="G207" s="567"/>
      <c r="H207" s="565"/>
      <c r="I207" s="565"/>
      <c r="J207" s="549"/>
      <c r="K207" s="548"/>
      <c r="L207" s="548"/>
    </row>
    <row r="208" spans="1:12" ht="76.5" x14ac:dyDescent="0.25">
      <c r="A208" s="276" t="str">
        <f>+CONCATENATE($A$207,".",TEXT(ROW(A2)-ROW($A$1),0))</f>
        <v>ESC4.3.1</v>
      </c>
      <c r="B208" s="564" t="s">
        <v>1343</v>
      </c>
      <c r="C208" s="574" t="s">
        <v>642</v>
      </c>
      <c r="D208" s="277" t="s">
        <v>1344</v>
      </c>
      <c r="E208" s="277" t="e">
        <f>IF(VLOOKUP(D208,'EMBOP-CI_ITA'!$D$4:$D$250,1,FALSE)=D208,"YES","NO")</f>
        <v>#N/A</v>
      </c>
      <c r="F208" s="575" t="s">
        <v>1345</v>
      </c>
      <c r="G208" s="279">
        <v>0</v>
      </c>
      <c r="H208" s="280"/>
      <c r="I208" s="281">
        <f t="shared" ref="I208:I219" si="14">+G208*H208</f>
        <v>0</v>
      </c>
      <c r="J208" s="282" t="s">
        <v>871</v>
      </c>
      <c r="K208" s="283" t="s">
        <v>883</v>
      </c>
      <c r="L208" s="283" t="s">
        <v>873</v>
      </c>
    </row>
    <row r="209" spans="1:12" ht="76.5" x14ac:dyDescent="0.25">
      <c r="A209" s="276" t="str">
        <f>+CONCATENATE($A$207,".",TEXT(ROW(A3)-ROW($A$1),0))</f>
        <v>ESC4.3.2</v>
      </c>
      <c r="B209" s="564" t="s">
        <v>1262</v>
      </c>
      <c r="C209" s="574" t="s">
        <v>648</v>
      </c>
      <c r="D209" s="277" t="s">
        <v>1263</v>
      </c>
      <c r="E209" s="277" t="str">
        <f>IF(VLOOKUP(D209,'EMBOP-CI_ITA'!$D$4:$D$250,1,FALSE)=D209,"YES","NO")</f>
        <v>YES</v>
      </c>
      <c r="F209" s="575" t="s">
        <v>464</v>
      </c>
      <c r="G209" s="279">
        <v>0</v>
      </c>
      <c r="H209" s="280"/>
      <c r="I209" s="281">
        <f t="shared" si="14"/>
        <v>0</v>
      </c>
      <c r="J209" s="282" t="s">
        <v>871</v>
      </c>
      <c r="K209" s="283" t="s">
        <v>1128</v>
      </c>
      <c r="L209" s="283" t="s">
        <v>873</v>
      </c>
    </row>
    <row r="210" spans="1:12" ht="63.75" x14ac:dyDescent="0.25">
      <c r="A210" s="276"/>
      <c r="B210" s="564" t="s">
        <v>1264</v>
      </c>
      <c r="C210" s="574" t="s">
        <v>1265</v>
      </c>
      <c r="D210" s="278" t="s">
        <v>1266</v>
      </c>
      <c r="E210" s="278" t="str">
        <f>IF(VLOOKUP(D210,'EMBOP-CI_ITA'!$D$4:$D$250,1,FALSE)=D210,"YES","NO")</f>
        <v>YES</v>
      </c>
      <c r="F210" s="575" t="s">
        <v>464</v>
      </c>
      <c r="G210" s="279">
        <v>0</v>
      </c>
      <c r="H210" s="280"/>
      <c r="I210" s="281">
        <f t="shared" si="14"/>
        <v>0</v>
      </c>
      <c r="J210" s="282"/>
      <c r="K210" s="283" t="s">
        <v>872</v>
      </c>
      <c r="L210" s="283" t="s">
        <v>873</v>
      </c>
    </row>
    <row r="211" spans="1:12" ht="63.75" x14ac:dyDescent="0.25">
      <c r="A211" s="276" t="str">
        <f>+CONCATENATE($A$207,".",TEXT(ROW(A4)-ROW($A$1),0))</f>
        <v>ESC4.3.3</v>
      </c>
      <c r="B211" s="564" t="s">
        <v>1264</v>
      </c>
      <c r="C211" s="574" t="s">
        <v>1267</v>
      </c>
      <c r="D211" s="278" t="s">
        <v>1268</v>
      </c>
      <c r="E211" s="278" t="str">
        <f>IF(VLOOKUP(D211,'EMBOP-CI_ITA'!$D$4:$D$250,1,FALSE)=D211,"YES","NO")</f>
        <v>YES</v>
      </c>
      <c r="F211" s="575" t="s">
        <v>464</v>
      </c>
      <c r="G211" s="279">
        <v>0</v>
      </c>
      <c r="H211" s="280"/>
      <c r="I211" s="281">
        <f t="shared" si="14"/>
        <v>0</v>
      </c>
      <c r="J211" s="282" t="s">
        <v>871</v>
      </c>
      <c r="K211" s="283" t="s">
        <v>883</v>
      </c>
      <c r="L211" s="283" t="s">
        <v>873</v>
      </c>
    </row>
    <row r="212" spans="1:12" x14ac:dyDescent="0.25">
      <c r="A212" s="276" t="str">
        <f>+CONCATENATE($A$207,".",TEXT(ROW(A5)-ROW($A$1),0))</f>
        <v>ESC4.3.4</v>
      </c>
      <c r="B212" s="563" t="s">
        <v>1269</v>
      </c>
      <c r="C212" s="574" t="s">
        <v>1270</v>
      </c>
      <c r="D212" s="277" t="s">
        <v>1271</v>
      </c>
      <c r="E212" s="277" t="str">
        <f>IF(VLOOKUP(D212,'EMBOP-CI_ITA'!$D$4:$D$250,1,FALSE)=D212,"YES","NO")</f>
        <v>YES</v>
      </c>
      <c r="F212" s="278" t="s">
        <v>464</v>
      </c>
      <c r="G212" s="279">
        <v>0</v>
      </c>
      <c r="H212" s="280"/>
      <c r="I212" s="281">
        <f t="shared" si="14"/>
        <v>0</v>
      </c>
      <c r="J212" s="282" t="s">
        <v>871</v>
      </c>
      <c r="K212" s="283" t="s">
        <v>883</v>
      </c>
      <c r="L212" s="283" t="s">
        <v>873</v>
      </c>
    </row>
    <row r="213" spans="1:12" x14ac:dyDescent="0.25">
      <c r="A213" s="276" t="str">
        <f>+CONCATENATE($A$207,".",TEXT(ROW(A6)-ROW($A$1),0))</f>
        <v>ESC4.3.5</v>
      </c>
      <c r="B213" s="563" t="s">
        <v>1269</v>
      </c>
      <c r="C213" s="574" t="s">
        <v>1272</v>
      </c>
      <c r="D213" s="277" t="s">
        <v>1273</v>
      </c>
      <c r="E213" s="277" t="str">
        <f>IF(VLOOKUP(D213,'EMBOP-CI_ITA'!$D$4:$D$250,1,FALSE)=D213,"YES","NO")</f>
        <v>YES</v>
      </c>
      <c r="F213" s="278" t="s">
        <v>464</v>
      </c>
      <c r="G213" s="279">
        <v>0</v>
      </c>
      <c r="H213" s="280"/>
      <c r="I213" s="281">
        <f t="shared" si="14"/>
        <v>0</v>
      </c>
      <c r="J213" s="282" t="s">
        <v>871</v>
      </c>
      <c r="K213" s="283" t="s">
        <v>883</v>
      </c>
      <c r="L213" s="283" t="s">
        <v>873</v>
      </c>
    </row>
    <row r="214" spans="1:12" x14ac:dyDescent="0.25">
      <c r="A214" s="276" t="str">
        <f>+CONCATENATE($A$207,".",TEXT(ROW(A7)-ROW($A$1),0))</f>
        <v>ESC4.3.6</v>
      </c>
      <c r="B214" s="563" t="s">
        <v>1269</v>
      </c>
      <c r="C214" s="574" t="s">
        <v>1274</v>
      </c>
      <c r="D214" s="277" t="s">
        <v>1275</v>
      </c>
      <c r="E214" s="277" t="str">
        <f>IF(VLOOKUP(D214,'EMBOP-CI_ITA'!$D$4:$D$250,1,FALSE)=D214,"YES","NO")</f>
        <v>YES</v>
      </c>
      <c r="F214" s="278" t="s">
        <v>464</v>
      </c>
      <c r="G214" s="279">
        <v>0</v>
      </c>
      <c r="H214" s="280"/>
      <c r="I214" s="281">
        <f t="shared" si="14"/>
        <v>0</v>
      </c>
      <c r="J214" s="282" t="s">
        <v>871</v>
      </c>
      <c r="K214" s="283" t="s">
        <v>883</v>
      </c>
      <c r="L214" s="283" t="s">
        <v>873</v>
      </c>
    </row>
    <row r="215" spans="1:12" ht="25.5" x14ac:dyDescent="0.25">
      <c r="A215" s="276" t="str">
        <f>+CONCATENATE($A$207,".",TEXT(ROW(A8)-ROW($A$1),0))</f>
        <v>ESC4.3.7</v>
      </c>
      <c r="B215" s="563" t="s">
        <v>1269</v>
      </c>
      <c r="C215" s="574" t="s">
        <v>1276</v>
      </c>
      <c r="D215" s="277" t="s">
        <v>1277</v>
      </c>
      <c r="E215" s="277" t="str">
        <f>IF(VLOOKUP(D215,'EMBOP-CI_ITA'!$D$4:$D$250,1,FALSE)=D215,"YES","NO")</f>
        <v>YES</v>
      </c>
      <c r="F215" s="278" t="s">
        <v>1045</v>
      </c>
      <c r="G215" s="279">
        <v>0</v>
      </c>
      <c r="H215" s="280"/>
      <c r="I215" s="281">
        <f t="shared" si="14"/>
        <v>0</v>
      </c>
      <c r="J215" s="282" t="s">
        <v>871</v>
      </c>
      <c r="K215" s="283" t="s">
        <v>1128</v>
      </c>
      <c r="L215" s="283" t="s">
        <v>873</v>
      </c>
    </row>
    <row r="216" spans="1:12" ht="102" x14ac:dyDescent="0.25">
      <c r="A216" s="276"/>
      <c r="B216" s="564" t="s">
        <v>1278</v>
      </c>
      <c r="C216" s="574" t="s">
        <v>629</v>
      </c>
      <c r="D216" s="277" t="s">
        <v>1279</v>
      </c>
      <c r="E216" s="277" t="str">
        <f>IF(VLOOKUP(D216,'EMBOP-CI_ITA'!$D$4:$D$250,1,FALSE)=D216,"YES","NO")</f>
        <v>YES</v>
      </c>
      <c r="F216" s="278" t="s">
        <v>1045</v>
      </c>
      <c r="G216" s="279">
        <v>0</v>
      </c>
      <c r="H216" s="280"/>
      <c r="I216" s="281">
        <f t="shared" si="14"/>
        <v>0</v>
      </c>
      <c r="J216" s="282" t="s">
        <v>871</v>
      </c>
      <c r="K216" s="283" t="s">
        <v>883</v>
      </c>
      <c r="L216" s="283" t="s">
        <v>873</v>
      </c>
    </row>
    <row r="217" spans="1:12" ht="51" x14ac:dyDescent="0.25">
      <c r="A217" s="276"/>
      <c r="B217" s="564" t="s">
        <v>1280</v>
      </c>
      <c r="C217" s="574" t="s">
        <v>1281</v>
      </c>
      <c r="D217" s="277" t="s">
        <v>1282</v>
      </c>
      <c r="E217" s="277" t="str">
        <f>IF(VLOOKUP(D217,'EMBOP-CI_ITA'!$D$4:$D$250,1,FALSE)=D217,"YES","NO")</f>
        <v>YES</v>
      </c>
      <c r="F217" s="278" t="s">
        <v>1045</v>
      </c>
      <c r="G217" s="279">
        <v>0</v>
      </c>
      <c r="H217" s="280"/>
      <c r="I217" s="281">
        <f t="shared" si="14"/>
        <v>0</v>
      </c>
      <c r="J217" s="282"/>
      <c r="K217" s="283" t="s">
        <v>872</v>
      </c>
      <c r="L217" s="283" t="s">
        <v>873</v>
      </c>
    </row>
    <row r="218" spans="1:12" ht="76.5" x14ac:dyDescent="0.25">
      <c r="A218" s="276"/>
      <c r="B218" s="564" t="s">
        <v>1283</v>
      </c>
      <c r="C218" s="574" t="s">
        <v>1284</v>
      </c>
      <c r="D218" s="277" t="s">
        <v>1285</v>
      </c>
      <c r="E218" s="277" t="str">
        <f>IF(VLOOKUP(D218,'EMBOP-CI_ITA'!$D$4:$D$250,1,FALSE)=D218,"YES","NO")</f>
        <v>YES</v>
      </c>
      <c r="F218" s="278" t="s">
        <v>1045</v>
      </c>
      <c r="G218" s="279">
        <v>0</v>
      </c>
      <c r="H218" s="280"/>
      <c r="I218" s="281">
        <f t="shared" si="14"/>
        <v>0</v>
      </c>
      <c r="J218" s="282"/>
      <c r="K218" s="283" t="s">
        <v>883</v>
      </c>
      <c r="L218" s="283" t="s">
        <v>873</v>
      </c>
    </row>
    <row r="219" spans="1:12" ht="51" x14ac:dyDescent="0.25">
      <c r="A219" s="276" t="str">
        <f>+CONCATENATE($A$207,".",TEXT(ROW(A11)-ROW($A$1),0))</f>
        <v>ESC4.3.10</v>
      </c>
      <c r="B219" s="556" t="s">
        <v>1286</v>
      </c>
      <c r="C219" s="558" t="s">
        <v>648</v>
      </c>
      <c r="D219" s="277" t="s">
        <v>649</v>
      </c>
      <c r="E219" s="277" t="str">
        <f>IF(VLOOKUP(D219,'EMBOP-CI_ITA'!$D$4:$D$250,1,FALSE)=D219,"YES","NO")</f>
        <v>YES</v>
      </c>
      <c r="F219" s="278" t="s">
        <v>164</v>
      </c>
      <c r="G219" s="279">
        <v>1</v>
      </c>
      <c r="H219" s="280"/>
      <c r="I219" s="281">
        <f t="shared" si="14"/>
        <v>0</v>
      </c>
      <c r="J219" s="282"/>
      <c r="K219" s="283" t="s">
        <v>883</v>
      </c>
      <c r="L219" s="283" t="s">
        <v>873</v>
      </c>
    </row>
    <row r="220" spans="1:12" x14ac:dyDescent="0.25">
      <c r="A220" s="553" t="s">
        <v>1287</v>
      </c>
      <c r="B220" s="551"/>
      <c r="C220" s="551"/>
      <c r="D220" s="653" t="s">
        <v>1288</v>
      </c>
      <c r="E220" s="552" t="str">
        <f>IF(VLOOKUP(D220,'EMBOP-CI_ITA'!$D$4:$D$250,1,FALSE)=D220,"YES","NO")</f>
        <v>YES</v>
      </c>
      <c r="F220" s="551"/>
      <c r="G220" s="567"/>
      <c r="H220" s="565"/>
      <c r="I220" s="565"/>
      <c r="J220" s="549"/>
      <c r="K220" s="548"/>
      <c r="L220" s="548"/>
    </row>
    <row r="221" spans="1:12" ht="140.25" x14ac:dyDescent="0.25">
      <c r="A221" s="276" t="e">
        <f>+CONCATENATE($A$207,".",TEXT(ROW(#REF!)-ROW($A$1),0))</f>
        <v>#REF!</v>
      </c>
      <c r="B221" s="556" t="s">
        <v>1289</v>
      </c>
      <c r="C221" s="558" t="s">
        <v>1290</v>
      </c>
      <c r="D221" s="645" t="s">
        <v>1291</v>
      </c>
      <c r="E221" s="277" t="str">
        <f>IF(VLOOKUP(D221,'EMBOP-CI_ITA'!$D$4:$D$250,1,FALSE)=D221,"YES","NO")</f>
        <v>YES</v>
      </c>
      <c r="F221" s="278" t="s">
        <v>1292</v>
      </c>
      <c r="G221" s="279">
        <v>1</v>
      </c>
      <c r="H221" s="280"/>
      <c r="I221" s="281">
        <f>+G221*H221</f>
        <v>0</v>
      </c>
      <c r="J221" s="282"/>
      <c r="K221" s="283" t="s">
        <v>883</v>
      </c>
      <c r="L221" s="278" t="s">
        <v>873</v>
      </c>
    </row>
    <row r="222" spans="1:12" ht="30.75" customHeight="1" x14ac:dyDescent="0.25">
      <c r="A222" s="276" t="str">
        <f>+CONCATENATE($A$207,".",TEXT(ROW(A18)-ROW($A$1),0))</f>
        <v>ESC4.3.17</v>
      </c>
      <c r="B222" s="556" t="s">
        <v>1346</v>
      </c>
      <c r="C222" s="558" t="s">
        <v>1294</v>
      </c>
      <c r="D222" s="645" t="s">
        <v>1295</v>
      </c>
      <c r="E222" s="277" t="str">
        <f>IF(VLOOKUP(D222,'EMBOP-CI_ITA'!$D$4:$D$250,1,FALSE)=D222,"YES","NO")</f>
        <v>YES</v>
      </c>
      <c r="F222" s="278" t="s">
        <v>464</v>
      </c>
      <c r="G222" s="279">
        <v>1</v>
      </c>
      <c r="H222" s="280"/>
      <c r="I222" s="281">
        <f>+G222*H222</f>
        <v>0</v>
      </c>
      <c r="J222" s="282"/>
      <c r="K222" s="283" t="s">
        <v>883</v>
      </c>
      <c r="L222" s="278" t="s">
        <v>873</v>
      </c>
    </row>
    <row r="223" spans="1:12" ht="102" x14ac:dyDescent="0.25">
      <c r="A223" s="276" t="str">
        <f>+CONCATENATE($A$207,".",TEXT(ROW(A19)-ROW($A$1),0))</f>
        <v>ESC4.3.18</v>
      </c>
      <c r="B223" s="556" t="s">
        <v>1347</v>
      </c>
      <c r="C223" s="558" t="s">
        <v>1297</v>
      </c>
      <c r="D223" s="645" t="s">
        <v>1298</v>
      </c>
      <c r="E223" s="277" t="str">
        <f>IF(VLOOKUP(D223,'EMBOP-CI_ITA'!$D$4:$D$250,1,FALSE)=D223,"YES","NO")</f>
        <v>YES</v>
      </c>
      <c r="F223" s="278" t="s">
        <v>464</v>
      </c>
      <c r="G223" s="279">
        <v>1</v>
      </c>
      <c r="H223" s="280"/>
      <c r="I223" s="281">
        <f>+G223*H223</f>
        <v>0</v>
      </c>
      <c r="J223" s="282"/>
      <c r="K223" s="283" t="s">
        <v>883</v>
      </c>
      <c r="L223" s="278" t="s">
        <v>873</v>
      </c>
    </row>
    <row r="224" spans="1:12" s="275" customFormat="1" ht="12.75" x14ac:dyDescent="0.25">
      <c r="A224" s="553" t="s">
        <v>1287</v>
      </c>
      <c r="B224" s="551"/>
      <c r="C224" s="551"/>
      <c r="D224" s="552" t="s">
        <v>832</v>
      </c>
      <c r="E224" s="552" t="str">
        <f>IF(VLOOKUP(D224,'EMBOP-CI_ITA'!$D$4:$D$250,1,FALSE)=D224,"YES","NO")</f>
        <v>YES</v>
      </c>
      <c r="F224" s="551"/>
      <c r="G224" s="567"/>
      <c r="H224" s="565"/>
      <c r="I224" s="565"/>
      <c r="J224" s="549"/>
      <c r="K224" s="548"/>
      <c r="L224" s="548"/>
    </row>
    <row r="225" spans="1:13" s="629" customFormat="1" ht="51" x14ac:dyDescent="0.25">
      <c r="A225" s="631" t="str">
        <f>+CONCATENATE($A$224,".",TEXT(ROW(A3)-ROW($A$1),0))</f>
        <v>ESC4.4.2</v>
      </c>
      <c r="B225" s="637" t="s">
        <v>1299</v>
      </c>
      <c r="C225" s="632" t="s">
        <v>1300</v>
      </c>
      <c r="D225" s="626" t="s">
        <v>1301</v>
      </c>
      <c r="E225" s="626" t="str">
        <f>IF(VLOOKUP(D225,'EMBOP-CI_ITA'!$D$4:$D$250,1,FALSE)=D225,"YES","NO")</f>
        <v>YES</v>
      </c>
      <c r="F225" s="625" t="s">
        <v>464</v>
      </c>
      <c r="G225" s="624">
        <v>0</v>
      </c>
      <c r="H225" s="623"/>
      <c r="I225" s="622">
        <f>+G225*H225</f>
        <v>0</v>
      </c>
      <c r="J225" s="621" t="s">
        <v>871</v>
      </c>
      <c r="K225" s="620" t="s">
        <v>883</v>
      </c>
      <c r="L225" s="620" t="s">
        <v>873</v>
      </c>
      <c r="M225" s="620"/>
    </row>
    <row r="228" spans="1:13" s="633" customFormat="1" ht="15.75" x14ac:dyDescent="0.25">
      <c r="A228" s="636"/>
      <c r="B228" s="635"/>
      <c r="C228" s="635"/>
      <c r="D228" s="634" t="s">
        <v>855</v>
      </c>
      <c r="E228" s="817"/>
      <c r="F228" s="1640" t="s">
        <v>1305</v>
      </c>
      <c r="G228" s="1641"/>
      <c r="H228" s="1641"/>
      <c r="I228" s="1642"/>
      <c r="J228" s="1615" t="s">
        <v>4</v>
      </c>
      <c r="K228" s="1615" t="s">
        <v>857</v>
      </c>
      <c r="L228" s="1615" t="s">
        <v>858</v>
      </c>
      <c r="M228" s="1615" t="s">
        <v>1306</v>
      </c>
    </row>
    <row r="229" spans="1:13" ht="25.5" x14ac:dyDescent="0.25">
      <c r="A229" s="265" t="s">
        <v>860</v>
      </c>
      <c r="B229" s="568" t="s">
        <v>861</v>
      </c>
      <c r="C229" s="266" t="s">
        <v>862</v>
      </c>
      <c r="D229" s="266" t="s">
        <v>138</v>
      </c>
      <c r="E229" s="266"/>
      <c r="F229" s="267" t="s">
        <v>338</v>
      </c>
      <c r="G229" s="266" t="s">
        <v>864</v>
      </c>
      <c r="H229" s="267" t="s">
        <v>865</v>
      </c>
      <c r="I229" s="266" t="s">
        <v>133</v>
      </c>
      <c r="J229" s="1616"/>
      <c r="K229" s="1616"/>
      <c r="L229" s="1616"/>
      <c r="M229" s="1616"/>
    </row>
    <row r="230" spans="1:13" s="275" customFormat="1" ht="12.75" x14ac:dyDescent="0.25">
      <c r="A230" s="268" t="s">
        <v>1307</v>
      </c>
      <c r="B230" s="269"/>
      <c r="C230" s="269"/>
      <c r="D230" s="270" t="s">
        <v>1308</v>
      </c>
      <c r="E230" s="270" t="str">
        <f>IF(VLOOKUP(D230,'EMBOP-CI_ITA'!$D$4:$D$250,1,FALSE)=D230,"YES","NO")</f>
        <v>YES</v>
      </c>
      <c r="F230" s="269"/>
      <c r="G230" s="271"/>
      <c r="H230" s="272"/>
      <c r="I230" s="272"/>
      <c r="J230" s="273"/>
      <c r="K230" s="274"/>
      <c r="L230" s="274"/>
      <c r="M230" s="274"/>
    </row>
    <row r="231" spans="1:13" s="275" customFormat="1" ht="12.75" x14ac:dyDescent="0.25">
      <c r="A231" s="553" t="s">
        <v>1309</v>
      </c>
      <c r="B231" s="551"/>
      <c r="C231" s="551"/>
      <c r="D231" s="552" t="s">
        <v>767</v>
      </c>
      <c r="E231" s="552" t="str">
        <f>IF(VLOOKUP(D231,'EMBOP-CI_ITA'!$D$4:$D$250,1,FALSE)=D231,"YES","NO")</f>
        <v>YES</v>
      </c>
      <c r="F231" s="551"/>
      <c r="G231" s="567"/>
      <c r="H231" s="550"/>
      <c r="I231" s="550"/>
      <c r="J231" s="549"/>
      <c r="K231" s="548"/>
      <c r="L231" s="548"/>
      <c r="M231" s="548"/>
    </row>
    <row r="232" spans="1:13" ht="127.5" x14ac:dyDescent="0.25">
      <c r="A232" s="276" t="str">
        <f>+CONCATENATE($A$231,".",TEXT(ROW(A2)-ROW($A$1),0))</f>
        <v>OESC1.1.1</v>
      </c>
      <c r="B232" s="564" t="s">
        <v>1348</v>
      </c>
      <c r="C232" s="558" t="s">
        <v>640</v>
      </c>
      <c r="D232" s="277" t="s">
        <v>641</v>
      </c>
      <c r="E232" s="277" t="e">
        <f>IF(VLOOKUP(D232,'EMBOP-CI_ITA'!$D$4:$D$250,1,FALSE)=D232,"YES","NO")</f>
        <v>#N/A</v>
      </c>
      <c r="F232" s="278" t="s">
        <v>141</v>
      </c>
      <c r="G232" s="279">
        <v>0</v>
      </c>
      <c r="H232" s="280"/>
      <c r="I232" s="281">
        <f>G232*H232</f>
        <v>0</v>
      </c>
      <c r="J232" s="282" t="s">
        <v>871</v>
      </c>
      <c r="K232" s="283" t="s">
        <v>872</v>
      </c>
      <c r="L232" s="283" t="s">
        <v>1248</v>
      </c>
      <c r="M232" s="283"/>
    </row>
    <row r="233" spans="1:13" s="275" customFormat="1" ht="12.75" x14ac:dyDescent="0.25">
      <c r="A233" s="553" t="s">
        <v>1311</v>
      </c>
      <c r="B233" s="566"/>
      <c r="C233" s="551"/>
      <c r="D233" s="552" t="s">
        <v>1349</v>
      </c>
      <c r="E233" s="552" t="str">
        <f>IF(VLOOKUP(D233,'EMBOP-CI_ITA'!$D$4:$D$250,1,FALSE)=D233,"YES","NO")</f>
        <v>YES</v>
      </c>
      <c r="F233" s="551"/>
      <c r="G233" s="565"/>
      <c r="H233" s="565"/>
      <c r="I233" s="565"/>
      <c r="J233" s="549"/>
      <c r="K233" s="548"/>
      <c r="L233" s="548"/>
      <c r="M233" s="548"/>
    </row>
    <row r="234" spans="1:13" ht="38.25" x14ac:dyDescent="0.25">
      <c r="A234" s="276" t="str">
        <f>+CONCATENATE($A$233,".",TEXT(ROW(A2)-ROW($A$1),0))</f>
        <v>OESC1.2.1</v>
      </c>
      <c r="B234" s="564" t="s">
        <v>1313</v>
      </c>
      <c r="C234" s="278" t="s">
        <v>652</v>
      </c>
      <c r="D234" s="277" t="s">
        <v>653</v>
      </c>
      <c r="E234" s="277" t="str">
        <f>IF(VLOOKUP(D234,'EMBOP-CI_ITA'!$D$4:$D$250,1,FALSE)=D234,"YES","NO")</f>
        <v>YES</v>
      </c>
      <c r="F234" s="278" t="s">
        <v>141</v>
      </c>
      <c r="G234" s="279">
        <v>0</v>
      </c>
      <c r="H234" s="280"/>
      <c r="I234" s="281">
        <f>G234*H234</f>
        <v>0</v>
      </c>
      <c r="J234" s="282" t="s">
        <v>871</v>
      </c>
      <c r="K234" s="283" t="s">
        <v>872</v>
      </c>
      <c r="L234" s="283" t="s">
        <v>1248</v>
      </c>
      <c r="M234" s="283"/>
    </row>
    <row r="235" spans="1:13" ht="38.25" x14ac:dyDescent="0.25">
      <c r="A235" s="276" t="str">
        <f>+CONCATENATE($A$233,".",TEXT(ROW(A3)-ROW($A$1),0))</f>
        <v>OESC1.2.2</v>
      </c>
      <c r="B235" s="563" t="s">
        <v>1315</v>
      </c>
      <c r="C235" s="562" t="s">
        <v>654</v>
      </c>
      <c r="D235" s="554" t="s">
        <v>655</v>
      </c>
      <c r="E235" s="554" t="str">
        <f>IF(VLOOKUP(D235,'EMBOP-CI_ITA'!$D$4:$D$250,1,FALSE)=D235,"YES","NO")</f>
        <v>YES</v>
      </c>
      <c r="F235" s="562" t="s">
        <v>141</v>
      </c>
      <c r="G235" s="279">
        <v>0</v>
      </c>
      <c r="H235" s="280"/>
      <c r="I235" s="561">
        <f>G235*H235</f>
        <v>0</v>
      </c>
      <c r="J235" s="560" t="s">
        <v>871</v>
      </c>
      <c r="K235" s="559" t="s">
        <v>883</v>
      </c>
      <c r="L235" s="559" t="s">
        <v>1248</v>
      </c>
      <c r="M235" s="559"/>
    </row>
    <row r="236" spans="1:13" ht="12.75" x14ac:dyDescent="0.25">
      <c r="A236" s="268" t="s">
        <v>1317</v>
      </c>
      <c r="B236" s="269"/>
      <c r="C236" s="269"/>
      <c r="D236" s="270" t="s">
        <v>1242</v>
      </c>
      <c r="E236" s="270" t="str">
        <f>IF(VLOOKUP(D236,'EMBOP-CI_ITA'!$D$4:$D$250,1,FALSE)=D236,"YES","NO")</f>
        <v>YES</v>
      </c>
      <c r="F236" s="269"/>
      <c r="G236" s="272"/>
      <c r="H236" s="272"/>
      <c r="I236" s="272"/>
      <c r="J236" s="273"/>
      <c r="K236" s="274"/>
      <c r="L236" s="274"/>
      <c r="M236" s="274"/>
    </row>
    <row r="237" spans="1:13" ht="12.75" x14ac:dyDescent="0.25">
      <c r="A237" s="553" t="s">
        <v>1318</v>
      </c>
      <c r="B237" s="552"/>
      <c r="C237" s="551"/>
      <c r="D237" s="552" t="s">
        <v>1319</v>
      </c>
      <c r="E237" s="552" t="str">
        <f>IF(VLOOKUP(D237,'EMBOP-CI_ITA'!$D$4:$D$250,1,FALSE)=D237,"YES","NO")</f>
        <v>YES</v>
      </c>
      <c r="F237" s="551"/>
      <c r="G237" s="550"/>
      <c r="H237" s="550"/>
      <c r="I237" s="550"/>
      <c r="J237" s="549"/>
      <c r="K237" s="548"/>
      <c r="L237" s="548"/>
      <c r="M237" s="548"/>
    </row>
    <row r="238" spans="1:13" ht="51" customHeight="1" x14ac:dyDescent="0.25">
      <c r="A238" s="276" t="str">
        <f>+CONCATENATE($A$237,".",TEXT(ROW(A2)-ROW($A$1),0))</f>
        <v>OECC2.2.1</v>
      </c>
      <c r="B238" s="1633" t="s">
        <v>1320</v>
      </c>
      <c r="C238" s="558" t="s">
        <v>611</v>
      </c>
      <c r="D238" s="277" t="s">
        <v>612</v>
      </c>
      <c r="E238" s="277" t="str">
        <f>IF(VLOOKUP(D238,'EMBOP-CI_ITA'!$D$4:$D$250,1,FALSE)=D238,"YES","NO")</f>
        <v>YES</v>
      </c>
      <c r="F238" s="278" t="s">
        <v>141</v>
      </c>
      <c r="G238" s="279">
        <v>0</v>
      </c>
      <c r="H238" s="280"/>
      <c r="I238" s="281">
        <f>G238*H238</f>
        <v>0</v>
      </c>
      <c r="J238" s="282" t="s">
        <v>871</v>
      </c>
      <c r="K238" s="283" t="s">
        <v>872</v>
      </c>
      <c r="L238" s="283" t="s">
        <v>1248</v>
      </c>
      <c r="M238" s="283"/>
    </row>
    <row r="239" spans="1:13" s="629" customFormat="1" ht="12.75" x14ac:dyDescent="0.25">
      <c r="A239" s="631"/>
      <c r="B239" s="1634"/>
      <c r="C239" s="632" t="s">
        <v>613</v>
      </c>
      <c r="D239" s="626" t="s">
        <v>1321</v>
      </c>
      <c r="E239" s="626" t="str">
        <f>IF(VLOOKUP(D239,'EMBOP-CI_ITA'!$D$4:$D$250,1,FALSE)=D239,"YES","NO")</f>
        <v>YES</v>
      </c>
      <c r="F239" s="625" t="s">
        <v>141</v>
      </c>
      <c r="G239" s="624">
        <v>0</v>
      </c>
      <c r="H239" s="623"/>
      <c r="I239" s="622">
        <f>G239*H239</f>
        <v>0</v>
      </c>
      <c r="J239" s="621"/>
      <c r="K239" s="620" t="s">
        <v>883</v>
      </c>
      <c r="L239" s="620" t="s">
        <v>1248</v>
      </c>
      <c r="M239" s="620"/>
    </row>
    <row r="240" spans="1:13" ht="12.75" x14ac:dyDescent="0.25">
      <c r="A240" s="553" t="s">
        <v>1322</v>
      </c>
      <c r="B240" s="552"/>
      <c r="C240" s="551"/>
      <c r="D240" s="552" t="s">
        <v>1323</v>
      </c>
      <c r="E240" s="552" t="str">
        <f>IF(VLOOKUP(D240,'EMBOP-CI_ITA'!$D$4:$D$250,1,FALSE)=D240,"YES","NO")</f>
        <v>YES</v>
      </c>
      <c r="F240" s="551"/>
      <c r="G240" s="550"/>
      <c r="H240" s="550"/>
      <c r="I240" s="550"/>
      <c r="J240" s="549"/>
      <c r="K240" s="548"/>
      <c r="L240" s="548"/>
      <c r="M240" s="548"/>
    </row>
    <row r="241" spans="1:13" ht="12.75" x14ac:dyDescent="0.25">
      <c r="A241" s="276" t="str">
        <f>+CONCATENATE($A$240,".",TEXT(ROW(A2)-ROW($A$1),0))</f>
        <v>OECC2.3.1</v>
      </c>
      <c r="B241" s="1635" t="s">
        <v>1320</v>
      </c>
      <c r="C241" s="557" t="s">
        <v>618</v>
      </c>
      <c r="D241" s="277" t="s">
        <v>619</v>
      </c>
      <c r="E241" s="277" t="str">
        <f>IF(VLOOKUP(D241,'EMBOP-CI_ITA'!$D$4:$D$250,1,FALSE)=D241,"YES","NO")</f>
        <v>YES</v>
      </c>
      <c r="F241" s="278" t="s">
        <v>141</v>
      </c>
      <c r="G241" s="279">
        <v>0</v>
      </c>
      <c r="H241" s="280"/>
      <c r="I241" s="281">
        <f>G241*H241</f>
        <v>0</v>
      </c>
      <c r="J241" s="282" t="s">
        <v>871</v>
      </c>
      <c r="K241" s="283" t="s">
        <v>872</v>
      </c>
      <c r="L241" s="283" t="s">
        <v>1248</v>
      </c>
      <c r="M241" s="283"/>
    </row>
    <row r="242" spans="1:13" s="629" customFormat="1" ht="12.75" x14ac:dyDescent="0.25">
      <c r="A242" s="631" t="str">
        <f>+CONCATENATE($A$240,".",TEXT(ROW(A3)-ROW($A$1),0))</f>
        <v>OECC2.3.2</v>
      </c>
      <c r="B242" s="1635"/>
      <c r="C242" s="630" t="s">
        <v>620</v>
      </c>
      <c r="D242" s="626" t="s">
        <v>1324</v>
      </c>
      <c r="E242" s="626" t="str">
        <f>IF(VLOOKUP(D242,'EMBOP-CI_ITA'!$D$4:$D$250,1,FALSE)=D242,"YES","NO")</f>
        <v>YES</v>
      </c>
      <c r="F242" s="625" t="s">
        <v>141</v>
      </c>
      <c r="G242" s="624">
        <v>0</v>
      </c>
      <c r="H242" s="623"/>
      <c r="I242" s="622">
        <f>G242*H242</f>
        <v>0</v>
      </c>
      <c r="J242" s="621" t="s">
        <v>871</v>
      </c>
      <c r="K242" s="620" t="s">
        <v>883</v>
      </c>
      <c r="L242" s="620" t="s">
        <v>1248</v>
      </c>
      <c r="M242" s="620"/>
    </row>
    <row r="243" spans="1:13" ht="12.75" x14ac:dyDescent="0.25">
      <c r="A243" s="553" t="s">
        <v>1325</v>
      </c>
      <c r="B243" s="552"/>
      <c r="C243" s="551"/>
      <c r="D243" s="552" t="s">
        <v>1326</v>
      </c>
      <c r="E243" s="552" t="str">
        <f>IF(VLOOKUP(D243,'EMBOP-CI_ITA'!$D$4:$D$250,1,FALSE)=D243,"YES","NO")</f>
        <v>YES</v>
      </c>
      <c r="F243" s="551"/>
      <c r="G243" s="550"/>
      <c r="H243" s="550"/>
      <c r="I243" s="550"/>
      <c r="J243" s="549"/>
      <c r="K243" s="548"/>
      <c r="L243" s="548"/>
      <c r="M243" s="548"/>
    </row>
    <row r="244" spans="1:13" ht="25.5" customHeight="1" x14ac:dyDescent="0.25">
      <c r="A244" s="278"/>
      <c r="B244" s="1636" t="s">
        <v>1327</v>
      </c>
      <c r="C244" s="278" t="s">
        <v>1328</v>
      </c>
      <c r="D244" s="277" t="s">
        <v>1329</v>
      </c>
      <c r="E244" s="277" t="str">
        <f>IF(VLOOKUP(D244,'EMBOP-CI_ITA'!$D$4:$D$250,1,FALSE)=D244,"YES","NO")</f>
        <v>YES</v>
      </c>
      <c r="F244" s="278" t="s">
        <v>141</v>
      </c>
      <c r="G244" s="279">
        <v>0</v>
      </c>
      <c r="H244" s="280"/>
      <c r="I244" s="281">
        <f>G244*H244</f>
        <v>0</v>
      </c>
      <c r="J244" s="282" t="s">
        <v>871</v>
      </c>
      <c r="K244" s="283" t="s">
        <v>872</v>
      </c>
      <c r="L244" s="283" t="s">
        <v>1248</v>
      </c>
      <c r="M244" s="283"/>
    </row>
    <row r="245" spans="1:13" s="619" customFormat="1" x14ac:dyDescent="0.25">
      <c r="A245" s="628"/>
      <c r="B245" s="1637"/>
      <c r="C245" s="627" t="s">
        <v>1330</v>
      </c>
      <c r="D245" s="626" t="s">
        <v>1331</v>
      </c>
      <c r="E245" s="626" t="str">
        <f>IF(VLOOKUP(D245,'EMBOP-CI_ITA'!$D$4:$D$250,1,FALSE)=D245,"YES","NO")</f>
        <v>YES</v>
      </c>
      <c r="F245" s="625" t="s">
        <v>141</v>
      </c>
      <c r="G245" s="624">
        <v>0</v>
      </c>
      <c r="H245" s="623"/>
      <c r="I245" s="622">
        <f>G245*H245</f>
        <v>0</v>
      </c>
      <c r="J245" s="621" t="s">
        <v>871</v>
      </c>
      <c r="K245" s="620" t="s">
        <v>883</v>
      </c>
      <c r="L245" s="620" t="s">
        <v>1248</v>
      </c>
      <c r="M245" s="620"/>
    </row>
    <row r="246" spans="1:13" customFormat="1" x14ac:dyDescent="0.25">
      <c r="A246" s="553"/>
      <c r="B246" s="552"/>
      <c r="C246" s="551"/>
      <c r="D246" s="552" t="s">
        <v>1332</v>
      </c>
      <c r="E246" s="552" t="str">
        <f>IF(VLOOKUP(D246,'EMBOP-CI_ITA'!$D$4:$D$250,1,FALSE)=D246,"YES","NO")</f>
        <v>YES</v>
      </c>
      <c r="F246" s="551"/>
      <c r="G246" s="550"/>
      <c r="H246" s="550"/>
      <c r="I246" s="550"/>
      <c r="J246" s="549"/>
      <c r="K246" s="548"/>
      <c r="L246" s="548"/>
      <c r="M246" s="548"/>
    </row>
    <row r="247" spans="1:13" customFormat="1" ht="51" x14ac:dyDescent="0.25">
      <c r="A247" s="540"/>
      <c r="B247" s="547" t="s">
        <v>1333</v>
      </c>
      <c r="C247" s="278" t="s">
        <v>1334</v>
      </c>
      <c r="D247" s="277" t="s">
        <v>1335</v>
      </c>
      <c r="E247" s="277" t="str">
        <f>IF(VLOOKUP(D247,'EMBOP-CI_ITA'!$D$4:$D$250,1,FALSE)=D247,"YES","NO")</f>
        <v>YES</v>
      </c>
      <c r="F247" s="278" t="s">
        <v>141</v>
      </c>
      <c r="G247" s="279">
        <v>0</v>
      </c>
      <c r="H247" s="280"/>
      <c r="I247" s="281">
        <f>G247*H247</f>
        <v>0</v>
      </c>
      <c r="J247" s="282"/>
      <c r="K247" s="283" t="s">
        <v>1128</v>
      </c>
      <c r="L247" s="283" t="s">
        <v>1248</v>
      </c>
      <c r="M247" s="283"/>
    </row>
    <row r="248" spans="1:13" ht="15.75" x14ac:dyDescent="0.25">
      <c r="D248" s="286"/>
      <c r="E248" s="286"/>
      <c r="F248" s="287"/>
      <c r="G248" s="288" t="s">
        <v>1336</v>
      </c>
      <c r="H248" s="288" t="s">
        <v>1337</v>
      </c>
      <c r="I248" s="288" t="s">
        <v>1338</v>
      </c>
      <c r="J248" s="287"/>
    </row>
    <row r="249" spans="1:13" s="259" customFormat="1" ht="15.75" x14ac:dyDescent="0.25">
      <c r="B249" s="541"/>
      <c r="C249" s="542"/>
      <c r="D249" s="1625" t="s">
        <v>1339</v>
      </c>
      <c r="E249" s="1625"/>
      <c r="F249" s="1625"/>
      <c r="G249" s="281">
        <f>SUMIFS($I$5:$I$247,$K$5:$K$247,"W",$L$5:$L$247,"B")</f>
        <v>0</v>
      </c>
      <c r="H249" s="281">
        <f>SUMIFS($I$5:$I$247,$K$5:$K$247,"S",$L$5:$L$247,"B")</f>
        <v>0</v>
      </c>
      <c r="I249" s="281">
        <f>SUM(G249:H249)</f>
        <v>0</v>
      </c>
      <c r="J249" s="289"/>
      <c r="M249" s="284"/>
    </row>
    <row r="250" spans="1:13" s="259" customFormat="1" ht="15.75" x14ac:dyDescent="0.25">
      <c r="B250" s="541"/>
      <c r="C250" s="542"/>
      <c r="D250" s="1625" t="s">
        <v>1340</v>
      </c>
      <c r="E250" s="1625"/>
      <c r="F250" s="1625"/>
      <c r="G250" s="281">
        <f>SUMIFS($I$5:$I$247,$K$5:$K$247,"W",$L$5:$L$247,"O")</f>
        <v>0</v>
      </c>
      <c r="H250" s="281" t="e">
        <f>SUMIFS($I$5:$J$247,$K$5:$K$247,"S",$L$5:$L$247,"O")</f>
        <v>#VALUE!</v>
      </c>
      <c r="I250" s="281" t="e">
        <f>SUM(G250:H250)</f>
        <v>#VALUE!</v>
      </c>
      <c r="J250" s="289"/>
      <c r="M250" s="284"/>
    </row>
    <row r="251" spans="1:13" x14ac:dyDescent="0.25">
      <c r="F251" s="290"/>
      <c r="G251" s="281">
        <f>SUM(G249:G250)</f>
        <v>0</v>
      </c>
      <c r="H251" s="281" t="e">
        <f>SUM(H249:H250)</f>
        <v>#VALUE!</v>
      </c>
      <c r="I251" s="281" t="e">
        <f>SUM(I249:I250)</f>
        <v>#VALUE!</v>
      </c>
      <c r="J251" s="289"/>
    </row>
  </sheetData>
  <autoFilter ref="A2:M225" xr:uid="{857F10D8-5D09-4C45-9AFA-18FF584056D0}">
    <filterColumn colId="7" showButton="0"/>
  </autoFilter>
  <mergeCells count="36">
    <mergeCell ref="B241:B242"/>
    <mergeCell ref="B244:B245"/>
    <mergeCell ref="K228:K229"/>
    <mergeCell ref="L228:L229"/>
    <mergeCell ref="J228:J229"/>
    <mergeCell ref="B98:B100"/>
    <mergeCell ref="B116:B139"/>
    <mergeCell ref="J125:J129"/>
    <mergeCell ref="M228:M229"/>
    <mergeCell ref="B238:B239"/>
    <mergeCell ref="D250:F250"/>
    <mergeCell ref="B140:B141"/>
    <mergeCell ref="B205:B206"/>
    <mergeCell ref="F228:I228"/>
    <mergeCell ref="B23:B25"/>
    <mergeCell ref="B26:B28"/>
    <mergeCell ref="B34:B40"/>
    <mergeCell ref="B41:B50"/>
    <mergeCell ref="B51:B52"/>
    <mergeCell ref="B53:B62"/>
    <mergeCell ref="B63:B69"/>
    <mergeCell ref="B78:B81"/>
    <mergeCell ref="B82:B87"/>
    <mergeCell ref="D249:F249"/>
    <mergeCell ref="B88:B91"/>
    <mergeCell ref="B92:B97"/>
    <mergeCell ref="M2:M3"/>
    <mergeCell ref="B6:B8"/>
    <mergeCell ref="B29:B31"/>
    <mergeCell ref="H2:I2"/>
    <mergeCell ref="J2:J3"/>
    <mergeCell ref="K2:K3"/>
    <mergeCell ref="L2:L3"/>
    <mergeCell ref="B9:B14"/>
    <mergeCell ref="B15:B17"/>
    <mergeCell ref="B20:B22"/>
  </mergeCells>
  <pageMargins left="0.7" right="0.7" top="0.75" bottom="0.75" header="0.3" footer="0.3"/>
  <pageSetup orientation="portrait"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56D248-2C3B-4D64-895E-21B758E19FEA}">
  <sheetPr>
    <tabColor rgb="FF00B050"/>
  </sheetPr>
  <dimension ref="B2:AL205"/>
  <sheetViews>
    <sheetView showGridLines="0" zoomScale="70" zoomScaleNormal="70" zoomScaleSheetLayoutView="80" workbookViewId="0">
      <pane xSplit="11" ySplit="9" topLeftCell="R181" activePane="bottomRight" state="frozen"/>
      <selection activeCell="G29" sqref="G29"/>
      <selection pane="topRight" activeCell="G29" sqref="G29"/>
      <selection pane="bottomLeft" activeCell="G29" sqref="G29"/>
      <selection pane="bottomRight" activeCell="V130" sqref="V130:V188"/>
    </sheetView>
  </sheetViews>
  <sheetFormatPr defaultColWidth="11" defaultRowHeight="12.75" outlineLevelRow="1" outlineLevelCol="1" x14ac:dyDescent="0.2"/>
  <cols>
    <col min="1" max="1" width="1.28515625" style="19" customWidth="1"/>
    <col min="2" max="2" width="12.42578125" style="79" bestFit="1" customWidth="1"/>
    <col min="3" max="3" width="19.7109375" style="79" customWidth="1"/>
    <col min="4" max="4" width="13.7109375" style="79" bestFit="1" customWidth="1"/>
    <col min="5" max="5" width="6" style="79" hidden="1" customWidth="1"/>
    <col min="6" max="6" width="14.5703125" style="319" hidden="1" customWidth="1"/>
    <col min="7" max="7" width="22.85546875" style="319" hidden="1" customWidth="1"/>
    <col min="8" max="8" width="83.42578125" style="1353" customWidth="1"/>
    <col min="9" max="9" width="7.140625" style="79" bestFit="1" customWidth="1"/>
    <col min="10" max="10" width="11.5703125" style="79" hidden="1" customWidth="1"/>
    <col min="11" max="11" width="14" style="79" customWidth="1"/>
    <col min="12" max="20" width="18.42578125" style="79" customWidth="1"/>
    <col min="21" max="21" width="14.42578125" style="79" customWidth="1"/>
    <col min="22" max="22" width="15.7109375" style="79" bestFit="1" customWidth="1"/>
    <col min="23" max="23" width="50.42578125" style="80" bestFit="1" customWidth="1"/>
    <col min="24" max="25" width="2.5703125" style="19" hidden="1" customWidth="1"/>
    <col min="26" max="29" width="9.28515625" style="19" hidden="1" customWidth="1" outlineLevel="1"/>
    <col min="30" max="30" width="6.5703125" style="19" hidden="1" customWidth="1" outlineLevel="1"/>
    <col min="31" max="31" width="12" style="19" hidden="1" customWidth="1" outlineLevel="1"/>
    <col min="32" max="33" width="7.85546875" style="19" hidden="1" customWidth="1" outlineLevel="1"/>
    <col min="34" max="37" width="10.5703125" style="19" hidden="1" customWidth="1" outlineLevel="1"/>
    <col min="38" max="38" width="8.42578125" style="19" customWidth="1" collapsed="1"/>
    <col min="39" max="39" width="2.5703125" style="19" customWidth="1"/>
    <col min="40" max="16384" width="11" style="19"/>
  </cols>
  <sheetData>
    <row r="2" spans="2:38" ht="6.75" customHeight="1" thickBot="1" x14ac:dyDescent="0.25">
      <c r="W2" s="184" t="s">
        <v>1350</v>
      </c>
      <c r="X2" s="185"/>
      <c r="Y2" s="185"/>
      <c r="Z2" s="186"/>
      <c r="AA2" s="188"/>
      <c r="AB2" s="188"/>
      <c r="AC2" s="188"/>
      <c r="AD2" s="188"/>
      <c r="AE2" s="188"/>
      <c r="AF2" s="188"/>
      <c r="AG2" s="188"/>
      <c r="AH2" s="188"/>
      <c r="AI2" s="188"/>
      <c r="AJ2" s="188"/>
      <c r="AK2" s="187"/>
    </row>
    <row r="3" spans="2:38" ht="6.75" customHeight="1" x14ac:dyDescent="0.2">
      <c r="W3" s="18"/>
      <c r="X3" s="25"/>
      <c r="Y3" s="25"/>
      <c r="Z3" s="189" t="b">
        <v>1</v>
      </c>
      <c r="AA3" s="189" t="b">
        <v>1</v>
      </c>
      <c r="AB3" s="189" t="b">
        <v>1</v>
      </c>
      <c r="AC3" s="189" t="b">
        <v>1</v>
      </c>
      <c r="AD3" s="189" t="b">
        <v>1</v>
      </c>
      <c r="AE3" s="189" t="b">
        <v>1</v>
      </c>
      <c r="AF3" s="189" t="b">
        <v>1</v>
      </c>
      <c r="AG3" s="189" t="b">
        <v>1</v>
      </c>
      <c r="AH3" s="189" t="b">
        <v>1</v>
      </c>
      <c r="AI3" s="189" t="b">
        <v>1</v>
      </c>
      <c r="AJ3" s="189" t="b">
        <v>1</v>
      </c>
      <c r="AK3" s="189" t="b">
        <v>1</v>
      </c>
      <c r="AL3" s="189"/>
    </row>
    <row r="4" spans="2:38" ht="6.75" customHeight="1" x14ac:dyDescent="0.2">
      <c r="W4" s="19"/>
      <c r="Z4" s="189">
        <f t="shared" ref="Z4:AK4" si="0">IF(Z3=FALSE,0,1)</f>
        <v>1</v>
      </c>
      <c r="AA4" s="189">
        <f t="shared" si="0"/>
        <v>1</v>
      </c>
      <c r="AB4" s="189">
        <f t="shared" si="0"/>
        <v>1</v>
      </c>
      <c r="AC4" s="189">
        <f t="shared" si="0"/>
        <v>1</v>
      </c>
      <c r="AD4" s="189">
        <f t="shared" si="0"/>
        <v>1</v>
      </c>
      <c r="AE4" s="189">
        <f t="shared" si="0"/>
        <v>1</v>
      </c>
      <c r="AF4" s="189">
        <f t="shared" si="0"/>
        <v>1</v>
      </c>
      <c r="AG4" s="189">
        <f t="shared" si="0"/>
        <v>1</v>
      </c>
      <c r="AH4" s="189">
        <f t="shared" si="0"/>
        <v>1</v>
      </c>
      <c r="AI4" s="189">
        <f t="shared" si="0"/>
        <v>1</v>
      </c>
      <c r="AJ4" s="189">
        <f t="shared" si="0"/>
        <v>1</v>
      </c>
      <c r="AK4" s="189">
        <f t="shared" si="0"/>
        <v>1</v>
      </c>
      <c r="AL4" s="189"/>
    </row>
    <row r="5" spans="2:38" ht="6.75" customHeight="1" thickBot="1" x14ac:dyDescent="0.25">
      <c r="B5" s="14"/>
      <c r="C5" s="14"/>
      <c r="D5" s="15"/>
      <c r="E5" s="15"/>
      <c r="F5" s="320"/>
      <c r="G5" s="320"/>
      <c r="H5" s="1354"/>
      <c r="I5" s="16"/>
      <c r="J5" s="16"/>
      <c r="K5" s="17"/>
      <c r="L5" s="17"/>
      <c r="M5" s="17"/>
      <c r="N5" s="17"/>
      <c r="O5" s="17"/>
      <c r="P5" s="17"/>
      <c r="Q5" s="17"/>
      <c r="R5" s="17"/>
      <c r="S5" s="17"/>
      <c r="T5" s="17"/>
      <c r="U5" s="17"/>
      <c r="V5" s="17"/>
      <c r="W5" s="18"/>
      <c r="X5" s="25"/>
      <c r="Y5" s="25"/>
    </row>
    <row r="6" spans="2:38" ht="15" customHeight="1" thickBot="1" x14ac:dyDescent="0.25">
      <c r="B6" s="1643" t="s">
        <v>1351</v>
      </c>
      <c r="C6" s="1644"/>
      <c r="D6" s="1644"/>
      <c r="E6" s="1644"/>
      <c r="F6" s="1644"/>
      <c r="G6" s="1644"/>
      <c r="H6" s="1644"/>
      <c r="I6" s="1644"/>
      <c r="J6" s="1644"/>
      <c r="K6" s="1644"/>
      <c r="L6" s="1644"/>
      <c r="M6" s="1644"/>
      <c r="N6" s="1644"/>
      <c r="O6" s="1644"/>
      <c r="P6" s="1644"/>
      <c r="Q6" s="1644"/>
      <c r="R6" s="1644"/>
      <c r="S6" s="1644"/>
      <c r="T6" s="1644"/>
      <c r="U6" s="1644"/>
      <c r="V6" s="1644"/>
      <c r="W6" s="1645"/>
      <c r="X6" s="25"/>
      <c r="Y6" s="25"/>
      <c r="Z6" s="1646" t="s">
        <v>1352</v>
      </c>
      <c r="AA6" s="1647"/>
      <c r="AB6" s="1647"/>
      <c r="AC6" s="1647"/>
      <c r="AD6" s="1647"/>
      <c r="AE6" s="1647"/>
      <c r="AF6" s="1647"/>
      <c r="AG6" s="1647"/>
      <c r="AH6" s="1647"/>
      <c r="AI6" s="1647"/>
      <c r="AJ6" s="1647"/>
      <c r="AK6" s="1647"/>
      <c r="AL6" s="1648"/>
    </row>
    <row r="7" spans="2:38" ht="5.25" customHeight="1" thickBot="1" x14ac:dyDescent="0.25">
      <c r="B7" s="472"/>
      <c r="C7" s="14"/>
      <c r="D7" s="15"/>
      <c r="E7" s="15"/>
      <c r="F7" s="320"/>
      <c r="G7" s="320"/>
      <c r="H7" s="1355"/>
      <c r="I7" s="16"/>
      <c r="J7" s="16"/>
      <c r="K7" s="17"/>
      <c r="L7" s="17"/>
      <c r="M7" s="17"/>
      <c r="N7" s="17"/>
      <c r="O7" s="17"/>
      <c r="P7" s="17"/>
      <c r="Q7" s="17"/>
      <c r="R7" s="17"/>
      <c r="S7" s="17"/>
      <c r="T7" s="17"/>
      <c r="U7" s="17"/>
      <c r="V7" s="17"/>
      <c r="W7" s="474"/>
      <c r="X7" s="25"/>
      <c r="Y7" s="25"/>
      <c r="Z7" s="24"/>
      <c r="AA7" s="24"/>
      <c r="AB7" s="24"/>
      <c r="AC7" s="24"/>
      <c r="AD7" s="24"/>
      <c r="AE7" s="24"/>
      <c r="AF7" s="24"/>
      <c r="AG7" s="24"/>
      <c r="AH7" s="24"/>
      <c r="AI7" s="24"/>
      <c r="AJ7" s="24"/>
      <c r="AK7" s="24"/>
      <c r="AL7" s="24"/>
    </row>
    <row r="8" spans="2:38" s="197" customFormat="1" ht="25.5" x14ac:dyDescent="0.25">
      <c r="B8" s="190" t="s">
        <v>135</v>
      </c>
      <c r="C8" s="191" t="s">
        <v>1353</v>
      </c>
      <c r="D8" s="191" t="s">
        <v>1354</v>
      </c>
      <c r="E8" s="191"/>
      <c r="F8" s="322"/>
      <c r="G8" s="323"/>
      <c r="H8" s="1356" t="s">
        <v>1355</v>
      </c>
      <c r="I8" s="193" t="s">
        <v>1356</v>
      </c>
      <c r="J8" s="193" t="s">
        <v>1357</v>
      </c>
      <c r="K8" s="193" t="s">
        <v>1358</v>
      </c>
      <c r="L8" s="1528" t="s">
        <v>142</v>
      </c>
      <c r="M8" s="1528"/>
      <c r="N8" s="1528"/>
      <c r="O8" s="1528" t="s">
        <v>143</v>
      </c>
      <c r="P8" s="1528"/>
      <c r="Q8" s="1528"/>
      <c r="R8" s="1528"/>
      <c r="S8" s="1528" t="s">
        <v>144</v>
      </c>
      <c r="T8" s="1528"/>
      <c r="U8" s="193" t="s">
        <v>1359</v>
      </c>
      <c r="V8" s="193" t="s">
        <v>1360</v>
      </c>
      <c r="W8" s="194" t="s">
        <v>1361</v>
      </c>
      <c r="X8" s="34"/>
      <c r="Y8" s="34"/>
      <c r="Z8" s="190" t="s">
        <v>1362</v>
      </c>
      <c r="AA8" s="191" t="s">
        <v>1363</v>
      </c>
      <c r="AB8" s="191" t="s">
        <v>1364</v>
      </c>
      <c r="AC8" s="191" t="s">
        <v>1365</v>
      </c>
      <c r="AD8" s="193" t="s">
        <v>1366</v>
      </c>
      <c r="AE8" s="193" t="s">
        <v>1367</v>
      </c>
      <c r="AF8" s="193" t="s">
        <v>1368</v>
      </c>
      <c r="AG8" s="193" t="s">
        <v>1369</v>
      </c>
      <c r="AH8" s="193" t="s">
        <v>1370</v>
      </c>
      <c r="AI8" s="193" t="s">
        <v>1371</v>
      </c>
      <c r="AJ8" s="193" t="s">
        <v>1372</v>
      </c>
      <c r="AK8" s="195" t="s">
        <v>1373</v>
      </c>
      <c r="AL8" s="196" t="s">
        <v>133</v>
      </c>
    </row>
    <row r="9" spans="2:38" s="62" customFormat="1" ht="31.9" customHeight="1" x14ac:dyDescent="0.2">
      <c r="B9" s="64"/>
      <c r="C9" s="168"/>
      <c r="D9" s="198"/>
      <c r="E9" s="820"/>
      <c r="F9" s="324" t="s">
        <v>155</v>
      </c>
      <c r="G9" s="325" t="s">
        <v>155</v>
      </c>
      <c r="H9" s="199"/>
      <c r="I9" s="200"/>
      <c r="J9" s="200"/>
      <c r="K9" s="57"/>
      <c r="L9" s="983" t="s">
        <v>148</v>
      </c>
      <c r="M9" s="983" t="s">
        <v>149</v>
      </c>
      <c r="N9" s="983" t="s">
        <v>150</v>
      </c>
      <c r="O9" s="983" t="s">
        <v>148</v>
      </c>
      <c r="P9" s="983" t="s">
        <v>149</v>
      </c>
      <c r="Q9" s="983" t="s">
        <v>150</v>
      </c>
      <c r="R9" s="983" t="s">
        <v>151</v>
      </c>
      <c r="S9" s="983" t="s">
        <v>150</v>
      </c>
      <c r="T9" s="983" t="s">
        <v>152</v>
      </c>
      <c r="U9" s="201"/>
      <c r="V9" s="202"/>
      <c r="W9" s="46"/>
      <c r="X9" s="47"/>
      <c r="Y9" s="47"/>
      <c r="Z9" s="205"/>
      <c r="AA9" s="43"/>
      <c r="AB9" s="43"/>
      <c r="AC9" s="43"/>
      <c r="AD9" s="43"/>
      <c r="AE9" s="43"/>
      <c r="AF9" s="43"/>
      <c r="AG9" s="43"/>
      <c r="AH9" s="43"/>
      <c r="AI9" s="43"/>
      <c r="AJ9" s="43"/>
      <c r="AK9" s="203"/>
      <c r="AL9" s="204"/>
    </row>
    <row r="10" spans="2:38" ht="15.75" collapsed="1" x14ac:dyDescent="0.2">
      <c r="B10" s="63"/>
      <c r="C10" s="167"/>
      <c r="D10" s="35"/>
      <c r="E10" s="821"/>
      <c r="F10" s="326"/>
      <c r="G10" s="327"/>
      <c r="H10" s="1357" t="s">
        <v>1374</v>
      </c>
      <c r="I10" s="35" t="s">
        <v>207</v>
      </c>
      <c r="J10" s="35" t="s">
        <v>207</v>
      </c>
      <c r="K10" s="36"/>
      <c r="L10" s="36"/>
      <c r="M10" s="36"/>
      <c r="N10" s="36"/>
      <c r="O10" s="36"/>
      <c r="P10" s="36"/>
      <c r="Q10" s="36"/>
      <c r="R10" s="36"/>
      <c r="S10" s="36"/>
      <c r="T10" s="36"/>
      <c r="U10" s="37"/>
      <c r="V10" s="38"/>
      <c r="W10" s="206"/>
      <c r="Z10" s="207"/>
      <c r="AA10" s="210"/>
      <c r="AB10" s="210"/>
      <c r="AC10" s="210"/>
      <c r="AD10" s="210"/>
      <c r="AE10" s="210"/>
      <c r="AF10" s="210"/>
      <c r="AG10" s="210"/>
      <c r="AH10" s="210"/>
      <c r="AI10" s="210"/>
      <c r="AJ10" s="210"/>
      <c r="AK10" s="208"/>
      <c r="AL10" s="209"/>
    </row>
    <row r="11" spans="2:38" ht="15.75" x14ac:dyDescent="0.2">
      <c r="B11" s="48"/>
      <c r="C11" s="163"/>
      <c r="D11" s="39"/>
      <c r="E11" s="822"/>
      <c r="F11" s="432"/>
      <c r="G11" s="433"/>
      <c r="H11" s="1358" t="s">
        <v>1375</v>
      </c>
      <c r="I11" s="40" t="s">
        <v>207</v>
      </c>
      <c r="J11" s="40" t="s">
        <v>207</v>
      </c>
      <c r="K11" s="41"/>
      <c r="L11" s="41"/>
      <c r="M11" s="41"/>
      <c r="N11" s="41"/>
      <c r="O11" s="41"/>
      <c r="P11" s="41"/>
      <c r="Q11" s="41"/>
      <c r="R11" s="41"/>
      <c r="S11" s="41"/>
      <c r="T11" s="41"/>
      <c r="U11" s="42"/>
      <c r="V11" s="42"/>
      <c r="W11" s="211"/>
      <c r="Z11" s="212"/>
      <c r="AA11" s="215"/>
      <c r="AB11" s="215"/>
      <c r="AC11" s="215"/>
      <c r="AD11" s="215"/>
      <c r="AE11" s="215"/>
      <c r="AF11" s="215"/>
      <c r="AG11" s="215"/>
      <c r="AH11" s="215"/>
      <c r="AI11" s="215"/>
      <c r="AJ11" s="215"/>
      <c r="AK11" s="213"/>
      <c r="AL11" s="214"/>
    </row>
    <row r="12" spans="2:38" s="47" customFormat="1" ht="43.5" customHeight="1" outlineLevel="1" x14ac:dyDescent="0.2">
      <c r="B12" s="481" t="s">
        <v>1376</v>
      </c>
      <c r="C12" s="1335" t="str">
        <f>'Reference documents'!B27</f>
        <v>GRE.EEC.S.25.XX.S.00000.15.001.00</v>
      </c>
      <c r="D12" s="216" t="s">
        <v>1377</v>
      </c>
      <c r="E12" s="823"/>
      <c r="F12" s="328"/>
      <c r="G12" s="328"/>
      <c r="H12" s="1359" t="s">
        <v>1378</v>
      </c>
      <c r="I12" s="43" t="s">
        <v>1379</v>
      </c>
      <c r="J12" s="43" t="s">
        <v>1380</v>
      </c>
      <c r="K12" s="44">
        <f>AL12</f>
        <v>100000</v>
      </c>
      <c r="L12" s="1290">
        <v>7.6029029800490245E-3</v>
      </c>
      <c r="M12" s="1290">
        <v>40</v>
      </c>
      <c r="N12" s="1297">
        <f>L12*M12</f>
        <v>0.30411611920196097</v>
      </c>
      <c r="O12" s="1290">
        <v>5.0000000000000001E-3</v>
      </c>
      <c r="P12" s="1290">
        <v>70</v>
      </c>
      <c r="Q12" s="1297">
        <f>O12*P12</f>
        <v>0.35000000000000003</v>
      </c>
      <c r="R12" s="1298"/>
      <c r="S12" s="1290"/>
      <c r="T12" s="1298"/>
      <c r="U12" s="1291">
        <f t="shared" ref="U12" si="1">S12+Q12+N12</f>
        <v>0.654116119201961</v>
      </c>
      <c r="V12" s="45">
        <f>K12*U12</f>
        <v>65411.611920196097</v>
      </c>
      <c r="W12" s="217" t="s">
        <v>1381</v>
      </c>
      <c r="Z12" s="218">
        <v>100000</v>
      </c>
      <c r="AA12" s="219"/>
      <c r="AB12" s="219"/>
      <c r="AC12" s="219"/>
      <c r="AD12" s="219"/>
      <c r="AE12" s="219"/>
      <c r="AF12" s="219"/>
      <c r="AG12" s="219"/>
      <c r="AH12" s="219"/>
      <c r="AI12" s="219"/>
      <c r="AJ12" s="219"/>
      <c r="AK12" s="219"/>
      <c r="AL12" s="220">
        <f>SUMPRODUCT($Z$4:$AK$4,Z12:AK12)</f>
        <v>100000</v>
      </c>
    </row>
    <row r="13" spans="2:38" s="47" customFormat="1" ht="43.5" customHeight="1" outlineLevel="1" x14ac:dyDescent="0.2">
      <c r="B13" s="481" t="s">
        <v>1376</v>
      </c>
      <c r="C13" s="480" t="str">
        <f>'Reference documents'!B27</f>
        <v>GRE.EEC.S.25.XX.S.00000.15.001.00</v>
      </c>
      <c r="D13" s="216" t="s">
        <v>1382</v>
      </c>
      <c r="E13" s="824"/>
      <c r="F13" s="434"/>
      <c r="G13" s="435"/>
      <c r="H13" s="1359" t="s">
        <v>1383</v>
      </c>
      <c r="I13" s="43" t="s">
        <v>1384</v>
      </c>
      <c r="J13" s="43" t="s">
        <v>1385</v>
      </c>
      <c r="K13" s="44">
        <f>AL13</f>
        <v>1650</v>
      </c>
      <c r="L13" s="1290">
        <v>0.16261485847084761</v>
      </c>
      <c r="M13" s="1290">
        <v>40</v>
      </c>
      <c r="N13" s="1297">
        <f t="shared" ref="N13" si="2">L13*M13</f>
        <v>6.504594338833904</v>
      </c>
      <c r="O13" s="1290">
        <v>0.15</v>
      </c>
      <c r="P13" s="1290">
        <v>70</v>
      </c>
      <c r="Q13" s="1297">
        <f t="shared" ref="Q13" si="3">O13*P13</f>
        <v>10.5</v>
      </c>
      <c r="R13" s="1298"/>
      <c r="S13" s="1290"/>
      <c r="T13" s="1298"/>
      <c r="U13" s="1291">
        <f t="shared" ref="U13:U23" si="4">S13+Q13+N13</f>
        <v>17.004594338833904</v>
      </c>
      <c r="V13" s="45">
        <f>K13*U13</f>
        <v>28057.580659075942</v>
      </c>
      <c r="W13" s="217" t="s">
        <v>1386</v>
      </c>
      <c r="Z13" s="218">
        <v>1650</v>
      </c>
      <c r="AA13" s="221"/>
      <c r="AB13" s="221"/>
      <c r="AC13" s="221"/>
      <c r="AD13" s="221"/>
      <c r="AE13" s="221"/>
      <c r="AF13" s="221"/>
      <c r="AG13" s="221"/>
      <c r="AH13" s="221"/>
      <c r="AI13" s="221"/>
      <c r="AJ13" s="221"/>
      <c r="AK13" s="219"/>
      <c r="AL13" s="220">
        <f>SUMPRODUCT($Z$4:$AK$4,Z13:AK13)</f>
        <v>1650</v>
      </c>
    </row>
    <row r="14" spans="2:38" ht="15.75" x14ac:dyDescent="0.2">
      <c r="B14" s="48"/>
      <c r="C14" s="163"/>
      <c r="D14" s="39"/>
      <c r="E14" s="822"/>
      <c r="F14" s="432"/>
      <c r="G14" s="433"/>
      <c r="H14" s="1358" t="s">
        <v>1387</v>
      </c>
      <c r="I14" s="40" t="s">
        <v>207</v>
      </c>
      <c r="J14" s="40" t="s">
        <v>207</v>
      </c>
      <c r="K14" s="41"/>
      <c r="L14" s="41"/>
      <c r="M14" s="41"/>
      <c r="N14" s="41"/>
      <c r="O14" s="41"/>
      <c r="P14" s="41"/>
      <c r="Q14" s="41"/>
      <c r="R14" s="41"/>
      <c r="S14" s="41"/>
      <c r="T14" s="41"/>
      <c r="U14" s="42"/>
      <c r="V14" s="42"/>
      <c r="W14" s="211"/>
      <c r="Z14" s="212"/>
      <c r="AA14" s="215"/>
      <c r="AB14" s="215"/>
      <c r="AC14" s="215"/>
      <c r="AD14" s="215"/>
      <c r="AE14" s="215"/>
      <c r="AF14" s="215"/>
      <c r="AG14" s="215"/>
      <c r="AH14" s="215"/>
      <c r="AI14" s="215"/>
      <c r="AJ14" s="215"/>
      <c r="AK14" s="213"/>
      <c r="AL14" s="214"/>
    </row>
    <row r="15" spans="2:38" s="47" customFormat="1" ht="43.5" customHeight="1" outlineLevel="1" x14ac:dyDescent="0.2">
      <c r="B15" s="481" t="s">
        <v>1376</v>
      </c>
      <c r="C15" s="480" t="str">
        <f>'Reference documents'!B27</f>
        <v>GRE.EEC.S.25.XX.S.00000.15.001.00</v>
      </c>
      <c r="D15" s="216" t="s">
        <v>1388</v>
      </c>
      <c r="E15" s="823"/>
      <c r="F15" s="328"/>
      <c r="G15" s="328"/>
      <c r="H15" s="1359" t="s">
        <v>1389</v>
      </c>
      <c r="I15" s="43" t="s">
        <v>1379</v>
      </c>
      <c r="J15" s="43" t="s">
        <v>1380</v>
      </c>
      <c r="K15" s="44">
        <f t="shared" ref="K15:K18" si="5">AL15</f>
        <v>5500</v>
      </c>
      <c r="L15" s="1290">
        <v>8.7629286097359843E-2</v>
      </c>
      <c r="M15" s="1290">
        <v>40</v>
      </c>
      <c r="N15" s="1297">
        <f t="shared" ref="N15:N23" si="6">L15*M15</f>
        <v>3.5051714438943939</v>
      </c>
      <c r="O15" s="1290">
        <v>0.02</v>
      </c>
      <c r="P15" s="1290">
        <v>70</v>
      </c>
      <c r="Q15" s="1297">
        <f t="shared" ref="Q15:Q23" si="7">O15*P15</f>
        <v>1.4000000000000001</v>
      </c>
      <c r="R15" s="1298"/>
      <c r="S15" s="1290"/>
      <c r="T15" s="1298"/>
      <c r="U15" s="1291">
        <f t="shared" si="4"/>
        <v>4.9051714438943943</v>
      </c>
      <c r="V15" s="45">
        <f t="shared" ref="V15:V23" si="8">K15*U15</f>
        <v>26978.442941419169</v>
      </c>
      <c r="W15" s="217" t="s">
        <v>1390</v>
      </c>
      <c r="Z15" s="218">
        <v>5500</v>
      </c>
      <c r="AA15" s="221"/>
      <c r="AB15" s="221"/>
      <c r="AC15" s="221"/>
      <c r="AD15" s="221"/>
      <c r="AE15" s="221"/>
      <c r="AF15" s="221"/>
      <c r="AG15" s="221"/>
      <c r="AH15" s="221"/>
      <c r="AI15" s="221"/>
      <c r="AJ15" s="221"/>
      <c r="AK15" s="219"/>
      <c r="AL15" s="220">
        <f t="shared" ref="AL15:AL23" si="9">SUMPRODUCT($Z$4:$AK$4,Z15:AK15)</f>
        <v>5500</v>
      </c>
    </row>
    <row r="16" spans="2:38" s="47" customFormat="1" ht="53.25" customHeight="1" outlineLevel="1" x14ac:dyDescent="0.2">
      <c r="B16" s="481" t="s">
        <v>1376</v>
      </c>
      <c r="C16" s="480" t="str">
        <f>'Reference documents'!B27</f>
        <v>GRE.EEC.S.25.XX.S.00000.15.001.00</v>
      </c>
      <c r="D16" s="216" t="s">
        <v>1391</v>
      </c>
      <c r="E16" s="823"/>
      <c r="F16" s="328"/>
      <c r="G16" s="328"/>
      <c r="H16" s="1360" t="s">
        <v>1392</v>
      </c>
      <c r="I16" s="216" t="s">
        <v>1393</v>
      </c>
      <c r="J16" s="216" t="s">
        <v>1385</v>
      </c>
      <c r="K16" s="44">
        <f t="shared" si="5"/>
        <v>3000</v>
      </c>
      <c r="L16" s="1290">
        <v>0.17066085811331161</v>
      </c>
      <c r="M16" s="1290">
        <v>40</v>
      </c>
      <c r="N16" s="1297">
        <f t="shared" si="6"/>
        <v>6.8264343245324639</v>
      </c>
      <c r="O16" s="1290">
        <v>0.08</v>
      </c>
      <c r="P16" s="1290">
        <v>70</v>
      </c>
      <c r="Q16" s="1297">
        <f t="shared" si="7"/>
        <v>5.6000000000000005</v>
      </c>
      <c r="R16" s="1298"/>
      <c r="S16" s="1290"/>
      <c r="T16" s="1298"/>
      <c r="U16" s="1291">
        <f t="shared" si="4"/>
        <v>12.426434324532465</v>
      </c>
      <c r="V16" s="45">
        <f>K16*U16</f>
        <v>37279.302973597398</v>
      </c>
      <c r="W16" s="217" t="s">
        <v>1394</v>
      </c>
      <c r="Z16" s="218">
        <v>3000</v>
      </c>
      <c r="AA16" s="221"/>
      <c r="AB16" s="221"/>
      <c r="AC16" s="221"/>
      <c r="AD16" s="221"/>
      <c r="AE16" s="221"/>
      <c r="AF16" s="221"/>
      <c r="AG16" s="221"/>
      <c r="AH16" s="221"/>
      <c r="AI16" s="221"/>
      <c r="AJ16" s="221"/>
      <c r="AK16" s="219"/>
      <c r="AL16" s="220">
        <f t="shared" si="9"/>
        <v>3000</v>
      </c>
    </row>
    <row r="17" spans="2:38" s="47" customFormat="1" ht="51" customHeight="1" outlineLevel="1" x14ac:dyDescent="0.2">
      <c r="B17" s="481" t="s">
        <v>1376</v>
      </c>
      <c r="C17" s="480" t="str">
        <f>'Reference documents'!B27</f>
        <v>GRE.EEC.S.25.XX.S.00000.15.001.00</v>
      </c>
      <c r="D17" s="216" t="s">
        <v>1395</v>
      </c>
      <c r="E17" s="824"/>
      <c r="F17" s="434"/>
      <c r="G17" s="435"/>
      <c r="H17" s="1360" t="s">
        <v>1396</v>
      </c>
      <c r="I17" s="216" t="s">
        <v>1393</v>
      </c>
      <c r="J17" s="216" t="s">
        <v>1385</v>
      </c>
      <c r="K17" s="44">
        <f t="shared" si="5"/>
        <v>0</v>
      </c>
      <c r="L17" s="1290"/>
      <c r="M17" s="1290"/>
      <c r="N17" s="1297">
        <f t="shared" si="6"/>
        <v>0</v>
      </c>
      <c r="O17" s="1290"/>
      <c r="P17" s="1290"/>
      <c r="Q17" s="1297">
        <f t="shared" si="7"/>
        <v>0</v>
      </c>
      <c r="R17" s="1298"/>
      <c r="S17" s="1290"/>
      <c r="T17" s="1298"/>
      <c r="U17" s="1291">
        <f t="shared" si="4"/>
        <v>0</v>
      </c>
      <c r="V17" s="45">
        <f t="shared" si="8"/>
        <v>0</v>
      </c>
      <c r="W17" s="217"/>
      <c r="Z17" s="218"/>
      <c r="AA17" s="221"/>
      <c r="AB17" s="221"/>
      <c r="AC17" s="221"/>
      <c r="AD17" s="221"/>
      <c r="AE17" s="221"/>
      <c r="AF17" s="221"/>
      <c r="AG17" s="221"/>
      <c r="AH17" s="221"/>
      <c r="AI17" s="221"/>
      <c r="AJ17" s="221"/>
      <c r="AK17" s="219"/>
      <c r="AL17" s="220">
        <f t="shared" si="9"/>
        <v>0</v>
      </c>
    </row>
    <row r="18" spans="2:38" s="47" customFormat="1" ht="43.5" customHeight="1" outlineLevel="1" x14ac:dyDescent="0.2">
      <c r="B18" s="481" t="s">
        <v>1376</v>
      </c>
      <c r="C18" s="480" t="str">
        <f>'Reference documents'!B27</f>
        <v>GRE.EEC.S.25.XX.S.00000.15.001.00</v>
      </c>
      <c r="D18" s="216" t="s">
        <v>1397</v>
      </c>
      <c r="E18" s="823"/>
      <c r="F18" s="328"/>
      <c r="G18" s="328"/>
      <c r="H18" s="1360" t="s">
        <v>1398</v>
      </c>
      <c r="I18" s="216" t="s">
        <v>1393</v>
      </c>
      <c r="J18" s="216" t="s">
        <v>1385</v>
      </c>
      <c r="K18" s="44">
        <f t="shared" si="5"/>
        <v>0</v>
      </c>
      <c r="L18" s="1290"/>
      <c r="M18" s="1290"/>
      <c r="N18" s="1297">
        <f t="shared" si="6"/>
        <v>0</v>
      </c>
      <c r="O18" s="1290"/>
      <c r="P18" s="1290"/>
      <c r="Q18" s="1297">
        <f t="shared" si="7"/>
        <v>0</v>
      </c>
      <c r="R18" s="1298"/>
      <c r="S18" s="1290"/>
      <c r="T18" s="1298"/>
      <c r="U18" s="1291">
        <f t="shared" si="4"/>
        <v>0</v>
      </c>
      <c r="V18" s="45">
        <f t="shared" si="8"/>
        <v>0</v>
      </c>
      <c r="W18" s="217"/>
      <c r="Z18" s="218"/>
      <c r="AA18" s="221"/>
      <c r="AB18" s="221"/>
      <c r="AC18" s="221"/>
      <c r="AD18" s="221"/>
      <c r="AE18" s="221"/>
      <c r="AF18" s="221"/>
      <c r="AG18" s="221"/>
      <c r="AH18" s="221"/>
      <c r="AI18" s="221"/>
      <c r="AJ18" s="221"/>
      <c r="AK18" s="219"/>
      <c r="AL18" s="220">
        <f t="shared" si="9"/>
        <v>0</v>
      </c>
    </row>
    <row r="19" spans="2:38" s="47" customFormat="1" ht="43.5" customHeight="1" outlineLevel="1" x14ac:dyDescent="0.2">
      <c r="B19" s="481" t="s">
        <v>1376</v>
      </c>
      <c r="C19" s="480" t="str">
        <f>'Reference documents'!B27</f>
        <v>GRE.EEC.S.25.XX.S.00000.15.001.00</v>
      </c>
      <c r="D19" s="216" t="s">
        <v>1399</v>
      </c>
      <c r="E19" s="823"/>
      <c r="F19" s="328"/>
      <c r="G19" s="328"/>
      <c r="H19" s="1360" t="s">
        <v>1400</v>
      </c>
      <c r="I19" s="216" t="s">
        <v>1379</v>
      </c>
      <c r="J19" s="216" t="s">
        <v>1380</v>
      </c>
      <c r="K19" s="44">
        <f>AL19</f>
        <v>4000</v>
      </c>
      <c r="L19" s="1290">
        <v>4.7406880257425836E-2</v>
      </c>
      <c r="M19" s="1290">
        <v>40</v>
      </c>
      <c r="N19" s="1297">
        <f t="shared" si="6"/>
        <v>1.8962752102970335</v>
      </c>
      <c r="O19" s="1290">
        <v>0.02</v>
      </c>
      <c r="P19" s="1290">
        <v>70</v>
      </c>
      <c r="Q19" s="1297">
        <f t="shared" si="7"/>
        <v>1.4000000000000001</v>
      </c>
      <c r="R19" s="1298"/>
      <c r="S19" s="1290"/>
      <c r="T19" s="1298"/>
      <c r="U19" s="1291">
        <f t="shared" si="4"/>
        <v>3.2962752102970336</v>
      </c>
      <c r="V19" s="45">
        <f t="shared" si="8"/>
        <v>13185.100841188134</v>
      </c>
      <c r="W19" s="217"/>
      <c r="Z19" s="218">
        <v>4000</v>
      </c>
      <c r="AA19" s="221"/>
      <c r="AB19" s="221"/>
      <c r="AC19" s="221"/>
      <c r="AD19" s="221"/>
      <c r="AE19" s="221"/>
      <c r="AF19" s="221"/>
      <c r="AG19" s="221"/>
      <c r="AH19" s="221"/>
      <c r="AI19" s="221"/>
      <c r="AJ19" s="221"/>
      <c r="AK19" s="219"/>
      <c r="AL19" s="220">
        <f t="shared" si="9"/>
        <v>4000</v>
      </c>
    </row>
    <row r="20" spans="2:38" s="47" customFormat="1" ht="43.5" customHeight="1" outlineLevel="1" x14ac:dyDescent="0.2">
      <c r="B20" s="481" t="s">
        <v>1376</v>
      </c>
      <c r="C20" s="480" t="str">
        <f>'Reference documents'!B27</f>
        <v>GRE.EEC.S.25.XX.S.00000.15.001.00</v>
      </c>
      <c r="D20" s="216" t="s">
        <v>1401</v>
      </c>
      <c r="E20" s="823"/>
      <c r="F20" s="328"/>
      <c r="G20" s="328"/>
      <c r="H20" s="1360" t="s">
        <v>1402</v>
      </c>
      <c r="I20" s="216" t="s">
        <v>1393</v>
      </c>
      <c r="J20" s="216" t="s">
        <v>1385</v>
      </c>
      <c r="K20" s="44">
        <f t="shared" ref="K20:K23" si="10">AL20</f>
        <v>700</v>
      </c>
      <c r="L20" s="1290">
        <v>0.19390800071507175</v>
      </c>
      <c r="M20" s="1290">
        <v>40</v>
      </c>
      <c r="N20" s="1297">
        <f t="shared" si="6"/>
        <v>7.75632002860287</v>
      </c>
      <c r="O20" s="1290">
        <v>0.02</v>
      </c>
      <c r="P20" s="1290">
        <v>70</v>
      </c>
      <c r="Q20" s="1297">
        <f t="shared" si="7"/>
        <v>1.4000000000000001</v>
      </c>
      <c r="R20" s="1298"/>
      <c r="S20" s="1290"/>
      <c r="T20" s="1298"/>
      <c r="U20" s="1291">
        <f t="shared" si="4"/>
        <v>9.1563200286028703</v>
      </c>
      <c r="V20" s="45">
        <f t="shared" si="8"/>
        <v>6409.4240200220092</v>
      </c>
      <c r="W20" s="217" t="s">
        <v>1403</v>
      </c>
      <c r="Z20" s="218">
        <v>700</v>
      </c>
      <c r="AA20" s="221"/>
      <c r="AB20" s="221"/>
      <c r="AC20" s="221"/>
      <c r="AD20" s="221"/>
      <c r="AE20" s="221"/>
      <c r="AF20" s="221"/>
      <c r="AG20" s="221"/>
      <c r="AH20" s="221"/>
      <c r="AI20" s="221"/>
      <c r="AJ20" s="221"/>
      <c r="AK20" s="219"/>
      <c r="AL20" s="220">
        <f t="shared" si="9"/>
        <v>700</v>
      </c>
    </row>
    <row r="21" spans="2:38" s="47" customFormat="1" ht="43.5" customHeight="1" outlineLevel="1" x14ac:dyDescent="0.2">
      <c r="B21" s="481" t="s">
        <v>1376</v>
      </c>
      <c r="C21" s="480" t="str">
        <f>'Reference documents'!B27</f>
        <v>GRE.EEC.S.25.XX.S.00000.15.001.00</v>
      </c>
      <c r="D21" s="216" t="s">
        <v>1404</v>
      </c>
      <c r="E21" s="823"/>
      <c r="F21" s="328"/>
      <c r="G21" s="328"/>
      <c r="H21" s="1360" t="s">
        <v>1405</v>
      </c>
      <c r="I21" s="216" t="s">
        <v>1393</v>
      </c>
      <c r="J21" s="216" t="s">
        <v>1385</v>
      </c>
      <c r="K21" s="44">
        <f t="shared" si="10"/>
        <v>700</v>
      </c>
      <c r="L21" s="1290">
        <v>0.17143657469747087</v>
      </c>
      <c r="M21" s="1290">
        <v>40</v>
      </c>
      <c r="N21" s="1297">
        <f t="shared" si="6"/>
        <v>6.8574629878988347</v>
      </c>
      <c r="O21" s="1290">
        <v>0.5</v>
      </c>
      <c r="P21" s="1290">
        <v>70</v>
      </c>
      <c r="Q21" s="1297">
        <f t="shared" si="7"/>
        <v>35</v>
      </c>
      <c r="R21" s="1298"/>
      <c r="S21" s="1290"/>
      <c r="T21" s="1298"/>
      <c r="U21" s="1291">
        <f t="shared" si="4"/>
        <v>41.857462987898835</v>
      </c>
      <c r="V21" s="45">
        <f t="shared" si="8"/>
        <v>29300.224091529184</v>
      </c>
      <c r="W21" s="217" t="s">
        <v>1403</v>
      </c>
      <c r="Z21" s="218">
        <v>700</v>
      </c>
      <c r="AA21" s="221"/>
      <c r="AB21" s="221"/>
      <c r="AC21" s="221"/>
      <c r="AD21" s="221"/>
      <c r="AE21" s="221"/>
      <c r="AF21" s="221"/>
      <c r="AG21" s="221"/>
      <c r="AH21" s="221"/>
      <c r="AI21" s="221"/>
      <c r="AJ21" s="221"/>
      <c r="AK21" s="219"/>
      <c r="AL21" s="220">
        <f t="shared" si="9"/>
        <v>700</v>
      </c>
    </row>
    <row r="22" spans="2:38" s="47" customFormat="1" ht="43.5" customHeight="1" outlineLevel="1" x14ac:dyDescent="0.2">
      <c r="B22" s="481" t="s">
        <v>1376</v>
      </c>
      <c r="C22" s="480" t="str">
        <f>'Reference documents'!B27</f>
        <v>GRE.EEC.S.25.XX.S.00000.15.001.00</v>
      </c>
      <c r="D22" s="216" t="s">
        <v>1406</v>
      </c>
      <c r="E22" s="824"/>
      <c r="F22" s="434"/>
      <c r="G22" s="435"/>
      <c r="H22" s="1360" t="s">
        <v>1407</v>
      </c>
      <c r="I22" s="216" t="s">
        <v>1393</v>
      </c>
      <c r="J22" s="216" t="s">
        <v>1385</v>
      </c>
      <c r="K22" s="44">
        <f t="shared" si="10"/>
        <v>0</v>
      </c>
      <c r="L22" s="1290"/>
      <c r="M22" s="1290"/>
      <c r="N22" s="1297">
        <f t="shared" si="6"/>
        <v>0</v>
      </c>
      <c r="O22" s="1290"/>
      <c r="P22" s="1290"/>
      <c r="Q22" s="1297">
        <f t="shared" si="7"/>
        <v>0</v>
      </c>
      <c r="R22" s="1298"/>
      <c r="S22" s="1290"/>
      <c r="T22" s="1298"/>
      <c r="U22" s="1291">
        <f t="shared" si="4"/>
        <v>0</v>
      </c>
      <c r="V22" s="45">
        <f t="shared" si="8"/>
        <v>0</v>
      </c>
      <c r="W22" s="217"/>
      <c r="Z22" s="218"/>
      <c r="AA22" s="221"/>
      <c r="AB22" s="221"/>
      <c r="AC22" s="221"/>
      <c r="AD22" s="221"/>
      <c r="AE22" s="221"/>
      <c r="AF22" s="221"/>
      <c r="AG22" s="221"/>
      <c r="AH22" s="221"/>
      <c r="AI22" s="221"/>
      <c r="AJ22" s="221"/>
      <c r="AK22" s="219"/>
      <c r="AL22" s="220">
        <f t="shared" si="9"/>
        <v>0</v>
      </c>
    </row>
    <row r="23" spans="2:38" s="47" customFormat="1" ht="43.5" customHeight="1" outlineLevel="1" x14ac:dyDescent="0.2">
      <c r="B23" s="481" t="s">
        <v>1376</v>
      </c>
      <c r="C23" s="480" t="str">
        <f>'Reference documents'!B27</f>
        <v>GRE.EEC.S.25.XX.S.00000.15.001.00</v>
      </c>
      <c r="D23" s="216" t="s">
        <v>1408</v>
      </c>
      <c r="E23" s="824"/>
      <c r="F23" s="434"/>
      <c r="G23" s="435"/>
      <c r="H23" s="1360" t="s">
        <v>1409</v>
      </c>
      <c r="I23" s="216" t="s">
        <v>1393</v>
      </c>
      <c r="J23" s="216" t="s">
        <v>1385</v>
      </c>
      <c r="K23" s="44">
        <f t="shared" si="10"/>
        <v>0</v>
      </c>
      <c r="L23" s="1290"/>
      <c r="M23" s="1290"/>
      <c r="N23" s="1297">
        <f t="shared" si="6"/>
        <v>0</v>
      </c>
      <c r="O23" s="1290"/>
      <c r="P23" s="1290"/>
      <c r="Q23" s="1297">
        <f t="shared" si="7"/>
        <v>0</v>
      </c>
      <c r="R23" s="1298"/>
      <c r="S23" s="1290"/>
      <c r="T23" s="1298"/>
      <c r="U23" s="1291">
        <f t="shared" si="4"/>
        <v>0</v>
      </c>
      <c r="V23" s="45">
        <f t="shared" si="8"/>
        <v>0</v>
      </c>
      <c r="W23" s="217"/>
      <c r="Z23" s="218"/>
      <c r="AA23" s="221"/>
      <c r="AB23" s="221"/>
      <c r="AC23" s="221"/>
      <c r="AD23" s="221"/>
      <c r="AE23" s="221"/>
      <c r="AF23" s="221"/>
      <c r="AG23" s="221"/>
      <c r="AH23" s="221"/>
      <c r="AI23" s="221"/>
      <c r="AJ23" s="221"/>
      <c r="AK23" s="219"/>
      <c r="AL23" s="220">
        <f t="shared" si="9"/>
        <v>0</v>
      </c>
    </row>
    <row r="24" spans="2:38" ht="15.75" x14ac:dyDescent="0.2">
      <c r="B24" s="48"/>
      <c r="C24" s="163"/>
      <c r="D24" s="39"/>
      <c r="E24" s="822"/>
      <c r="F24" s="432"/>
      <c r="G24" s="433"/>
      <c r="H24" s="1361" t="s">
        <v>1410</v>
      </c>
      <c r="I24" s="40" t="s">
        <v>207</v>
      </c>
      <c r="J24" s="40" t="s">
        <v>207</v>
      </c>
      <c r="K24" s="41"/>
      <c r="L24" s="41"/>
      <c r="M24" s="41"/>
      <c r="N24" s="41"/>
      <c r="O24" s="41"/>
      <c r="P24" s="41"/>
      <c r="Q24" s="41"/>
      <c r="R24" s="41"/>
      <c r="S24" s="41"/>
      <c r="T24" s="41"/>
      <c r="U24" s="42"/>
      <c r="V24" s="42"/>
      <c r="W24" s="211"/>
      <c r="Z24" s="212"/>
      <c r="AA24" s="215"/>
      <c r="AB24" s="215"/>
      <c r="AC24" s="215"/>
      <c r="AD24" s="215"/>
      <c r="AE24" s="215"/>
      <c r="AF24" s="215"/>
      <c r="AG24" s="215"/>
      <c r="AH24" s="215"/>
      <c r="AI24" s="215"/>
      <c r="AJ24" s="215"/>
      <c r="AK24" s="213"/>
      <c r="AL24" s="214"/>
    </row>
    <row r="25" spans="2:38" s="47" customFormat="1" ht="43.5" customHeight="1" outlineLevel="1" x14ac:dyDescent="0.2">
      <c r="B25" s="481" t="s">
        <v>1376</v>
      </c>
      <c r="C25" s="480" t="str">
        <f>'Reference documents'!B27</f>
        <v>GRE.EEC.S.25.XX.S.00000.15.001.00</v>
      </c>
      <c r="D25" s="216" t="s">
        <v>1411</v>
      </c>
      <c r="E25" s="823"/>
      <c r="F25" s="328"/>
      <c r="G25" s="328"/>
      <c r="H25" s="1360" t="s">
        <v>1412</v>
      </c>
      <c r="I25" s="43" t="s">
        <v>1393</v>
      </c>
      <c r="J25" s="43" t="s">
        <v>1385</v>
      </c>
      <c r="K25" s="44">
        <f t="shared" ref="K25:K30" si="11">AL25</f>
        <v>1200</v>
      </c>
      <c r="L25" s="1290">
        <v>0.22227000178767931</v>
      </c>
      <c r="M25" s="1290">
        <v>40</v>
      </c>
      <c r="N25" s="1297">
        <f t="shared" ref="N25:N30" si="12">L25*M25</f>
        <v>8.8908000715071722</v>
      </c>
      <c r="O25" s="1290">
        <v>0.2</v>
      </c>
      <c r="P25" s="1290">
        <v>70</v>
      </c>
      <c r="Q25" s="1297">
        <f t="shared" ref="Q25:Q30" si="13">O25*P25</f>
        <v>14</v>
      </c>
      <c r="R25" s="1298"/>
      <c r="S25" s="1290">
        <v>42.511485847084757</v>
      </c>
      <c r="T25" s="1298"/>
      <c r="U25" s="1291">
        <f t="shared" ref="U25:U28" si="14">S25+Q25+N25</f>
        <v>65.402285918591929</v>
      </c>
      <c r="V25" s="45">
        <f t="shared" ref="V25:V30" si="15">K25*U25</f>
        <v>78482.743102310313</v>
      </c>
      <c r="W25" s="217"/>
      <c r="Z25" s="218">
        <v>1200</v>
      </c>
      <c r="AA25" s="221"/>
      <c r="AB25" s="221"/>
      <c r="AC25" s="221"/>
      <c r="AD25" s="221"/>
      <c r="AE25" s="221"/>
      <c r="AF25" s="221"/>
      <c r="AG25" s="221"/>
      <c r="AH25" s="221"/>
      <c r="AI25" s="221"/>
      <c r="AJ25" s="221"/>
      <c r="AK25" s="219"/>
      <c r="AL25" s="220">
        <f t="shared" ref="AL25:AL30" si="16">SUMPRODUCT($Z$4:$AK$4,Z25:AK25)</f>
        <v>1200</v>
      </c>
    </row>
    <row r="26" spans="2:38" s="47" customFormat="1" ht="43.5" customHeight="1" outlineLevel="1" x14ac:dyDescent="0.2">
      <c r="B26" s="481" t="s">
        <v>1376</v>
      </c>
      <c r="C26" s="480" t="str">
        <f>'Reference documents'!B27</f>
        <v>GRE.EEC.S.25.XX.S.00000.15.001.00</v>
      </c>
      <c r="D26" s="216" t="s">
        <v>1413</v>
      </c>
      <c r="E26" s="823"/>
      <c r="F26" s="328"/>
      <c r="G26" s="328"/>
      <c r="H26" s="1360" t="s">
        <v>1414</v>
      </c>
      <c r="I26" s="43" t="s">
        <v>1393</v>
      </c>
      <c r="J26" s="43" t="s">
        <v>1385</v>
      </c>
      <c r="K26" s="44">
        <f t="shared" si="11"/>
        <v>400</v>
      </c>
      <c r="L26" s="1290">
        <v>0.34153140325357645</v>
      </c>
      <c r="M26" s="1290">
        <v>40</v>
      </c>
      <c r="N26" s="1297">
        <f t="shared" si="12"/>
        <v>13.661256130143059</v>
      </c>
      <c r="O26" s="1290">
        <v>0.4</v>
      </c>
      <c r="P26" s="1290">
        <v>70</v>
      </c>
      <c r="Q26" s="1297">
        <f t="shared" si="13"/>
        <v>28</v>
      </c>
      <c r="R26" s="1298"/>
      <c r="S26" s="1290">
        <v>77.370904241694248</v>
      </c>
      <c r="T26" s="1298"/>
      <c r="U26" s="1291">
        <f t="shared" si="14"/>
        <v>119.03216037183731</v>
      </c>
      <c r="V26" s="45">
        <f t="shared" si="15"/>
        <v>47612.864148734923</v>
      </c>
      <c r="W26" s="217"/>
      <c r="Z26" s="218">
        <v>400</v>
      </c>
      <c r="AA26" s="221"/>
      <c r="AB26" s="221"/>
      <c r="AC26" s="221"/>
      <c r="AD26" s="221"/>
      <c r="AE26" s="221"/>
      <c r="AF26" s="221"/>
      <c r="AG26" s="221"/>
      <c r="AH26" s="221"/>
      <c r="AI26" s="221"/>
      <c r="AJ26" s="221"/>
      <c r="AK26" s="219"/>
      <c r="AL26" s="220">
        <f t="shared" si="16"/>
        <v>400</v>
      </c>
    </row>
    <row r="27" spans="2:38" ht="43.5" customHeight="1" outlineLevel="1" x14ac:dyDescent="0.2">
      <c r="B27" s="481" t="s">
        <v>1376</v>
      </c>
      <c r="C27" s="480" t="str">
        <f>'Reference documents'!B27</f>
        <v>GRE.EEC.S.25.XX.S.00000.15.001.00</v>
      </c>
      <c r="D27" s="216" t="s">
        <v>1415</v>
      </c>
      <c r="E27" s="825"/>
      <c r="F27" s="329"/>
      <c r="G27" s="329"/>
      <c r="H27" s="1362" t="s">
        <v>1416</v>
      </c>
      <c r="I27" s="43" t="s">
        <v>1393</v>
      </c>
      <c r="J27" s="43" t="s">
        <v>1385</v>
      </c>
      <c r="K27" s="44">
        <f t="shared" si="11"/>
        <v>0</v>
      </c>
      <c r="L27" s="1290"/>
      <c r="M27" s="1290"/>
      <c r="N27" s="1297">
        <f t="shared" si="12"/>
        <v>0</v>
      </c>
      <c r="O27" s="1290"/>
      <c r="P27" s="1290"/>
      <c r="Q27" s="1297">
        <f t="shared" si="13"/>
        <v>0</v>
      </c>
      <c r="R27" s="1298"/>
      <c r="S27" s="1290"/>
      <c r="T27" s="1298"/>
      <c r="U27" s="1291">
        <f t="shared" si="14"/>
        <v>0</v>
      </c>
      <c r="V27" s="45">
        <f t="shared" si="15"/>
        <v>0</v>
      </c>
      <c r="W27" s="217"/>
      <c r="X27" s="47"/>
      <c r="Y27" s="47"/>
      <c r="Z27" s="218"/>
      <c r="AA27" s="221"/>
      <c r="AB27" s="221"/>
      <c r="AC27" s="221"/>
      <c r="AD27" s="221"/>
      <c r="AE27" s="221"/>
      <c r="AF27" s="221"/>
      <c r="AG27" s="221"/>
      <c r="AH27" s="221"/>
      <c r="AI27" s="221"/>
      <c r="AJ27" s="221"/>
      <c r="AK27" s="219"/>
      <c r="AL27" s="220">
        <f t="shared" si="16"/>
        <v>0</v>
      </c>
    </row>
    <row r="28" spans="2:38" ht="43.5" customHeight="1" outlineLevel="1" x14ac:dyDescent="0.2">
      <c r="B28" s="481" t="s">
        <v>1376</v>
      </c>
      <c r="C28" s="480" t="str">
        <f>'Reference documents'!B27</f>
        <v>GRE.EEC.S.25.XX.S.00000.15.001.00</v>
      </c>
      <c r="D28" s="216" t="s">
        <v>1417</v>
      </c>
      <c r="E28" s="825"/>
      <c r="F28" s="328"/>
      <c r="G28" s="328"/>
      <c r="H28" s="1363" t="s">
        <v>1418</v>
      </c>
      <c r="I28" s="216" t="s">
        <v>1379</v>
      </c>
      <c r="J28" s="216" t="s">
        <v>1380</v>
      </c>
      <c r="K28" s="44">
        <f t="shared" si="11"/>
        <v>4000</v>
      </c>
      <c r="L28" s="1290">
        <v>4.5258572194719716E-2</v>
      </c>
      <c r="M28" s="1290">
        <v>40</v>
      </c>
      <c r="N28" s="1297">
        <f t="shared" si="12"/>
        <v>1.8103428877887886</v>
      </c>
      <c r="O28" s="1290"/>
      <c r="P28" s="1290"/>
      <c r="Q28" s="1297">
        <f t="shared" si="13"/>
        <v>0</v>
      </c>
      <c r="R28" s="1298"/>
      <c r="S28" s="1290">
        <v>8</v>
      </c>
      <c r="T28" s="1298"/>
      <c r="U28" s="1291">
        <f t="shared" si="14"/>
        <v>9.8103428877887886</v>
      </c>
      <c r="V28" s="45">
        <f t="shared" si="15"/>
        <v>39241.371551155156</v>
      </c>
      <c r="W28" s="217"/>
      <c r="X28" s="47"/>
      <c r="Y28" s="47"/>
      <c r="Z28" s="218">
        <v>4000</v>
      </c>
      <c r="AA28" s="221"/>
      <c r="AB28" s="221"/>
      <c r="AC28" s="221"/>
      <c r="AD28" s="221"/>
      <c r="AE28" s="221"/>
      <c r="AF28" s="221"/>
      <c r="AG28" s="221"/>
      <c r="AH28" s="221"/>
      <c r="AI28" s="221"/>
      <c r="AJ28" s="221"/>
      <c r="AK28" s="219"/>
      <c r="AL28" s="220">
        <f t="shared" si="16"/>
        <v>4000</v>
      </c>
    </row>
    <row r="29" spans="2:38" ht="43.5" customHeight="1" outlineLevel="1" x14ac:dyDescent="0.2">
      <c r="B29" s="481" t="s">
        <v>1376</v>
      </c>
      <c r="C29" s="480" t="str">
        <f>'Reference documents'!B27</f>
        <v>GRE.EEC.S.25.XX.S.00000.15.001.00</v>
      </c>
      <c r="D29" s="216" t="s">
        <v>1419</v>
      </c>
      <c r="E29" s="823"/>
      <c r="F29" s="328"/>
      <c r="G29" s="328"/>
      <c r="H29" s="1363" t="s">
        <v>1420</v>
      </c>
      <c r="I29" s="216" t="s">
        <v>1393</v>
      </c>
      <c r="J29" s="216" t="s">
        <v>1385</v>
      </c>
      <c r="K29" s="44">
        <f t="shared" si="11"/>
        <v>0</v>
      </c>
      <c r="L29" s="1290"/>
      <c r="M29" s="1290"/>
      <c r="N29" s="1297">
        <f t="shared" si="12"/>
        <v>0</v>
      </c>
      <c r="O29" s="1290"/>
      <c r="P29" s="1290"/>
      <c r="Q29" s="1297">
        <f t="shared" si="13"/>
        <v>0</v>
      </c>
      <c r="R29" s="1298"/>
      <c r="S29" s="1290"/>
      <c r="T29" s="1298"/>
      <c r="U29" s="1291">
        <f t="shared" ref="U29:U30" si="17">S29+Q29+N29</f>
        <v>0</v>
      </c>
      <c r="V29" s="45">
        <f t="shared" si="15"/>
        <v>0</v>
      </c>
      <c r="W29" s="217"/>
      <c r="X29" s="47"/>
      <c r="Y29" s="47"/>
      <c r="Z29" s="218"/>
      <c r="AA29" s="221"/>
      <c r="AB29" s="221"/>
      <c r="AC29" s="221"/>
      <c r="AD29" s="221"/>
      <c r="AE29" s="221"/>
      <c r="AF29" s="221"/>
      <c r="AG29" s="221"/>
      <c r="AH29" s="221"/>
      <c r="AI29" s="221"/>
      <c r="AJ29" s="221"/>
      <c r="AK29" s="219"/>
      <c r="AL29" s="220">
        <f t="shared" si="16"/>
        <v>0</v>
      </c>
    </row>
    <row r="30" spans="2:38" ht="43.5" customHeight="1" outlineLevel="1" x14ac:dyDescent="0.2">
      <c r="B30" s="481" t="s">
        <v>1376</v>
      </c>
      <c r="C30" s="480" t="str">
        <f>'Reference documents'!B27</f>
        <v>GRE.EEC.S.25.XX.S.00000.15.001.00</v>
      </c>
      <c r="D30" s="216" t="s">
        <v>1421</v>
      </c>
      <c r="E30" s="825"/>
      <c r="F30" s="328"/>
      <c r="G30" s="328"/>
      <c r="H30" s="1363" t="s">
        <v>1422</v>
      </c>
      <c r="I30" s="216" t="s">
        <v>1393</v>
      </c>
      <c r="J30" s="216" t="s">
        <v>1385</v>
      </c>
      <c r="K30" s="44">
        <f t="shared" si="11"/>
        <v>1000</v>
      </c>
      <c r="L30" s="1290">
        <v>0.47273655219582073</v>
      </c>
      <c r="M30" s="1290">
        <v>40</v>
      </c>
      <c r="N30" s="1297">
        <f t="shared" si="12"/>
        <v>18.909462087832829</v>
      </c>
      <c r="O30" s="1290">
        <v>0.25</v>
      </c>
      <c r="P30" s="1290">
        <v>70</v>
      </c>
      <c r="Q30" s="1297">
        <f t="shared" si="13"/>
        <v>17.5</v>
      </c>
      <c r="R30" s="1298"/>
      <c r="S30" s="1290">
        <v>10</v>
      </c>
      <c r="T30" s="1298"/>
      <c r="U30" s="1291">
        <f t="shared" si="17"/>
        <v>46.409462087832829</v>
      </c>
      <c r="V30" s="45">
        <f t="shared" si="15"/>
        <v>46409.462087832828</v>
      </c>
      <c r="W30" s="217" t="s">
        <v>1423</v>
      </c>
      <c r="X30" s="47"/>
      <c r="Y30" s="47"/>
      <c r="Z30" s="218"/>
      <c r="AA30" s="221"/>
      <c r="AB30" s="221"/>
      <c r="AC30" s="221"/>
      <c r="AD30" s="221"/>
      <c r="AE30" s="221"/>
      <c r="AF30" s="221"/>
      <c r="AG30" s="221"/>
      <c r="AH30" s="221">
        <v>1000</v>
      </c>
      <c r="AI30" s="221"/>
      <c r="AJ30" s="221"/>
      <c r="AK30" s="219"/>
      <c r="AL30" s="220">
        <f t="shared" si="16"/>
        <v>1000</v>
      </c>
    </row>
    <row r="31" spans="2:38" s="47" customFormat="1" ht="15.75" x14ac:dyDescent="0.2">
      <c r="B31" s="50"/>
      <c r="C31" s="164"/>
      <c r="D31" s="51" t="s">
        <v>207</v>
      </c>
      <c r="E31" s="826"/>
      <c r="F31" s="330"/>
      <c r="G31" s="331"/>
      <c r="H31" s="52" t="s">
        <v>1424</v>
      </c>
      <c r="I31" s="53"/>
      <c r="J31" s="53"/>
      <c r="K31" s="54"/>
      <c r="L31" s="54"/>
      <c r="M31" s="54"/>
      <c r="N31" s="54"/>
      <c r="O31" s="54"/>
      <c r="P31" s="54"/>
      <c r="Q31" s="54"/>
      <c r="R31" s="54"/>
      <c r="S31" s="54"/>
      <c r="T31" s="54"/>
      <c r="U31" s="55"/>
      <c r="V31" s="56">
        <f>SUM(V12:V30)</f>
        <v>418368.12833706115</v>
      </c>
      <c r="W31" s="224"/>
      <c r="Z31" s="225"/>
      <c r="AA31" s="228"/>
      <c r="AB31" s="228"/>
      <c r="AC31" s="228"/>
      <c r="AD31" s="228"/>
      <c r="AE31" s="228"/>
      <c r="AF31" s="228"/>
      <c r="AG31" s="228"/>
      <c r="AH31" s="228"/>
      <c r="AI31" s="228"/>
      <c r="AJ31" s="228"/>
      <c r="AK31" s="226"/>
      <c r="AL31" s="227"/>
    </row>
    <row r="33" spans="2:38" ht="15.75" collapsed="1" x14ac:dyDescent="0.2">
      <c r="B33" s="63"/>
      <c r="C33" s="167"/>
      <c r="D33" s="35"/>
      <c r="E33" s="821"/>
      <c r="F33" s="326"/>
      <c r="G33" s="327"/>
      <c r="H33" s="1357" t="s">
        <v>1425</v>
      </c>
      <c r="I33" s="35" t="s">
        <v>207</v>
      </c>
      <c r="J33" s="35" t="s">
        <v>207</v>
      </c>
      <c r="K33" s="36"/>
      <c r="L33" s="36"/>
      <c r="M33" s="36"/>
      <c r="N33" s="36"/>
      <c r="O33" s="36"/>
      <c r="P33" s="36"/>
      <c r="Q33" s="36"/>
      <c r="R33" s="36"/>
      <c r="S33" s="36"/>
      <c r="T33" s="36"/>
      <c r="U33" s="37"/>
      <c r="V33" s="38"/>
      <c r="W33" s="206"/>
      <c r="X33" s="47"/>
      <c r="Y33" s="47"/>
      <c r="Z33" s="207"/>
      <c r="AA33" s="210"/>
      <c r="AB33" s="210"/>
      <c r="AC33" s="210"/>
      <c r="AD33" s="210"/>
      <c r="AE33" s="210"/>
      <c r="AF33" s="210"/>
      <c r="AG33" s="210"/>
      <c r="AH33" s="210"/>
      <c r="AI33" s="210"/>
      <c r="AJ33" s="210"/>
      <c r="AK33" s="208"/>
      <c r="AL33" s="209"/>
    </row>
    <row r="34" spans="2:38" ht="15.75" x14ac:dyDescent="0.2">
      <c r="B34" s="48"/>
      <c r="C34" s="163"/>
      <c r="D34" s="39"/>
      <c r="E34" s="822"/>
      <c r="F34" s="432"/>
      <c r="G34" s="433"/>
      <c r="H34" s="1358" t="s">
        <v>1426</v>
      </c>
      <c r="I34" s="40"/>
      <c r="J34" s="40"/>
      <c r="K34" s="41"/>
      <c r="L34" s="41"/>
      <c r="M34" s="41"/>
      <c r="N34" s="41"/>
      <c r="O34" s="41"/>
      <c r="P34" s="41"/>
      <c r="Q34" s="41"/>
      <c r="R34" s="41"/>
      <c r="S34" s="41"/>
      <c r="T34" s="41"/>
      <c r="U34" s="42"/>
      <c r="V34" s="42"/>
      <c r="W34" s="211"/>
      <c r="X34" s="47"/>
      <c r="Y34" s="47"/>
      <c r="Z34" s="212"/>
      <c r="AA34" s="215"/>
      <c r="AB34" s="215"/>
      <c r="AC34" s="215"/>
      <c r="AD34" s="215"/>
      <c r="AE34" s="215"/>
      <c r="AF34" s="215"/>
      <c r="AG34" s="215"/>
      <c r="AH34" s="215"/>
      <c r="AI34" s="215"/>
      <c r="AJ34" s="215"/>
      <c r="AK34" s="213"/>
      <c r="AL34" s="214"/>
    </row>
    <row r="35" spans="2:38" ht="43.5" customHeight="1" outlineLevel="1" x14ac:dyDescent="0.2">
      <c r="B35" s="481" t="s">
        <v>1427</v>
      </c>
      <c r="C35" s="480" t="str">
        <f>'Reference documents'!B27</f>
        <v>GRE.EEC.S.25.XX.S.00000.15.001.00</v>
      </c>
      <c r="D35" s="49" t="s">
        <v>1428</v>
      </c>
      <c r="E35" s="827"/>
      <c r="F35" s="328"/>
      <c r="G35" s="328"/>
      <c r="H35" s="1363" t="s">
        <v>1429</v>
      </c>
      <c r="I35" s="216" t="s">
        <v>1393</v>
      </c>
      <c r="J35" s="216" t="s">
        <v>1385</v>
      </c>
      <c r="K35" s="44">
        <v>326</v>
      </c>
      <c r="L35" s="1290">
        <v>0.20591943030803134</v>
      </c>
      <c r="M35" s="1290">
        <v>40</v>
      </c>
      <c r="N35" s="1297">
        <f t="shared" ref="N35:N38" si="18">L35*M35</f>
        <v>8.2367772123212539</v>
      </c>
      <c r="O35" s="1290">
        <v>0.2</v>
      </c>
      <c r="P35" s="1290">
        <v>70</v>
      </c>
      <c r="Q35" s="1297">
        <f t="shared" ref="Q35:Q38" si="19">O35*P35</f>
        <v>14</v>
      </c>
      <c r="R35" s="1298"/>
      <c r="S35" s="1290"/>
      <c r="T35" s="1298"/>
      <c r="U35" s="1291">
        <f t="shared" ref="U35:U38" si="20">S35+Q35+N35</f>
        <v>22.236777212321254</v>
      </c>
      <c r="V35" s="232">
        <f>K35*U35</f>
        <v>7249.1893712167284</v>
      </c>
      <c r="W35" s="233" t="s">
        <v>1430</v>
      </c>
      <c r="X35" s="47"/>
      <c r="Y35" s="47"/>
      <c r="Z35" s="218"/>
      <c r="AA35" s="221"/>
      <c r="AB35" s="221"/>
      <c r="AC35" s="221"/>
      <c r="AD35" s="221"/>
      <c r="AE35" s="221"/>
      <c r="AF35" s="221"/>
      <c r="AG35" s="221"/>
      <c r="AH35" s="221"/>
      <c r="AI35" s="221"/>
      <c r="AJ35" s="221"/>
      <c r="AK35" s="219"/>
      <c r="AL35" s="220">
        <f>SUMPRODUCT($Z$4:$AK$4,Z35:AK35)</f>
        <v>0</v>
      </c>
    </row>
    <row r="36" spans="2:38" ht="43.5" customHeight="1" outlineLevel="1" x14ac:dyDescent="0.2">
      <c r="B36" s="481" t="s">
        <v>1427</v>
      </c>
      <c r="C36" s="480" t="str">
        <f>'Reference documents'!B27</f>
        <v>GRE.EEC.S.25.XX.S.00000.15.001.00</v>
      </c>
      <c r="D36" s="49" t="s">
        <v>1431</v>
      </c>
      <c r="E36" s="827"/>
      <c r="F36" s="328"/>
      <c r="G36" s="328"/>
      <c r="H36" s="1364" t="s">
        <v>1432</v>
      </c>
      <c r="I36" s="216" t="s">
        <v>1393</v>
      </c>
      <c r="J36" s="216" t="s">
        <v>1385</v>
      </c>
      <c r="K36" s="44">
        <f>AL36</f>
        <v>0</v>
      </c>
      <c r="L36" s="1290"/>
      <c r="M36" s="1290"/>
      <c r="N36" s="1297">
        <f t="shared" si="18"/>
        <v>0</v>
      </c>
      <c r="O36" s="1290"/>
      <c r="P36" s="1290"/>
      <c r="Q36" s="1297">
        <f t="shared" si="19"/>
        <v>0</v>
      </c>
      <c r="R36" s="1298"/>
      <c r="S36" s="1290"/>
      <c r="T36" s="1298"/>
      <c r="U36" s="1291">
        <f t="shared" si="20"/>
        <v>0</v>
      </c>
      <c r="V36" s="232">
        <f>K36*U36</f>
        <v>0</v>
      </c>
      <c r="W36" s="233"/>
      <c r="X36" s="47"/>
      <c r="Y36" s="47"/>
      <c r="Z36" s="218"/>
      <c r="AA36" s="221"/>
      <c r="AB36" s="221"/>
      <c r="AC36" s="221"/>
      <c r="AD36" s="221"/>
      <c r="AE36" s="221"/>
      <c r="AF36" s="221"/>
      <c r="AG36" s="221"/>
      <c r="AH36" s="221"/>
      <c r="AI36" s="221"/>
      <c r="AJ36" s="221"/>
      <c r="AK36" s="219"/>
      <c r="AL36" s="220">
        <f>SUMPRODUCT($Z$4:$AK$4,Z36:AK36)</f>
        <v>0</v>
      </c>
    </row>
    <row r="37" spans="2:38" ht="43.5" customHeight="1" outlineLevel="1" x14ac:dyDescent="0.2">
      <c r="B37" s="481" t="s">
        <v>1427</v>
      </c>
      <c r="C37" s="480" t="str">
        <f>'Reference documents'!B27</f>
        <v>GRE.EEC.S.25.XX.S.00000.15.001.00</v>
      </c>
      <c r="D37" s="49" t="s">
        <v>1433</v>
      </c>
      <c r="E37" s="827"/>
      <c r="F37" s="328"/>
      <c r="G37" s="328"/>
      <c r="H37" s="1364" t="s">
        <v>1434</v>
      </c>
      <c r="I37" s="216" t="s">
        <v>1393</v>
      </c>
      <c r="J37" s="216" t="s">
        <v>1385</v>
      </c>
      <c r="K37" s="44">
        <v>326</v>
      </c>
      <c r="L37" s="1290">
        <v>0.13103428877887885</v>
      </c>
      <c r="M37" s="1290">
        <v>40</v>
      </c>
      <c r="N37" s="1297">
        <f t="shared" si="18"/>
        <v>5.2413715511551544</v>
      </c>
      <c r="O37" s="1290">
        <v>0.2</v>
      </c>
      <c r="P37" s="1290">
        <v>70</v>
      </c>
      <c r="Q37" s="1297">
        <f t="shared" si="19"/>
        <v>14</v>
      </c>
      <c r="R37" s="1298"/>
      <c r="S37" s="1290">
        <v>20</v>
      </c>
      <c r="T37" s="1298"/>
      <c r="U37" s="1291">
        <f t="shared" si="20"/>
        <v>39.241371551155154</v>
      </c>
      <c r="V37" s="232">
        <f>K37*U37</f>
        <v>12792.687125676581</v>
      </c>
      <c r="W37" s="233" t="s">
        <v>1430</v>
      </c>
      <c r="X37" s="47"/>
      <c r="Y37" s="47"/>
      <c r="Z37" s="218"/>
      <c r="AA37" s="221"/>
      <c r="AB37" s="221"/>
      <c r="AC37" s="221"/>
      <c r="AD37" s="221"/>
      <c r="AE37" s="221"/>
      <c r="AF37" s="221"/>
      <c r="AG37" s="221"/>
      <c r="AH37" s="221"/>
      <c r="AI37" s="221"/>
      <c r="AJ37" s="221"/>
      <c r="AK37" s="219"/>
      <c r="AL37" s="220">
        <f>SUMPRODUCT($Z$4:$AK$4,Z37:AK37)</f>
        <v>0</v>
      </c>
    </row>
    <row r="38" spans="2:38" ht="118.15" customHeight="1" outlineLevel="1" x14ac:dyDescent="0.2">
      <c r="B38" s="481" t="s">
        <v>1427</v>
      </c>
      <c r="C38" s="480" t="s">
        <v>1435</v>
      </c>
      <c r="D38" s="216" t="s">
        <v>1436</v>
      </c>
      <c r="E38" s="827"/>
      <c r="F38" s="328"/>
      <c r="G38" s="328"/>
      <c r="H38" s="1414" t="s">
        <v>1437</v>
      </c>
      <c r="I38" s="216" t="s">
        <v>345</v>
      </c>
      <c r="J38" s="216" t="s">
        <v>1385</v>
      </c>
      <c r="K38" s="44">
        <v>651</v>
      </c>
      <c r="L38" s="1290">
        <v>0.41609143674367743</v>
      </c>
      <c r="M38" s="1290">
        <v>40</v>
      </c>
      <c r="N38" s="1297">
        <f t="shared" si="18"/>
        <v>16.643657469747097</v>
      </c>
      <c r="O38" s="1290">
        <v>0.4</v>
      </c>
      <c r="P38" s="1290">
        <v>70</v>
      </c>
      <c r="Q38" s="1297">
        <f t="shared" si="19"/>
        <v>28</v>
      </c>
      <c r="R38" s="1298"/>
      <c r="S38" s="1290">
        <v>60</v>
      </c>
      <c r="T38" s="1298"/>
      <c r="U38" s="1291">
        <f t="shared" si="20"/>
        <v>104.6436574697471</v>
      </c>
      <c r="V38" s="232">
        <f>K38*U38</f>
        <v>68123.021012805359</v>
      </c>
      <c r="W38" s="233" t="s">
        <v>1438</v>
      </c>
      <c r="X38" s="47"/>
      <c r="Y38" s="47"/>
      <c r="Z38" s="218"/>
      <c r="AA38" s="221"/>
      <c r="AB38" s="221"/>
      <c r="AC38" s="221"/>
      <c r="AD38" s="221"/>
      <c r="AE38" s="221"/>
      <c r="AF38" s="221"/>
      <c r="AG38" s="221"/>
      <c r="AH38" s="221"/>
      <c r="AI38" s="221"/>
      <c r="AJ38" s="221"/>
      <c r="AK38" s="219"/>
      <c r="AL38" s="220">
        <f>SUMPRODUCT($Z$4:$AK$4,Z38:AK38)</f>
        <v>0</v>
      </c>
    </row>
    <row r="39" spans="2:38" ht="15.75" x14ac:dyDescent="0.2">
      <c r="B39" s="48"/>
      <c r="C39" s="163"/>
      <c r="D39" s="39"/>
      <c r="E39" s="822"/>
      <c r="F39" s="432"/>
      <c r="G39" s="433"/>
      <c r="H39" s="1358" t="s">
        <v>1439</v>
      </c>
      <c r="I39" s="40" t="s">
        <v>207</v>
      </c>
      <c r="J39" s="40" t="s">
        <v>207</v>
      </c>
      <c r="K39" s="41"/>
      <c r="L39" s="41"/>
      <c r="M39" s="41"/>
      <c r="N39" s="41"/>
      <c r="O39" s="41"/>
      <c r="P39" s="41"/>
      <c r="Q39" s="41"/>
      <c r="R39" s="41"/>
      <c r="S39" s="41"/>
      <c r="T39" s="41"/>
      <c r="U39" s="42"/>
      <c r="V39" s="42"/>
      <c r="W39" s="211"/>
      <c r="Z39" s="212"/>
      <c r="AA39" s="215"/>
      <c r="AB39" s="215"/>
      <c r="AC39" s="215"/>
      <c r="AD39" s="215"/>
      <c r="AE39" s="215"/>
      <c r="AF39" s="215"/>
      <c r="AG39" s="215"/>
      <c r="AH39" s="215"/>
      <c r="AI39" s="215"/>
      <c r="AJ39" s="215"/>
      <c r="AK39" s="213"/>
      <c r="AL39" s="214"/>
    </row>
    <row r="40" spans="2:38" ht="121.15" customHeight="1" outlineLevel="1" x14ac:dyDescent="0.2">
      <c r="B40" s="481" t="s">
        <v>1427</v>
      </c>
      <c r="C40" s="480" t="str">
        <f>'Reference documents'!B27</f>
        <v>GRE.EEC.S.25.XX.S.00000.15.001.00</v>
      </c>
      <c r="D40" s="223" t="s">
        <v>1440</v>
      </c>
      <c r="E40" s="825"/>
      <c r="F40" s="328"/>
      <c r="G40" s="328"/>
      <c r="H40" s="1363" t="s">
        <v>1441</v>
      </c>
      <c r="I40" s="216" t="s">
        <v>1393</v>
      </c>
      <c r="J40" s="216" t="s">
        <v>1385</v>
      </c>
      <c r="K40" s="44">
        <v>479</v>
      </c>
      <c r="L40" s="1290">
        <v>0.45603428877887903</v>
      </c>
      <c r="M40" s="1290">
        <v>40</v>
      </c>
      <c r="N40" s="1297">
        <f t="shared" ref="N40:N46" si="21">L40*M40</f>
        <v>18.241371551155162</v>
      </c>
      <c r="O40" s="1290">
        <v>0.3</v>
      </c>
      <c r="P40" s="1290">
        <v>70</v>
      </c>
      <c r="Q40" s="1297">
        <f t="shared" ref="Q40:Q46" si="22">O40*P40</f>
        <v>21</v>
      </c>
      <c r="R40" s="1298"/>
      <c r="S40" s="1290"/>
      <c r="T40" s="1298"/>
      <c r="U40" s="1291">
        <f t="shared" ref="U40:U46" si="23">S40+Q40+N40</f>
        <v>39.241371551155162</v>
      </c>
      <c r="V40" s="232">
        <f t="shared" ref="V40:V46" si="24">K40*U40</f>
        <v>18796.616973003322</v>
      </c>
      <c r="W40" s="233" t="s">
        <v>1442</v>
      </c>
      <c r="X40" s="47"/>
      <c r="Y40" s="47"/>
      <c r="Z40" s="218"/>
      <c r="AA40" s="221"/>
      <c r="AB40" s="221"/>
      <c r="AC40" s="221"/>
      <c r="AD40" s="221"/>
      <c r="AE40" s="221"/>
      <c r="AF40" s="221"/>
      <c r="AG40" s="221"/>
      <c r="AH40" s="221"/>
      <c r="AI40" s="221"/>
      <c r="AJ40" s="221"/>
      <c r="AK40" s="219"/>
      <c r="AL40" s="220">
        <f t="shared" ref="AL40:AL52" si="25">SUMPRODUCT($Z$4:$AK$4,Z40:AK40)</f>
        <v>0</v>
      </c>
    </row>
    <row r="41" spans="2:38" ht="43.5" customHeight="1" outlineLevel="1" x14ac:dyDescent="0.2">
      <c r="B41" s="481" t="s">
        <v>1427</v>
      </c>
      <c r="C41" s="480" t="str">
        <f>'Reference documents'!B27</f>
        <v>GRE.EEC.S.25.XX.S.00000.15.001.00</v>
      </c>
      <c r="D41" s="216" t="s">
        <v>1443</v>
      </c>
      <c r="E41" s="823"/>
      <c r="F41" s="328"/>
      <c r="G41" s="328"/>
      <c r="H41" s="1363" t="s">
        <v>1444</v>
      </c>
      <c r="I41" s="216" t="s">
        <v>1379</v>
      </c>
      <c r="J41" s="216" t="s">
        <v>1380</v>
      </c>
      <c r="K41" s="44">
        <v>1302</v>
      </c>
      <c r="L41" s="1290">
        <v>7.0258572194719718E-2</v>
      </c>
      <c r="M41" s="1290">
        <v>40</v>
      </c>
      <c r="N41" s="1297">
        <f t="shared" si="21"/>
        <v>2.8103428877887886</v>
      </c>
      <c r="O41" s="1290"/>
      <c r="P41" s="1290"/>
      <c r="Q41" s="1297">
        <f t="shared" si="22"/>
        <v>0</v>
      </c>
      <c r="R41" s="1298"/>
      <c r="S41" s="1290">
        <v>7</v>
      </c>
      <c r="T41" s="1298"/>
      <c r="U41" s="1291">
        <f t="shared" si="23"/>
        <v>9.8103428877887886</v>
      </c>
      <c r="V41" s="232">
        <f t="shared" si="24"/>
        <v>12773.066439901002</v>
      </c>
      <c r="W41" s="233" t="s">
        <v>1445</v>
      </c>
      <c r="X41" s="47"/>
      <c r="Y41" s="47"/>
      <c r="Z41" s="218"/>
      <c r="AA41" s="221"/>
      <c r="AB41" s="221"/>
      <c r="AC41" s="221"/>
      <c r="AD41" s="221"/>
      <c r="AE41" s="221"/>
      <c r="AF41" s="221"/>
      <c r="AG41" s="221"/>
      <c r="AH41" s="221"/>
      <c r="AI41" s="221"/>
      <c r="AJ41" s="221"/>
      <c r="AK41" s="219"/>
      <c r="AL41" s="220">
        <f t="shared" si="25"/>
        <v>0</v>
      </c>
    </row>
    <row r="42" spans="2:38" ht="43.5" customHeight="1" outlineLevel="1" x14ac:dyDescent="0.2">
      <c r="B42" s="481" t="s">
        <v>1427</v>
      </c>
      <c r="C42" s="480" t="str">
        <f>'Reference documents'!B27</f>
        <v>GRE.EEC.S.25.XX.S.00000.15.001.00</v>
      </c>
      <c r="D42" s="216" t="s">
        <v>1446</v>
      </c>
      <c r="E42" s="823"/>
      <c r="F42" s="328"/>
      <c r="G42" s="328"/>
      <c r="H42" s="1363" t="s">
        <v>1447</v>
      </c>
      <c r="I42" s="216" t="s">
        <v>1379</v>
      </c>
      <c r="J42" s="216" t="s">
        <v>1380</v>
      </c>
      <c r="K42" s="44">
        <f t="shared" ref="K42:K46" si="26">AL42</f>
        <v>0</v>
      </c>
      <c r="L42" s="1290"/>
      <c r="M42" s="1290"/>
      <c r="N42" s="1297">
        <f t="shared" si="21"/>
        <v>0</v>
      </c>
      <c r="O42" s="1290"/>
      <c r="P42" s="1290"/>
      <c r="Q42" s="1297">
        <f t="shared" si="22"/>
        <v>0</v>
      </c>
      <c r="R42" s="1298"/>
      <c r="S42" s="1290"/>
      <c r="T42" s="1298"/>
      <c r="U42" s="1291">
        <f t="shared" si="23"/>
        <v>0</v>
      </c>
      <c r="V42" s="232">
        <f t="shared" si="24"/>
        <v>0</v>
      </c>
      <c r="W42" s="233"/>
      <c r="X42" s="47"/>
      <c r="Y42" s="47"/>
      <c r="Z42" s="218"/>
      <c r="AA42" s="221"/>
      <c r="AB42" s="221"/>
      <c r="AC42" s="221"/>
      <c r="AD42" s="221"/>
      <c r="AE42" s="221"/>
      <c r="AF42" s="221"/>
      <c r="AG42" s="221"/>
      <c r="AH42" s="221"/>
      <c r="AI42" s="221"/>
      <c r="AJ42" s="221"/>
      <c r="AK42" s="219"/>
      <c r="AL42" s="220">
        <f t="shared" si="25"/>
        <v>0</v>
      </c>
    </row>
    <row r="43" spans="2:38" ht="43.5" customHeight="1" outlineLevel="1" x14ac:dyDescent="0.2">
      <c r="B43" s="481" t="s">
        <v>1427</v>
      </c>
      <c r="C43" s="480" t="str">
        <f>'Reference documents'!B27</f>
        <v>GRE.EEC.S.25.XX.S.00000.15.001.00</v>
      </c>
      <c r="D43" s="223" t="s">
        <v>1448</v>
      </c>
      <c r="E43" s="828"/>
      <c r="F43" s="436"/>
      <c r="G43" s="437"/>
      <c r="H43" s="1363" t="s">
        <v>1449</v>
      </c>
      <c r="I43" s="216" t="s">
        <v>1450</v>
      </c>
      <c r="J43" s="216" t="s">
        <v>1451</v>
      </c>
      <c r="K43" s="44">
        <f t="shared" si="26"/>
        <v>0</v>
      </c>
      <c r="L43" s="1290"/>
      <c r="M43" s="1290"/>
      <c r="N43" s="1297">
        <f t="shared" si="21"/>
        <v>0</v>
      </c>
      <c r="O43" s="1290"/>
      <c r="P43" s="1290"/>
      <c r="Q43" s="1297">
        <f t="shared" si="22"/>
        <v>0</v>
      </c>
      <c r="R43" s="1298"/>
      <c r="S43" s="1290"/>
      <c r="T43" s="1298"/>
      <c r="U43" s="1291">
        <f t="shared" si="23"/>
        <v>0</v>
      </c>
      <c r="V43" s="232">
        <f t="shared" si="24"/>
        <v>0</v>
      </c>
      <c r="W43" s="233"/>
      <c r="X43" s="47"/>
      <c r="Y43" s="47"/>
      <c r="Z43" s="218"/>
      <c r="AA43" s="221"/>
      <c r="AB43" s="221"/>
      <c r="AC43" s="221"/>
      <c r="AD43" s="221"/>
      <c r="AE43" s="221"/>
      <c r="AF43" s="221"/>
      <c r="AG43" s="221"/>
      <c r="AH43" s="221"/>
      <c r="AI43" s="221"/>
      <c r="AJ43" s="221"/>
      <c r="AK43" s="219"/>
      <c r="AL43" s="220">
        <f t="shared" si="25"/>
        <v>0</v>
      </c>
    </row>
    <row r="44" spans="2:38" ht="43.5" customHeight="1" outlineLevel="1" x14ac:dyDescent="0.2">
      <c r="B44" s="481" t="s">
        <v>1427</v>
      </c>
      <c r="C44" s="480" t="str">
        <f>'Reference documents'!B27</f>
        <v>GRE.EEC.S.25.XX.S.00000.15.001.00</v>
      </c>
      <c r="D44" s="223" t="s">
        <v>1452</v>
      </c>
      <c r="E44" s="828"/>
      <c r="F44" s="436"/>
      <c r="G44" s="437"/>
      <c r="H44" s="1363" t="s">
        <v>1453</v>
      </c>
      <c r="I44" s="216" t="s">
        <v>1450</v>
      </c>
      <c r="J44" s="216" t="s">
        <v>1451</v>
      </c>
      <c r="K44" s="44">
        <f t="shared" si="26"/>
        <v>0</v>
      </c>
      <c r="L44" s="1290"/>
      <c r="M44" s="1290"/>
      <c r="N44" s="1297">
        <f t="shared" si="21"/>
        <v>0</v>
      </c>
      <c r="O44" s="1290"/>
      <c r="P44" s="1290"/>
      <c r="Q44" s="1297">
        <f t="shared" si="22"/>
        <v>0</v>
      </c>
      <c r="R44" s="1298"/>
      <c r="S44" s="1290"/>
      <c r="T44" s="1298"/>
      <c r="U44" s="1291">
        <f t="shared" si="23"/>
        <v>0</v>
      </c>
      <c r="V44" s="232">
        <f t="shared" si="24"/>
        <v>0</v>
      </c>
      <c r="W44" s="233"/>
      <c r="X44" s="47"/>
      <c r="Y44" s="47"/>
      <c r="Z44" s="218"/>
      <c r="AA44" s="221"/>
      <c r="AB44" s="221"/>
      <c r="AC44" s="221"/>
      <c r="AD44" s="221"/>
      <c r="AE44" s="221"/>
      <c r="AF44" s="221"/>
      <c r="AG44" s="221"/>
      <c r="AH44" s="221"/>
      <c r="AI44" s="221"/>
      <c r="AJ44" s="221"/>
      <c r="AK44" s="219"/>
      <c r="AL44" s="220">
        <f t="shared" si="25"/>
        <v>0</v>
      </c>
    </row>
    <row r="45" spans="2:38" ht="43.5" customHeight="1" outlineLevel="1" x14ac:dyDescent="0.2">
      <c r="B45" s="481" t="s">
        <v>1427</v>
      </c>
      <c r="C45" s="480" t="str">
        <f>'Reference documents'!B27</f>
        <v>GRE.EEC.S.25.XX.S.00000.15.001.00</v>
      </c>
      <c r="D45" s="223" t="s">
        <v>1454</v>
      </c>
      <c r="E45" s="828"/>
      <c r="F45" s="436"/>
      <c r="G45" s="437"/>
      <c r="H45" s="1362" t="s">
        <v>1455</v>
      </c>
      <c r="I45" s="43" t="s">
        <v>1450</v>
      </c>
      <c r="J45" s="43" t="s">
        <v>1451</v>
      </c>
      <c r="K45" s="44">
        <f t="shared" si="26"/>
        <v>0</v>
      </c>
      <c r="L45" s="1290"/>
      <c r="M45" s="1290"/>
      <c r="N45" s="1297">
        <f t="shared" si="21"/>
        <v>0</v>
      </c>
      <c r="O45" s="1290"/>
      <c r="P45" s="1290"/>
      <c r="Q45" s="1297">
        <f t="shared" si="22"/>
        <v>0</v>
      </c>
      <c r="R45" s="1298"/>
      <c r="S45" s="1290"/>
      <c r="T45" s="1298"/>
      <c r="U45" s="1291">
        <f t="shared" si="23"/>
        <v>0</v>
      </c>
      <c r="V45" s="232">
        <f t="shared" si="24"/>
        <v>0</v>
      </c>
      <c r="W45" s="233"/>
      <c r="X45" s="47"/>
      <c r="Y45" s="47"/>
      <c r="Z45" s="218"/>
      <c r="AA45" s="221"/>
      <c r="AB45" s="221"/>
      <c r="AC45" s="221"/>
      <c r="AD45" s="221"/>
      <c r="AE45" s="221"/>
      <c r="AF45" s="221"/>
      <c r="AG45" s="221"/>
      <c r="AH45" s="221"/>
      <c r="AI45" s="221"/>
      <c r="AJ45" s="221"/>
      <c r="AK45" s="219"/>
      <c r="AL45" s="220">
        <f t="shared" si="25"/>
        <v>0</v>
      </c>
    </row>
    <row r="46" spans="2:38" ht="43.5" customHeight="1" outlineLevel="1" x14ac:dyDescent="0.2">
      <c r="B46" s="481" t="s">
        <v>1427</v>
      </c>
      <c r="C46" s="480" t="str">
        <f>'Reference documents'!B27</f>
        <v>GRE.EEC.S.25.XX.S.00000.15.001.00</v>
      </c>
      <c r="D46" s="223" t="s">
        <v>1456</v>
      </c>
      <c r="E46" s="828"/>
      <c r="F46" s="436"/>
      <c r="G46" s="437"/>
      <c r="H46" s="1362" t="s">
        <v>1457</v>
      </c>
      <c r="I46" s="43" t="s">
        <v>1450</v>
      </c>
      <c r="J46" s="43" t="s">
        <v>1451</v>
      </c>
      <c r="K46" s="44">
        <f t="shared" si="26"/>
        <v>0</v>
      </c>
      <c r="L46" s="1290"/>
      <c r="M46" s="1290"/>
      <c r="N46" s="1297">
        <f t="shared" si="21"/>
        <v>0</v>
      </c>
      <c r="O46" s="1290"/>
      <c r="P46" s="1290"/>
      <c r="Q46" s="1297">
        <f t="shared" si="22"/>
        <v>0</v>
      </c>
      <c r="R46" s="1298"/>
      <c r="S46" s="1290"/>
      <c r="T46" s="1298"/>
      <c r="U46" s="1291">
        <f t="shared" si="23"/>
        <v>0</v>
      </c>
      <c r="V46" s="232">
        <f t="shared" si="24"/>
        <v>0</v>
      </c>
      <c r="W46" s="233"/>
      <c r="X46" s="47"/>
      <c r="Y46" s="47"/>
      <c r="Z46" s="218"/>
      <c r="AA46" s="221"/>
      <c r="AB46" s="221"/>
      <c r="AC46" s="221"/>
      <c r="AD46" s="221"/>
      <c r="AE46" s="221"/>
      <c r="AF46" s="221"/>
      <c r="AG46" s="221"/>
      <c r="AH46" s="221"/>
      <c r="AI46" s="221"/>
      <c r="AJ46" s="221"/>
      <c r="AK46" s="219"/>
      <c r="AL46" s="220">
        <f t="shared" si="25"/>
        <v>0</v>
      </c>
    </row>
    <row r="47" spans="2:38" s="47" customFormat="1" ht="15.75" x14ac:dyDescent="0.2">
      <c r="B47" s="48"/>
      <c r="C47" s="163"/>
      <c r="D47" s="39"/>
      <c r="E47" s="822"/>
      <c r="F47" s="432"/>
      <c r="G47" s="433"/>
      <c r="H47" s="1358" t="s">
        <v>1458</v>
      </c>
      <c r="I47" s="40" t="s">
        <v>207</v>
      </c>
      <c r="J47" s="40" t="s">
        <v>207</v>
      </c>
      <c r="K47" s="40" t="s">
        <v>207</v>
      </c>
      <c r="L47" s="40"/>
      <c r="M47" s="40"/>
      <c r="N47" s="40"/>
      <c r="O47" s="40"/>
      <c r="P47" s="40"/>
      <c r="Q47" s="40"/>
      <c r="R47" s="40"/>
      <c r="S47" s="40"/>
      <c r="T47" s="40"/>
      <c r="U47" s="40" t="s">
        <v>207</v>
      </c>
      <c r="V47" s="40" t="s">
        <v>207</v>
      </c>
      <c r="W47" s="211"/>
      <c r="Z47" s="212"/>
      <c r="AA47" s="215"/>
      <c r="AB47" s="215"/>
      <c r="AC47" s="215"/>
      <c r="AD47" s="215"/>
      <c r="AE47" s="215"/>
      <c r="AF47" s="215"/>
      <c r="AG47" s="215"/>
      <c r="AH47" s="215"/>
      <c r="AI47" s="215"/>
      <c r="AJ47" s="215"/>
      <c r="AK47" s="213"/>
      <c r="AL47" s="214">
        <f t="shared" si="25"/>
        <v>0</v>
      </c>
    </row>
    <row r="48" spans="2:38" ht="43.5" customHeight="1" outlineLevel="1" x14ac:dyDescent="0.2">
      <c r="B48" s="481" t="s">
        <v>1427</v>
      </c>
      <c r="C48" s="480" t="str">
        <f>'Reference documents'!B27</f>
        <v>GRE.EEC.S.25.XX.S.00000.15.001.00</v>
      </c>
      <c r="D48" s="223" t="s">
        <v>1459</v>
      </c>
      <c r="E48" s="828"/>
      <c r="F48" s="436"/>
      <c r="G48" s="437"/>
      <c r="H48" s="1363" t="s">
        <v>1460</v>
      </c>
      <c r="I48" s="216" t="s">
        <v>345</v>
      </c>
      <c r="J48" s="216" t="s">
        <v>1461</v>
      </c>
      <c r="K48" s="44">
        <v>25</v>
      </c>
      <c r="L48" s="1290">
        <v>0.66522859185919292</v>
      </c>
      <c r="M48" s="1290">
        <v>40</v>
      </c>
      <c r="N48" s="1297">
        <f t="shared" ref="N48:N52" si="27">L48*M48</f>
        <v>26.609143674367715</v>
      </c>
      <c r="O48" s="1290">
        <v>0.5</v>
      </c>
      <c r="P48" s="1290">
        <v>70</v>
      </c>
      <c r="Q48" s="1297">
        <f t="shared" ref="Q48:Q52" si="28">O48*P48</f>
        <v>35</v>
      </c>
      <c r="R48" s="1298"/>
      <c r="S48" s="1290">
        <v>200</v>
      </c>
      <c r="T48" s="1298"/>
      <c r="U48" s="1291">
        <f t="shared" ref="U48:U52" si="29">S48+Q48+N48</f>
        <v>261.60914367436771</v>
      </c>
      <c r="V48" s="232">
        <f t="shared" ref="V48:V52" si="30">K48*U48</f>
        <v>6540.2285918591933</v>
      </c>
      <c r="W48" s="233" t="s">
        <v>1462</v>
      </c>
      <c r="X48" s="47"/>
      <c r="Y48" s="47"/>
      <c r="Z48" s="218"/>
      <c r="AA48" s="221"/>
      <c r="AB48" s="221"/>
      <c r="AC48" s="221"/>
      <c r="AD48" s="221"/>
      <c r="AE48" s="221"/>
      <c r="AF48" s="221"/>
      <c r="AG48" s="221"/>
      <c r="AH48" s="221"/>
      <c r="AI48" s="221"/>
      <c r="AJ48" s="221"/>
      <c r="AK48" s="219"/>
      <c r="AL48" s="220">
        <f t="shared" si="25"/>
        <v>0</v>
      </c>
    </row>
    <row r="49" spans="2:38" ht="43.5" customHeight="1" outlineLevel="1" x14ac:dyDescent="0.2">
      <c r="B49" s="481" t="s">
        <v>1427</v>
      </c>
      <c r="C49" s="480" t="str">
        <f>'Reference documents'!B27</f>
        <v>GRE.EEC.S.25.XX.S.00000.15.001.00</v>
      </c>
      <c r="D49" s="223" t="s">
        <v>1463</v>
      </c>
      <c r="E49" s="828"/>
      <c r="F49" s="436"/>
      <c r="G49" s="437"/>
      <c r="H49" s="1363" t="s">
        <v>1464</v>
      </c>
      <c r="I49" s="216" t="s">
        <v>345</v>
      </c>
      <c r="J49" s="216" t="s">
        <v>1461</v>
      </c>
      <c r="K49" s="44">
        <f t="shared" ref="K49:K52" si="31">AL49</f>
        <v>0</v>
      </c>
      <c r="L49" s="1290"/>
      <c r="M49" s="1290"/>
      <c r="N49" s="1297">
        <f t="shared" si="27"/>
        <v>0</v>
      </c>
      <c r="O49" s="1290"/>
      <c r="P49" s="1290"/>
      <c r="Q49" s="1297">
        <f t="shared" si="28"/>
        <v>0</v>
      </c>
      <c r="R49" s="1298"/>
      <c r="S49" s="1290"/>
      <c r="T49" s="1298"/>
      <c r="U49" s="1291">
        <f t="shared" si="29"/>
        <v>0</v>
      </c>
      <c r="V49" s="232">
        <f t="shared" si="30"/>
        <v>0</v>
      </c>
      <c r="W49" s="233"/>
      <c r="X49" s="47"/>
      <c r="Y49" s="47"/>
      <c r="Z49" s="218"/>
      <c r="AA49" s="221"/>
      <c r="AB49" s="221"/>
      <c r="AC49" s="221"/>
      <c r="AD49" s="221"/>
      <c r="AE49" s="221"/>
      <c r="AF49" s="221"/>
      <c r="AG49" s="221"/>
      <c r="AH49" s="221"/>
      <c r="AI49" s="221"/>
      <c r="AJ49" s="221"/>
      <c r="AK49" s="219"/>
      <c r="AL49" s="220">
        <f t="shared" si="25"/>
        <v>0</v>
      </c>
    </row>
    <row r="50" spans="2:38" ht="43.5" customHeight="1" outlineLevel="1" x14ac:dyDescent="0.2">
      <c r="B50" s="481" t="s">
        <v>1427</v>
      </c>
      <c r="C50" s="480" t="str">
        <f>'Reference documents'!B27</f>
        <v>GRE.EEC.S.25.XX.S.00000.15.001.00</v>
      </c>
      <c r="D50" s="223" t="s">
        <v>1465</v>
      </c>
      <c r="E50" s="828"/>
      <c r="F50" s="436"/>
      <c r="G50" s="437"/>
      <c r="H50" s="1363" t="s">
        <v>1466</v>
      </c>
      <c r="I50" s="216" t="s">
        <v>345</v>
      </c>
      <c r="J50" s="216" t="s">
        <v>1461</v>
      </c>
      <c r="K50" s="44">
        <f t="shared" si="31"/>
        <v>0</v>
      </c>
      <c r="L50" s="1290"/>
      <c r="M50" s="1290"/>
      <c r="N50" s="1297">
        <f t="shared" si="27"/>
        <v>0</v>
      </c>
      <c r="O50" s="1290"/>
      <c r="P50" s="1290"/>
      <c r="Q50" s="1297">
        <f t="shared" si="28"/>
        <v>0</v>
      </c>
      <c r="R50" s="1298"/>
      <c r="S50" s="1290"/>
      <c r="T50" s="1298"/>
      <c r="U50" s="1291">
        <f t="shared" si="29"/>
        <v>0</v>
      </c>
      <c r="V50" s="232">
        <f t="shared" si="30"/>
        <v>0</v>
      </c>
      <c r="W50" s="233"/>
      <c r="X50" s="47"/>
      <c r="Y50" s="47"/>
      <c r="Z50" s="218"/>
      <c r="AA50" s="221"/>
      <c r="AB50" s="221"/>
      <c r="AC50" s="221"/>
      <c r="AD50" s="221"/>
      <c r="AE50" s="221"/>
      <c r="AF50" s="221"/>
      <c r="AG50" s="221"/>
      <c r="AH50" s="221"/>
      <c r="AI50" s="221"/>
      <c r="AJ50" s="221"/>
      <c r="AK50" s="219"/>
      <c r="AL50" s="220">
        <f t="shared" si="25"/>
        <v>0</v>
      </c>
    </row>
    <row r="51" spans="2:38" ht="43.5" customHeight="1" outlineLevel="1" x14ac:dyDescent="0.2">
      <c r="B51" s="481" t="s">
        <v>1427</v>
      </c>
      <c r="C51" s="480" t="str">
        <f>'Reference documents'!B27</f>
        <v>GRE.EEC.S.25.XX.S.00000.15.001.00</v>
      </c>
      <c r="D51" s="223" t="s">
        <v>1467</v>
      </c>
      <c r="E51" s="828"/>
      <c r="F51" s="436"/>
      <c r="G51" s="437"/>
      <c r="H51" s="1363" t="s">
        <v>1468</v>
      </c>
      <c r="I51" s="216" t="s">
        <v>345</v>
      </c>
      <c r="J51" s="216" t="s">
        <v>1461</v>
      </c>
      <c r="K51" s="44">
        <f t="shared" si="31"/>
        <v>0</v>
      </c>
      <c r="L51" s="1290"/>
      <c r="M51" s="1290"/>
      <c r="N51" s="1297">
        <f t="shared" si="27"/>
        <v>0</v>
      </c>
      <c r="O51" s="1290"/>
      <c r="P51" s="1290"/>
      <c r="Q51" s="1297">
        <f t="shared" si="28"/>
        <v>0</v>
      </c>
      <c r="R51" s="1298"/>
      <c r="S51" s="1290"/>
      <c r="T51" s="1298"/>
      <c r="U51" s="1291">
        <f t="shared" si="29"/>
        <v>0</v>
      </c>
      <c r="V51" s="232">
        <f t="shared" si="30"/>
        <v>0</v>
      </c>
      <c r="W51" s="233"/>
      <c r="X51" s="47"/>
      <c r="Y51" s="47"/>
      <c r="Z51" s="218"/>
      <c r="AA51" s="221"/>
      <c r="AB51" s="221"/>
      <c r="AC51" s="221"/>
      <c r="AD51" s="221"/>
      <c r="AE51" s="221"/>
      <c r="AF51" s="221"/>
      <c r="AG51" s="221"/>
      <c r="AH51" s="221"/>
      <c r="AI51" s="221"/>
      <c r="AJ51" s="221"/>
      <c r="AK51" s="219"/>
      <c r="AL51" s="220">
        <f t="shared" si="25"/>
        <v>0</v>
      </c>
    </row>
    <row r="52" spans="2:38" ht="43.5" customHeight="1" outlineLevel="1" x14ac:dyDescent="0.2">
      <c r="B52" s="481" t="s">
        <v>1427</v>
      </c>
      <c r="C52" s="480" t="str">
        <f>'Reference documents'!B27</f>
        <v>GRE.EEC.S.25.XX.S.00000.15.001.00</v>
      </c>
      <c r="D52" s="223" t="s">
        <v>1469</v>
      </c>
      <c r="E52" s="828"/>
      <c r="F52" s="436"/>
      <c r="G52" s="437"/>
      <c r="H52" s="1363" t="s">
        <v>1470</v>
      </c>
      <c r="I52" s="216" t="s">
        <v>345</v>
      </c>
      <c r="J52" s="216" t="s">
        <v>1461</v>
      </c>
      <c r="K52" s="44">
        <f t="shared" si="31"/>
        <v>0</v>
      </c>
      <c r="L52" s="1290"/>
      <c r="M52" s="1290"/>
      <c r="N52" s="1297">
        <f t="shared" si="27"/>
        <v>0</v>
      </c>
      <c r="O52" s="1290"/>
      <c r="P52" s="1290"/>
      <c r="Q52" s="1297">
        <f t="shared" si="28"/>
        <v>0</v>
      </c>
      <c r="R52" s="1298"/>
      <c r="S52" s="1290"/>
      <c r="T52" s="1298"/>
      <c r="U52" s="1291">
        <f t="shared" si="29"/>
        <v>0</v>
      </c>
      <c r="V52" s="232">
        <f t="shared" si="30"/>
        <v>0</v>
      </c>
      <c r="W52" s="233"/>
      <c r="X52" s="47"/>
      <c r="Y52" s="47"/>
      <c r="Z52" s="218"/>
      <c r="AA52" s="221"/>
      <c r="AB52" s="221"/>
      <c r="AC52" s="221"/>
      <c r="AD52" s="221"/>
      <c r="AE52" s="221"/>
      <c r="AF52" s="221"/>
      <c r="AG52" s="221"/>
      <c r="AH52" s="221"/>
      <c r="AI52" s="221"/>
      <c r="AJ52" s="221"/>
      <c r="AK52" s="219"/>
      <c r="AL52" s="220">
        <f t="shared" si="25"/>
        <v>0</v>
      </c>
    </row>
    <row r="53" spans="2:38" s="47" customFormat="1" ht="15.75" x14ac:dyDescent="0.2">
      <c r="B53" s="48"/>
      <c r="C53" s="163"/>
      <c r="D53" s="39"/>
      <c r="E53" s="822"/>
      <c r="F53" s="432"/>
      <c r="G53" s="433"/>
      <c r="H53" s="1358" t="s">
        <v>1471</v>
      </c>
      <c r="I53" s="40"/>
      <c r="J53" s="40"/>
      <c r="K53" s="40"/>
      <c r="L53" s="40"/>
      <c r="M53" s="40"/>
      <c r="N53" s="40"/>
      <c r="O53" s="40"/>
      <c r="P53" s="40"/>
      <c r="Q53" s="40"/>
      <c r="R53" s="40"/>
      <c r="S53" s="40"/>
      <c r="T53" s="40"/>
      <c r="U53" s="40"/>
      <c r="V53" s="40"/>
      <c r="W53" s="211"/>
      <c r="Z53" s="212"/>
      <c r="AA53" s="215"/>
      <c r="AB53" s="215"/>
      <c r="AC53" s="215"/>
      <c r="AD53" s="215"/>
      <c r="AE53" s="215"/>
      <c r="AF53" s="215"/>
      <c r="AG53" s="215"/>
      <c r="AH53" s="215"/>
      <c r="AI53" s="215"/>
      <c r="AJ53" s="215"/>
      <c r="AK53" s="213"/>
      <c r="AL53" s="214"/>
    </row>
    <row r="54" spans="2:38" s="47" customFormat="1" ht="43.5" customHeight="1" outlineLevel="1" x14ac:dyDescent="0.2">
      <c r="B54" s="481" t="s">
        <v>1427</v>
      </c>
      <c r="C54" s="480" t="str">
        <f>'Reference documents'!B27</f>
        <v>GRE.EEC.S.25.XX.S.00000.15.001.00</v>
      </c>
      <c r="D54" s="216" t="s">
        <v>1391</v>
      </c>
      <c r="E54" s="823"/>
      <c r="F54" s="328"/>
      <c r="G54" s="328"/>
      <c r="H54" s="1360" t="s">
        <v>1392</v>
      </c>
      <c r="I54" s="216" t="s">
        <v>1393</v>
      </c>
      <c r="J54" s="216" t="s">
        <v>1385</v>
      </c>
      <c r="K54" s="44">
        <f t="shared" ref="K54:K63" si="32">AL54</f>
        <v>0</v>
      </c>
      <c r="L54" s="1290"/>
      <c r="M54" s="1290"/>
      <c r="N54" s="1297">
        <f t="shared" ref="N54:N63" si="33">L54*M54</f>
        <v>0</v>
      </c>
      <c r="O54" s="1290"/>
      <c r="P54" s="1290"/>
      <c r="Q54" s="1297">
        <f t="shared" ref="Q54:Q63" si="34">O54*P54</f>
        <v>0</v>
      </c>
      <c r="R54" s="1298"/>
      <c r="S54" s="1290"/>
      <c r="T54" s="1298"/>
      <c r="U54" s="1291">
        <f t="shared" ref="U54:U63" si="35">S54+Q54+N54</f>
        <v>0</v>
      </c>
      <c r="V54" s="45">
        <f t="shared" ref="V54:V62" si="36">K54*U54</f>
        <v>0</v>
      </c>
      <c r="W54" s="217"/>
      <c r="Z54" s="218"/>
      <c r="AA54" s="221"/>
      <c r="AB54" s="221"/>
      <c r="AC54" s="221"/>
      <c r="AD54" s="221"/>
      <c r="AE54" s="221"/>
      <c r="AF54" s="221"/>
      <c r="AG54" s="221"/>
      <c r="AH54" s="221"/>
      <c r="AI54" s="221"/>
      <c r="AJ54" s="221"/>
      <c r="AK54" s="219"/>
      <c r="AL54" s="220">
        <f t="shared" ref="AL54:AL63" si="37">SUMPRODUCT($Z$4:$AK$4,Z54:AK54)</f>
        <v>0</v>
      </c>
    </row>
    <row r="55" spans="2:38" s="47" customFormat="1" ht="43.5" customHeight="1" outlineLevel="1" x14ac:dyDescent="0.2">
      <c r="B55" s="481" t="s">
        <v>1427</v>
      </c>
      <c r="C55" s="480" t="str">
        <f>'Reference documents'!B27</f>
        <v>GRE.EEC.S.25.XX.S.00000.15.001.00</v>
      </c>
      <c r="D55" s="216" t="s">
        <v>1395</v>
      </c>
      <c r="E55" s="824"/>
      <c r="F55" s="434"/>
      <c r="G55" s="435"/>
      <c r="H55" s="1360" t="s">
        <v>1396</v>
      </c>
      <c r="I55" s="216" t="s">
        <v>1393</v>
      </c>
      <c r="J55" s="216" t="s">
        <v>1385</v>
      </c>
      <c r="K55" s="44">
        <f t="shared" si="32"/>
        <v>0</v>
      </c>
      <c r="L55" s="1290"/>
      <c r="M55" s="1290"/>
      <c r="N55" s="1297">
        <f t="shared" si="33"/>
        <v>0</v>
      </c>
      <c r="O55" s="1290"/>
      <c r="P55" s="1290"/>
      <c r="Q55" s="1297">
        <f t="shared" si="34"/>
        <v>0</v>
      </c>
      <c r="R55" s="1298"/>
      <c r="S55" s="1290"/>
      <c r="T55" s="1298"/>
      <c r="U55" s="1291">
        <f t="shared" si="35"/>
        <v>0</v>
      </c>
      <c r="V55" s="45">
        <f t="shared" si="36"/>
        <v>0</v>
      </c>
      <c r="W55" s="217"/>
      <c r="Z55" s="218"/>
      <c r="AA55" s="221"/>
      <c r="AB55" s="221"/>
      <c r="AC55" s="221"/>
      <c r="AD55" s="221"/>
      <c r="AE55" s="221"/>
      <c r="AF55" s="221"/>
      <c r="AG55" s="221"/>
      <c r="AH55" s="221"/>
      <c r="AI55" s="221"/>
      <c r="AJ55" s="221"/>
      <c r="AK55" s="219"/>
      <c r="AL55" s="220">
        <f t="shared" si="37"/>
        <v>0</v>
      </c>
    </row>
    <row r="56" spans="2:38" s="47" customFormat="1" ht="43.5" customHeight="1" outlineLevel="1" x14ac:dyDescent="0.2">
      <c r="B56" s="481" t="s">
        <v>1427</v>
      </c>
      <c r="C56" s="480" t="str">
        <f>'Reference documents'!B27</f>
        <v>GRE.EEC.S.25.XX.S.00000.15.001.00</v>
      </c>
      <c r="D56" s="216" t="s">
        <v>1397</v>
      </c>
      <c r="E56" s="823"/>
      <c r="F56" s="328"/>
      <c r="G56" s="328"/>
      <c r="H56" s="1360" t="s">
        <v>1398</v>
      </c>
      <c r="I56" s="216" t="s">
        <v>1393</v>
      </c>
      <c r="J56" s="216" t="s">
        <v>1385</v>
      </c>
      <c r="K56" s="44">
        <f t="shared" si="32"/>
        <v>0</v>
      </c>
      <c r="L56" s="1290"/>
      <c r="M56" s="1290"/>
      <c r="N56" s="1297">
        <f t="shared" si="33"/>
        <v>0</v>
      </c>
      <c r="O56" s="1290"/>
      <c r="P56" s="1290"/>
      <c r="Q56" s="1297">
        <f t="shared" si="34"/>
        <v>0</v>
      </c>
      <c r="R56" s="1298"/>
      <c r="S56" s="1290"/>
      <c r="T56" s="1298"/>
      <c r="U56" s="1291">
        <f t="shared" si="35"/>
        <v>0</v>
      </c>
      <c r="V56" s="45">
        <f t="shared" si="36"/>
        <v>0</v>
      </c>
      <c r="W56" s="217"/>
      <c r="Z56" s="218"/>
      <c r="AA56" s="221"/>
      <c r="AB56" s="221"/>
      <c r="AC56" s="221"/>
      <c r="AD56" s="221"/>
      <c r="AE56" s="221"/>
      <c r="AF56" s="221"/>
      <c r="AG56" s="221"/>
      <c r="AH56" s="221"/>
      <c r="AI56" s="221"/>
      <c r="AJ56" s="221"/>
      <c r="AK56" s="219"/>
      <c r="AL56" s="220">
        <f t="shared" si="37"/>
        <v>0</v>
      </c>
    </row>
    <row r="57" spans="2:38" s="47" customFormat="1" ht="43.5" customHeight="1" outlineLevel="1" x14ac:dyDescent="0.2">
      <c r="B57" s="481" t="s">
        <v>1427</v>
      </c>
      <c r="C57" s="480" t="str">
        <f>'Reference documents'!B27</f>
        <v>GRE.EEC.S.25.XX.S.00000.15.001.00</v>
      </c>
      <c r="D57" s="216" t="s">
        <v>1399</v>
      </c>
      <c r="E57" s="823"/>
      <c r="F57" s="328"/>
      <c r="G57" s="328"/>
      <c r="H57" s="1360" t="s">
        <v>1400</v>
      </c>
      <c r="I57" s="43" t="s">
        <v>1379</v>
      </c>
      <c r="J57" s="43" t="s">
        <v>1380</v>
      </c>
      <c r="K57" s="44">
        <f t="shared" si="32"/>
        <v>0</v>
      </c>
      <c r="L57" s="1290"/>
      <c r="M57" s="1290"/>
      <c r="N57" s="1297">
        <f t="shared" si="33"/>
        <v>0</v>
      </c>
      <c r="O57" s="1290"/>
      <c r="P57" s="1290"/>
      <c r="Q57" s="1297">
        <f t="shared" si="34"/>
        <v>0</v>
      </c>
      <c r="R57" s="1298"/>
      <c r="S57" s="1290"/>
      <c r="T57" s="1298"/>
      <c r="U57" s="1291">
        <f t="shared" si="35"/>
        <v>0</v>
      </c>
      <c r="V57" s="45">
        <f t="shared" si="36"/>
        <v>0</v>
      </c>
      <c r="W57" s="217"/>
      <c r="Z57" s="218"/>
      <c r="AA57" s="221"/>
      <c r="AB57" s="221"/>
      <c r="AC57" s="221"/>
      <c r="AD57" s="221"/>
      <c r="AE57" s="221"/>
      <c r="AF57" s="221"/>
      <c r="AG57" s="221"/>
      <c r="AH57" s="221"/>
      <c r="AI57" s="221"/>
      <c r="AJ57" s="221"/>
      <c r="AK57" s="219"/>
      <c r="AL57" s="220">
        <f t="shared" si="37"/>
        <v>0</v>
      </c>
    </row>
    <row r="58" spans="2:38" s="47" customFormat="1" ht="43.5" customHeight="1" outlineLevel="1" x14ac:dyDescent="0.2">
      <c r="B58" s="481" t="s">
        <v>1427</v>
      </c>
      <c r="C58" s="480" t="str">
        <f>'Reference documents'!B27</f>
        <v>GRE.EEC.S.25.XX.S.00000.15.001.00</v>
      </c>
      <c r="D58" s="216" t="s">
        <v>1401</v>
      </c>
      <c r="E58" s="823"/>
      <c r="F58" s="328"/>
      <c r="G58" s="328"/>
      <c r="H58" s="1360" t="s">
        <v>1472</v>
      </c>
      <c r="I58" s="43" t="s">
        <v>1393</v>
      </c>
      <c r="J58" s="43" t="s">
        <v>1385</v>
      </c>
      <c r="K58" s="44">
        <f t="shared" si="32"/>
        <v>0</v>
      </c>
      <c r="L58" s="1290"/>
      <c r="M58" s="1290"/>
      <c r="N58" s="1297">
        <f t="shared" si="33"/>
        <v>0</v>
      </c>
      <c r="O58" s="1290"/>
      <c r="P58" s="1290"/>
      <c r="Q58" s="1297">
        <f t="shared" si="34"/>
        <v>0</v>
      </c>
      <c r="R58" s="1298"/>
      <c r="S58" s="1290"/>
      <c r="T58" s="1298"/>
      <c r="U58" s="1291">
        <f t="shared" si="35"/>
        <v>0</v>
      </c>
      <c r="V58" s="45">
        <f t="shared" si="36"/>
        <v>0</v>
      </c>
      <c r="W58" s="217"/>
      <c r="Z58" s="218"/>
      <c r="AA58" s="221"/>
      <c r="AB58" s="221"/>
      <c r="AC58" s="221"/>
      <c r="AD58" s="221"/>
      <c r="AE58" s="221"/>
      <c r="AF58" s="221"/>
      <c r="AG58" s="221"/>
      <c r="AH58" s="221"/>
      <c r="AI58" s="221"/>
      <c r="AJ58" s="221"/>
      <c r="AK58" s="219"/>
      <c r="AL58" s="220">
        <f t="shared" si="37"/>
        <v>0</v>
      </c>
    </row>
    <row r="59" spans="2:38" s="47" customFormat="1" ht="43.5" customHeight="1" outlineLevel="1" x14ac:dyDescent="0.2">
      <c r="B59" s="481" t="s">
        <v>1427</v>
      </c>
      <c r="C59" s="480" t="str">
        <f>'Reference documents'!B27</f>
        <v>GRE.EEC.S.25.XX.S.00000.15.001.00</v>
      </c>
      <c r="D59" s="216" t="s">
        <v>1404</v>
      </c>
      <c r="E59" s="823"/>
      <c r="F59" s="328"/>
      <c r="G59" s="328"/>
      <c r="H59" s="1360" t="s">
        <v>1405</v>
      </c>
      <c r="I59" s="43" t="s">
        <v>1393</v>
      </c>
      <c r="J59" s="43" t="s">
        <v>1385</v>
      </c>
      <c r="K59" s="44">
        <f t="shared" si="32"/>
        <v>0</v>
      </c>
      <c r="L59" s="1290"/>
      <c r="M59" s="1290"/>
      <c r="N59" s="1297">
        <f t="shared" si="33"/>
        <v>0</v>
      </c>
      <c r="O59" s="1290"/>
      <c r="P59" s="1290"/>
      <c r="Q59" s="1297">
        <f t="shared" si="34"/>
        <v>0</v>
      </c>
      <c r="R59" s="1298"/>
      <c r="S59" s="1290"/>
      <c r="T59" s="1298"/>
      <c r="U59" s="1291">
        <f t="shared" si="35"/>
        <v>0</v>
      </c>
      <c r="V59" s="45">
        <f t="shared" si="36"/>
        <v>0</v>
      </c>
      <c r="W59" s="217"/>
      <c r="Z59" s="218"/>
      <c r="AA59" s="221"/>
      <c r="AB59" s="221"/>
      <c r="AC59" s="221"/>
      <c r="AD59" s="221"/>
      <c r="AE59" s="221"/>
      <c r="AF59" s="221"/>
      <c r="AG59" s="221"/>
      <c r="AH59" s="221"/>
      <c r="AI59" s="221"/>
      <c r="AJ59" s="221"/>
      <c r="AK59" s="219"/>
      <c r="AL59" s="220">
        <f t="shared" si="37"/>
        <v>0</v>
      </c>
    </row>
    <row r="60" spans="2:38" s="47" customFormat="1" ht="43.5" customHeight="1" outlineLevel="1" x14ac:dyDescent="0.2">
      <c r="B60" s="481" t="s">
        <v>1427</v>
      </c>
      <c r="C60" s="480" t="str">
        <f>'Reference documents'!B27</f>
        <v>GRE.EEC.S.25.XX.S.00000.15.001.00</v>
      </c>
      <c r="D60" s="223" t="s">
        <v>1473</v>
      </c>
      <c r="E60" s="825"/>
      <c r="F60" s="328"/>
      <c r="G60" s="328"/>
      <c r="H60" s="1363" t="s">
        <v>1474</v>
      </c>
      <c r="I60" s="216" t="s">
        <v>345</v>
      </c>
      <c r="J60" s="216" t="s">
        <v>1461</v>
      </c>
      <c r="K60" s="44">
        <f t="shared" si="32"/>
        <v>0</v>
      </c>
      <c r="L60" s="1290"/>
      <c r="M60" s="1290"/>
      <c r="N60" s="1297">
        <f t="shared" si="33"/>
        <v>0</v>
      </c>
      <c r="O60" s="1290"/>
      <c r="P60" s="1290"/>
      <c r="Q60" s="1297">
        <f t="shared" si="34"/>
        <v>0</v>
      </c>
      <c r="R60" s="1298"/>
      <c r="S60" s="1290"/>
      <c r="T60" s="1298"/>
      <c r="U60" s="1291">
        <f t="shared" si="35"/>
        <v>0</v>
      </c>
      <c r="V60" s="45">
        <f t="shared" si="36"/>
        <v>0</v>
      </c>
      <c r="W60" s="217"/>
      <c r="Z60" s="218"/>
      <c r="AA60" s="221"/>
      <c r="AB60" s="221"/>
      <c r="AC60" s="221"/>
      <c r="AD60" s="221"/>
      <c r="AE60" s="221"/>
      <c r="AF60" s="221"/>
      <c r="AG60" s="221"/>
      <c r="AH60" s="221"/>
      <c r="AI60" s="221"/>
      <c r="AJ60" s="221"/>
      <c r="AK60" s="219"/>
      <c r="AL60" s="220">
        <f t="shared" si="37"/>
        <v>0</v>
      </c>
    </row>
    <row r="61" spans="2:38" s="47" customFormat="1" ht="43.5" customHeight="1" outlineLevel="1" x14ac:dyDescent="0.2">
      <c r="B61" s="481" t="s">
        <v>1427</v>
      </c>
      <c r="C61" s="480" t="str">
        <f>'Reference documents'!B27</f>
        <v>GRE.EEC.S.25.XX.S.00000.15.001.00</v>
      </c>
      <c r="D61" s="43" t="s">
        <v>1475</v>
      </c>
      <c r="E61" s="829"/>
      <c r="F61" s="434"/>
      <c r="G61" s="435"/>
      <c r="H61" s="1362" t="s">
        <v>1476</v>
      </c>
      <c r="I61" s="43" t="s">
        <v>345</v>
      </c>
      <c r="J61" s="43" t="s">
        <v>1461</v>
      </c>
      <c r="K61" s="44">
        <f t="shared" si="32"/>
        <v>0</v>
      </c>
      <c r="L61" s="1290"/>
      <c r="M61" s="1290"/>
      <c r="N61" s="1297">
        <f t="shared" si="33"/>
        <v>0</v>
      </c>
      <c r="O61" s="1290"/>
      <c r="P61" s="1290"/>
      <c r="Q61" s="1297">
        <f t="shared" si="34"/>
        <v>0</v>
      </c>
      <c r="R61" s="1298"/>
      <c r="S61" s="1290"/>
      <c r="T61" s="1298"/>
      <c r="U61" s="1291">
        <f t="shared" si="35"/>
        <v>0</v>
      </c>
      <c r="V61" s="45">
        <f t="shared" si="36"/>
        <v>0</v>
      </c>
      <c r="W61" s="217"/>
      <c r="Z61" s="218"/>
      <c r="AA61" s="221"/>
      <c r="AB61" s="221"/>
      <c r="AC61" s="221"/>
      <c r="AD61" s="221"/>
      <c r="AE61" s="221"/>
      <c r="AF61" s="221"/>
      <c r="AG61" s="221"/>
      <c r="AH61" s="221"/>
      <c r="AI61" s="221"/>
      <c r="AJ61" s="221"/>
      <c r="AK61" s="219"/>
      <c r="AL61" s="220">
        <f t="shared" si="37"/>
        <v>0</v>
      </c>
    </row>
    <row r="62" spans="2:38" ht="43.5" customHeight="1" outlineLevel="1" x14ac:dyDescent="0.2">
      <c r="B62" s="481" t="s">
        <v>1427</v>
      </c>
      <c r="C62" s="480" t="str">
        <f>'Reference documents'!B27</f>
        <v>GRE.EEC.S.25.XX.S.00000.15.001.00</v>
      </c>
      <c r="D62" s="223" t="s">
        <v>1417</v>
      </c>
      <c r="E62" s="825"/>
      <c r="F62" s="328"/>
      <c r="G62" s="328"/>
      <c r="H62" s="1363" t="s">
        <v>1418</v>
      </c>
      <c r="I62" s="216" t="s">
        <v>1379</v>
      </c>
      <c r="J62" s="216" t="s">
        <v>1380</v>
      </c>
      <c r="K62" s="44">
        <f t="shared" si="32"/>
        <v>0</v>
      </c>
      <c r="L62" s="1290"/>
      <c r="M62" s="1290"/>
      <c r="N62" s="1297">
        <f t="shared" si="33"/>
        <v>0</v>
      </c>
      <c r="O62" s="1290"/>
      <c r="P62" s="1290"/>
      <c r="Q62" s="1297">
        <f t="shared" si="34"/>
        <v>0</v>
      </c>
      <c r="R62" s="1298"/>
      <c r="S62" s="1290"/>
      <c r="T62" s="1298"/>
      <c r="U62" s="1291">
        <f t="shared" si="35"/>
        <v>0</v>
      </c>
      <c r="V62" s="45">
        <f t="shared" si="36"/>
        <v>0</v>
      </c>
      <c r="W62" s="217"/>
      <c r="X62" s="47"/>
      <c r="Y62" s="47"/>
      <c r="Z62" s="218"/>
      <c r="AA62" s="221"/>
      <c r="AB62" s="221"/>
      <c r="AC62" s="221"/>
      <c r="AD62" s="221"/>
      <c r="AE62" s="221"/>
      <c r="AF62" s="221"/>
      <c r="AG62" s="221"/>
      <c r="AH62" s="221"/>
      <c r="AI62" s="221"/>
      <c r="AJ62" s="221"/>
      <c r="AK62" s="219"/>
      <c r="AL62" s="220">
        <f t="shared" si="37"/>
        <v>0</v>
      </c>
    </row>
    <row r="63" spans="2:38" s="47" customFormat="1" ht="43.5" customHeight="1" outlineLevel="1" x14ac:dyDescent="0.2">
      <c r="B63" s="481" t="s">
        <v>1427</v>
      </c>
      <c r="C63" s="480" t="str">
        <f>'Reference documents'!B27</f>
        <v>GRE.EEC.S.25.XX.S.00000.15.001.00</v>
      </c>
      <c r="D63" s="57" t="s">
        <v>1477</v>
      </c>
      <c r="E63" s="830"/>
      <c r="F63" s="328"/>
      <c r="G63" s="328"/>
      <c r="H63" s="1365" t="s">
        <v>1478</v>
      </c>
      <c r="I63" s="43" t="s">
        <v>345</v>
      </c>
      <c r="J63" s="43" t="s">
        <v>1461</v>
      </c>
      <c r="K63" s="44">
        <f t="shared" si="32"/>
        <v>0</v>
      </c>
      <c r="L63" s="1290"/>
      <c r="M63" s="1290"/>
      <c r="N63" s="1297">
        <f t="shared" si="33"/>
        <v>0</v>
      </c>
      <c r="O63" s="1290"/>
      <c r="P63" s="1290"/>
      <c r="Q63" s="1297">
        <f t="shared" si="34"/>
        <v>0</v>
      </c>
      <c r="R63" s="1298"/>
      <c r="S63" s="1290"/>
      <c r="T63" s="1298"/>
      <c r="U63" s="1291">
        <f t="shared" si="35"/>
        <v>0</v>
      </c>
      <c r="V63" s="45">
        <f>K63*U63</f>
        <v>0</v>
      </c>
      <c r="W63" s="217"/>
      <c r="Z63" s="218"/>
      <c r="AA63" s="221"/>
      <c r="AB63" s="221"/>
      <c r="AC63" s="221"/>
      <c r="AD63" s="221"/>
      <c r="AE63" s="221"/>
      <c r="AF63" s="221"/>
      <c r="AG63" s="221"/>
      <c r="AH63" s="221"/>
      <c r="AI63" s="221"/>
      <c r="AJ63" s="221"/>
      <c r="AK63" s="219"/>
      <c r="AL63" s="220">
        <f t="shared" si="37"/>
        <v>0</v>
      </c>
    </row>
    <row r="64" spans="2:38" s="47" customFormat="1" ht="15.75" x14ac:dyDescent="0.2">
      <c r="B64" s="48"/>
      <c r="C64" s="163"/>
      <c r="D64" s="39"/>
      <c r="E64" s="822"/>
      <c r="F64" s="432"/>
      <c r="G64" s="433"/>
      <c r="H64" s="1358" t="s">
        <v>1479</v>
      </c>
      <c r="I64" s="40"/>
      <c r="J64" s="40"/>
      <c r="K64" s="40"/>
      <c r="L64" s="40"/>
      <c r="M64" s="40"/>
      <c r="N64" s="40"/>
      <c r="O64" s="40"/>
      <c r="P64" s="40"/>
      <c r="Q64" s="40"/>
      <c r="R64" s="40"/>
      <c r="S64" s="40"/>
      <c r="T64" s="40"/>
      <c r="U64" s="40"/>
      <c r="V64" s="40"/>
      <c r="W64" s="211"/>
      <c r="Z64" s="212"/>
      <c r="AA64" s="215"/>
      <c r="AB64" s="215"/>
      <c r="AC64" s="215"/>
      <c r="AD64" s="215"/>
      <c r="AE64" s="215"/>
      <c r="AF64" s="215"/>
      <c r="AG64" s="215"/>
      <c r="AH64" s="215"/>
      <c r="AI64" s="215"/>
      <c r="AJ64" s="215"/>
      <c r="AK64" s="213"/>
      <c r="AL64" s="214"/>
    </row>
    <row r="65" spans="2:38" ht="43.5" customHeight="1" outlineLevel="1" x14ac:dyDescent="0.2">
      <c r="B65" s="481" t="s">
        <v>1427</v>
      </c>
      <c r="C65" s="480" t="str">
        <f>'Reference documents'!B27</f>
        <v>GRE.EEC.S.25.XX.S.00000.15.001.00</v>
      </c>
      <c r="D65" s="223" t="s">
        <v>1480</v>
      </c>
      <c r="E65" s="828"/>
      <c r="F65" s="436"/>
      <c r="G65" s="437"/>
      <c r="H65" s="1363" t="s">
        <v>1481</v>
      </c>
      <c r="I65" s="216" t="s">
        <v>1482</v>
      </c>
      <c r="J65" s="216" t="s">
        <v>1385</v>
      </c>
      <c r="K65" s="44">
        <f t="shared" ref="K65:K71" si="38">AL65</f>
        <v>0</v>
      </c>
      <c r="L65" s="1290"/>
      <c r="M65" s="1290"/>
      <c r="N65" s="1297">
        <f t="shared" ref="N65:N71" si="39">L65*M65</f>
        <v>0</v>
      </c>
      <c r="O65" s="1290"/>
      <c r="P65" s="1290"/>
      <c r="Q65" s="1297">
        <f t="shared" ref="Q65:Q71" si="40">O65*P65</f>
        <v>0</v>
      </c>
      <c r="R65" s="1298"/>
      <c r="S65" s="1290"/>
      <c r="T65" s="1298"/>
      <c r="U65" s="1291">
        <f t="shared" ref="U65:U71" si="41">S65+Q65+N65</f>
        <v>0</v>
      </c>
      <c r="V65" s="45">
        <f t="shared" ref="V65" si="42">K65*U65</f>
        <v>0</v>
      </c>
      <c r="W65" s="217"/>
      <c r="X65" s="47"/>
      <c r="Y65" s="47"/>
      <c r="Z65" s="218"/>
      <c r="AA65" s="221"/>
      <c r="AB65" s="221"/>
      <c r="AC65" s="221"/>
      <c r="AD65" s="221"/>
      <c r="AE65" s="221"/>
      <c r="AF65" s="221"/>
      <c r="AG65" s="221"/>
      <c r="AH65" s="221"/>
      <c r="AI65" s="221"/>
      <c r="AJ65" s="221"/>
      <c r="AK65" s="219"/>
      <c r="AL65" s="220">
        <f t="shared" ref="AL65:AL71" si="43">SUMPRODUCT($Z$4:$AK$4,Z65:AK65)</f>
        <v>0</v>
      </c>
    </row>
    <row r="66" spans="2:38" ht="43.5" customHeight="1" outlineLevel="1" x14ac:dyDescent="0.2">
      <c r="B66" s="481" t="s">
        <v>1427</v>
      </c>
      <c r="C66" s="480" t="str">
        <f>'Reference documents'!B27</f>
        <v>GRE.EEC.S.25.XX.S.00000.15.001.00</v>
      </c>
      <c r="D66" s="49" t="s">
        <v>1483</v>
      </c>
      <c r="E66" s="831"/>
      <c r="F66" s="436"/>
      <c r="G66" s="437"/>
      <c r="H66" s="1364" t="s">
        <v>1484</v>
      </c>
      <c r="I66" s="43" t="s">
        <v>345</v>
      </c>
      <c r="J66" s="43" t="s">
        <v>1461</v>
      </c>
      <c r="K66" s="44">
        <f t="shared" si="38"/>
        <v>0</v>
      </c>
      <c r="L66" s="1290"/>
      <c r="M66" s="1290"/>
      <c r="N66" s="1297">
        <f t="shared" si="39"/>
        <v>0</v>
      </c>
      <c r="O66" s="1290"/>
      <c r="P66" s="1290"/>
      <c r="Q66" s="1297">
        <f t="shared" si="40"/>
        <v>0</v>
      </c>
      <c r="R66" s="1298"/>
      <c r="S66" s="1290"/>
      <c r="T66" s="1298"/>
      <c r="U66" s="1291">
        <f t="shared" si="41"/>
        <v>0</v>
      </c>
      <c r="V66" s="45"/>
      <c r="W66" s="217"/>
      <c r="X66" s="47"/>
      <c r="Y66" s="47"/>
      <c r="Z66" s="218"/>
      <c r="AA66" s="221"/>
      <c r="AB66" s="221"/>
      <c r="AC66" s="221"/>
      <c r="AD66" s="221"/>
      <c r="AE66" s="221"/>
      <c r="AF66" s="221"/>
      <c r="AG66" s="221"/>
      <c r="AH66" s="221"/>
      <c r="AI66" s="221"/>
      <c r="AJ66" s="221"/>
      <c r="AK66" s="219"/>
      <c r="AL66" s="220">
        <f t="shared" si="43"/>
        <v>0</v>
      </c>
    </row>
    <row r="67" spans="2:38" s="47" customFormat="1" ht="43.5" customHeight="1" outlineLevel="1" x14ac:dyDescent="0.2">
      <c r="B67" s="481" t="s">
        <v>1427</v>
      </c>
      <c r="C67" s="480" t="str">
        <f>'Reference documents'!B27</f>
        <v>GRE.EEC.S.25.XX.S.00000.15.001.00</v>
      </c>
      <c r="D67" s="223" t="s">
        <v>1485</v>
      </c>
      <c r="E67" s="828"/>
      <c r="F67" s="436"/>
      <c r="G67" s="437"/>
      <c r="H67" s="1363" t="s">
        <v>1486</v>
      </c>
      <c r="I67" s="216" t="s">
        <v>345</v>
      </c>
      <c r="J67" s="216" t="s">
        <v>1461</v>
      </c>
      <c r="K67" s="44">
        <f t="shared" si="38"/>
        <v>0</v>
      </c>
      <c r="L67" s="1290"/>
      <c r="M67" s="1290"/>
      <c r="N67" s="1297">
        <f t="shared" si="39"/>
        <v>0</v>
      </c>
      <c r="O67" s="1290"/>
      <c r="P67" s="1290"/>
      <c r="Q67" s="1297">
        <f t="shared" si="40"/>
        <v>0</v>
      </c>
      <c r="R67" s="1298"/>
      <c r="S67" s="1290"/>
      <c r="T67" s="1298"/>
      <c r="U67" s="1291">
        <f t="shared" si="41"/>
        <v>0</v>
      </c>
      <c r="V67" s="45">
        <f t="shared" ref="V67:V71" si="44">K67*U67</f>
        <v>0</v>
      </c>
      <c r="W67" s="217"/>
      <c r="Z67" s="218"/>
      <c r="AA67" s="221"/>
      <c r="AB67" s="221"/>
      <c r="AC67" s="221"/>
      <c r="AD67" s="221"/>
      <c r="AE67" s="221"/>
      <c r="AF67" s="221"/>
      <c r="AG67" s="221"/>
      <c r="AH67" s="221"/>
      <c r="AI67" s="221"/>
      <c r="AJ67" s="221"/>
      <c r="AK67" s="219"/>
      <c r="AL67" s="220">
        <f t="shared" si="43"/>
        <v>0</v>
      </c>
    </row>
    <row r="68" spans="2:38" s="47" customFormat="1" ht="43.5" customHeight="1" outlineLevel="1" x14ac:dyDescent="0.2">
      <c r="B68" s="481" t="s">
        <v>1427</v>
      </c>
      <c r="C68" s="480" t="str">
        <f>'Reference documents'!B27</f>
        <v>GRE.EEC.S.25.XX.S.00000.15.001.00</v>
      </c>
      <c r="D68" s="223" t="s">
        <v>1487</v>
      </c>
      <c r="E68" s="828"/>
      <c r="F68" s="436"/>
      <c r="G68" s="437"/>
      <c r="H68" s="1363" t="s">
        <v>1488</v>
      </c>
      <c r="I68" s="216" t="s">
        <v>1482</v>
      </c>
      <c r="J68" s="216" t="s">
        <v>1385</v>
      </c>
      <c r="K68" s="44">
        <f t="shared" si="38"/>
        <v>0</v>
      </c>
      <c r="L68" s="1290"/>
      <c r="M68" s="1290"/>
      <c r="N68" s="1297">
        <f t="shared" si="39"/>
        <v>0</v>
      </c>
      <c r="O68" s="1290"/>
      <c r="P68" s="1290"/>
      <c r="Q68" s="1297">
        <f t="shared" si="40"/>
        <v>0</v>
      </c>
      <c r="R68" s="1298"/>
      <c r="S68" s="1290"/>
      <c r="T68" s="1298"/>
      <c r="U68" s="1291">
        <f t="shared" si="41"/>
        <v>0</v>
      </c>
      <c r="V68" s="45">
        <f t="shared" si="44"/>
        <v>0</v>
      </c>
      <c r="W68" s="217"/>
      <c r="Z68" s="218"/>
      <c r="AA68" s="221"/>
      <c r="AB68" s="221"/>
      <c r="AC68" s="221"/>
      <c r="AD68" s="221"/>
      <c r="AE68" s="221"/>
      <c r="AF68" s="221"/>
      <c r="AG68" s="221"/>
      <c r="AH68" s="221"/>
      <c r="AI68" s="221"/>
      <c r="AJ68" s="221"/>
      <c r="AK68" s="219"/>
      <c r="AL68" s="220">
        <f t="shared" si="43"/>
        <v>0</v>
      </c>
    </row>
    <row r="69" spans="2:38" s="47" customFormat="1" ht="43.5" customHeight="1" outlineLevel="1" x14ac:dyDescent="0.2">
      <c r="B69" s="481" t="s">
        <v>1427</v>
      </c>
      <c r="C69" s="480" t="str">
        <f>'Reference documents'!B27</f>
        <v>GRE.EEC.S.25.XX.S.00000.15.001.00</v>
      </c>
      <c r="D69" s="216" t="s">
        <v>1475</v>
      </c>
      <c r="E69" s="824"/>
      <c r="F69" s="434"/>
      <c r="G69" s="435"/>
      <c r="H69" s="1363" t="s">
        <v>1476</v>
      </c>
      <c r="I69" s="216" t="s">
        <v>345</v>
      </c>
      <c r="J69" s="216" t="s">
        <v>1461</v>
      </c>
      <c r="K69" s="44">
        <f t="shared" si="38"/>
        <v>0</v>
      </c>
      <c r="L69" s="1290"/>
      <c r="M69" s="1290"/>
      <c r="N69" s="1297">
        <f t="shared" si="39"/>
        <v>0</v>
      </c>
      <c r="O69" s="1290"/>
      <c r="P69" s="1290"/>
      <c r="Q69" s="1297">
        <f t="shared" si="40"/>
        <v>0</v>
      </c>
      <c r="R69" s="1298"/>
      <c r="S69" s="1290"/>
      <c r="T69" s="1298"/>
      <c r="U69" s="1291">
        <f t="shared" si="41"/>
        <v>0</v>
      </c>
      <c r="V69" s="45">
        <f t="shared" si="44"/>
        <v>0</v>
      </c>
      <c r="W69" s="217"/>
      <c r="Z69" s="218"/>
      <c r="AA69" s="221"/>
      <c r="AB69" s="221"/>
      <c r="AC69" s="221"/>
      <c r="AD69" s="221"/>
      <c r="AE69" s="221"/>
      <c r="AF69" s="221"/>
      <c r="AG69" s="221"/>
      <c r="AH69" s="221"/>
      <c r="AI69" s="221"/>
      <c r="AJ69" s="221"/>
      <c r="AK69" s="219"/>
      <c r="AL69" s="220">
        <f t="shared" si="43"/>
        <v>0</v>
      </c>
    </row>
    <row r="70" spans="2:38" s="47" customFormat="1" ht="43.5" customHeight="1" outlineLevel="1" x14ac:dyDescent="0.2">
      <c r="B70" s="481" t="s">
        <v>1427</v>
      </c>
      <c r="C70" s="480" t="str">
        <f>'Reference documents'!B27</f>
        <v>GRE.EEC.S.25.XX.S.00000.15.001.00</v>
      </c>
      <c r="D70" s="216" t="s">
        <v>1406</v>
      </c>
      <c r="E70" s="824"/>
      <c r="F70" s="434"/>
      <c r="G70" s="435"/>
      <c r="H70" s="1360" t="s">
        <v>1407</v>
      </c>
      <c r="I70" s="216" t="s">
        <v>1393</v>
      </c>
      <c r="J70" s="216" t="s">
        <v>1385</v>
      </c>
      <c r="K70" s="44">
        <f t="shared" si="38"/>
        <v>0</v>
      </c>
      <c r="L70" s="1290"/>
      <c r="M70" s="1290"/>
      <c r="N70" s="1297">
        <f t="shared" si="39"/>
        <v>0</v>
      </c>
      <c r="O70" s="1290"/>
      <c r="P70" s="1290"/>
      <c r="Q70" s="1297">
        <f t="shared" si="40"/>
        <v>0</v>
      </c>
      <c r="R70" s="1298"/>
      <c r="S70" s="1290"/>
      <c r="T70" s="1298"/>
      <c r="U70" s="1291">
        <f t="shared" si="41"/>
        <v>0</v>
      </c>
      <c r="V70" s="45">
        <f t="shared" si="44"/>
        <v>0</v>
      </c>
      <c r="W70" s="217"/>
      <c r="Z70" s="218"/>
      <c r="AA70" s="221"/>
      <c r="AB70" s="221"/>
      <c r="AC70" s="221"/>
      <c r="AD70" s="221"/>
      <c r="AE70" s="221"/>
      <c r="AF70" s="221"/>
      <c r="AG70" s="221"/>
      <c r="AH70" s="221"/>
      <c r="AI70" s="221"/>
      <c r="AJ70" s="221"/>
      <c r="AK70" s="219"/>
      <c r="AL70" s="220">
        <f t="shared" si="43"/>
        <v>0</v>
      </c>
    </row>
    <row r="71" spans="2:38" s="47" customFormat="1" ht="43.5" customHeight="1" outlineLevel="1" x14ac:dyDescent="0.2">
      <c r="B71" s="481" t="s">
        <v>1427</v>
      </c>
      <c r="C71" s="480" t="str">
        <f>'Reference documents'!B27</f>
        <v>GRE.EEC.S.25.XX.S.00000.15.001.00</v>
      </c>
      <c r="D71" s="216" t="s">
        <v>1408</v>
      </c>
      <c r="E71" s="824"/>
      <c r="F71" s="434"/>
      <c r="G71" s="435"/>
      <c r="H71" s="1360" t="s">
        <v>1409</v>
      </c>
      <c r="I71" s="216" t="s">
        <v>1393</v>
      </c>
      <c r="J71" s="216" t="s">
        <v>1385</v>
      </c>
      <c r="K71" s="44">
        <f t="shared" si="38"/>
        <v>0</v>
      </c>
      <c r="L71" s="1290"/>
      <c r="M71" s="1290"/>
      <c r="N71" s="1297">
        <f t="shared" si="39"/>
        <v>0</v>
      </c>
      <c r="O71" s="1290"/>
      <c r="P71" s="1290"/>
      <c r="Q71" s="1297">
        <f t="shared" si="40"/>
        <v>0</v>
      </c>
      <c r="R71" s="1298"/>
      <c r="S71" s="1290"/>
      <c r="T71" s="1298"/>
      <c r="U71" s="1291">
        <f t="shared" si="41"/>
        <v>0</v>
      </c>
      <c r="V71" s="45">
        <f t="shared" si="44"/>
        <v>0</v>
      </c>
      <c r="W71" s="217"/>
      <c r="Z71" s="218"/>
      <c r="AA71" s="221"/>
      <c r="AB71" s="221"/>
      <c r="AC71" s="221"/>
      <c r="AD71" s="221"/>
      <c r="AE71" s="221"/>
      <c r="AF71" s="221"/>
      <c r="AG71" s="221"/>
      <c r="AH71" s="221"/>
      <c r="AI71" s="221"/>
      <c r="AJ71" s="221"/>
      <c r="AK71" s="219"/>
      <c r="AL71" s="220">
        <f t="shared" si="43"/>
        <v>0</v>
      </c>
    </row>
    <row r="72" spans="2:38" s="47" customFormat="1" ht="15.75" x14ac:dyDescent="0.2">
      <c r="B72" s="59"/>
      <c r="C72" s="165"/>
      <c r="D72" s="53"/>
      <c r="E72" s="832"/>
      <c r="F72" s="332"/>
      <c r="G72" s="333"/>
      <c r="H72" s="52" t="s">
        <v>1489</v>
      </c>
      <c r="I72" s="53"/>
      <c r="J72" s="53"/>
      <c r="K72" s="54"/>
      <c r="L72" s="54"/>
      <c r="M72" s="54"/>
      <c r="N72" s="54"/>
      <c r="O72" s="54"/>
      <c r="P72" s="54"/>
      <c r="Q72" s="54"/>
      <c r="R72" s="54"/>
      <c r="S72" s="54"/>
      <c r="T72" s="54"/>
      <c r="U72" s="55"/>
      <c r="V72" s="1378">
        <f>+SUM(V35:V71)</f>
        <v>126274.80951446218</v>
      </c>
      <c r="W72" s="224"/>
      <c r="Z72" s="234"/>
      <c r="AA72" s="235"/>
      <c r="AB72" s="235"/>
      <c r="AC72" s="235"/>
      <c r="AD72" s="235"/>
      <c r="AE72" s="235"/>
      <c r="AF72" s="235"/>
      <c r="AG72" s="235"/>
      <c r="AH72" s="235"/>
      <c r="AI72" s="235"/>
      <c r="AJ72" s="235"/>
      <c r="AK72" s="226"/>
      <c r="AL72" s="227"/>
    </row>
    <row r="73" spans="2:38" s="47" customFormat="1" ht="5.25" customHeight="1" x14ac:dyDescent="0.2">
      <c r="B73" s="236"/>
      <c r="C73" s="237"/>
      <c r="D73" s="200"/>
      <c r="E73" s="833"/>
      <c r="F73" s="334"/>
      <c r="G73" s="335"/>
      <c r="H73" s="199"/>
      <c r="I73" s="200"/>
      <c r="J73" s="200"/>
      <c r="K73" s="57"/>
      <c r="L73" s="57"/>
      <c r="M73" s="57"/>
      <c r="N73" s="57"/>
      <c r="O73" s="57"/>
      <c r="P73" s="57"/>
      <c r="Q73" s="57"/>
      <c r="R73" s="57"/>
      <c r="S73" s="57"/>
      <c r="T73" s="57"/>
      <c r="U73" s="201"/>
      <c r="V73" s="202"/>
      <c r="W73" s="217"/>
      <c r="Z73" s="238"/>
      <c r="AA73" s="239"/>
      <c r="AB73" s="239"/>
      <c r="AC73" s="239"/>
      <c r="AD73" s="239"/>
      <c r="AE73" s="239"/>
      <c r="AF73" s="239"/>
      <c r="AG73" s="239"/>
      <c r="AH73" s="239"/>
      <c r="AI73" s="239"/>
      <c r="AJ73" s="239"/>
      <c r="AK73" s="230"/>
      <c r="AL73" s="231"/>
    </row>
    <row r="74" spans="2:38" ht="15.75" x14ac:dyDescent="0.2">
      <c r="B74" s="63"/>
      <c r="C74" s="167"/>
      <c r="D74" s="35"/>
      <c r="E74" s="821"/>
      <c r="F74" s="326"/>
      <c r="G74" s="327"/>
      <c r="H74" s="1357" t="s">
        <v>1490</v>
      </c>
      <c r="I74" s="35" t="s">
        <v>207</v>
      </c>
      <c r="J74" s="35" t="s">
        <v>207</v>
      </c>
      <c r="K74" s="36"/>
      <c r="L74" s="36"/>
      <c r="M74" s="36"/>
      <c r="N74" s="36"/>
      <c r="O74" s="36"/>
      <c r="P74" s="36"/>
      <c r="Q74" s="36"/>
      <c r="R74" s="36"/>
      <c r="S74" s="36"/>
      <c r="T74" s="36"/>
      <c r="U74" s="37"/>
      <c r="V74" s="38"/>
      <c r="W74" s="206"/>
      <c r="X74" s="47"/>
      <c r="Y74" s="47"/>
      <c r="Z74" s="207"/>
      <c r="AA74" s="210"/>
      <c r="AB74" s="210"/>
      <c r="AC74" s="210"/>
      <c r="AD74" s="210"/>
      <c r="AE74" s="210"/>
      <c r="AF74" s="210"/>
      <c r="AG74" s="210"/>
      <c r="AH74" s="210"/>
      <c r="AI74" s="210"/>
      <c r="AJ74" s="210"/>
      <c r="AK74" s="208"/>
      <c r="AL74" s="209"/>
    </row>
    <row r="75" spans="2:38" ht="15.75" collapsed="1" x14ac:dyDescent="0.2">
      <c r="B75" s="48"/>
      <c r="C75" s="163"/>
      <c r="D75" s="39"/>
      <c r="E75" s="822"/>
      <c r="F75" s="432"/>
      <c r="G75" s="433"/>
      <c r="H75" s="1358" t="s">
        <v>1387</v>
      </c>
      <c r="I75" s="40"/>
      <c r="J75" s="40"/>
      <c r="K75" s="41"/>
      <c r="L75" s="41"/>
      <c r="M75" s="41"/>
      <c r="N75" s="41"/>
      <c r="O75" s="41"/>
      <c r="P75" s="41"/>
      <c r="Q75" s="41"/>
      <c r="R75" s="41"/>
      <c r="S75" s="41"/>
      <c r="T75" s="41"/>
      <c r="U75" s="42"/>
      <c r="V75" s="42"/>
      <c r="W75" s="211"/>
      <c r="Z75" s="212"/>
      <c r="AA75" s="215"/>
      <c r="AB75" s="215"/>
      <c r="AC75" s="215"/>
      <c r="AD75" s="215"/>
      <c r="AE75" s="215"/>
      <c r="AF75" s="215"/>
      <c r="AG75" s="215"/>
      <c r="AH75" s="215"/>
      <c r="AI75" s="215"/>
      <c r="AJ75" s="215"/>
      <c r="AK75" s="213"/>
      <c r="AL75" s="214"/>
    </row>
    <row r="76" spans="2:38" s="47" customFormat="1" ht="43.5" customHeight="1" outlineLevel="1" x14ac:dyDescent="0.2">
      <c r="B76" s="481" t="s">
        <v>1491</v>
      </c>
      <c r="C76" s="480" t="str">
        <f>'Reference documents'!B27</f>
        <v>GRE.EEC.S.25.XX.S.00000.15.001.00</v>
      </c>
      <c r="D76" s="43" t="s">
        <v>1492</v>
      </c>
      <c r="E76" s="834"/>
      <c r="F76" s="328"/>
      <c r="G76" s="328"/>
      <c r="H76" s="1362" t="s">
        <v>1493</v>
      </c>
      <c r="I76" s="43" t="s">
        <v>1393</v>
      </c>
      <c r="J76" s="43" t="s">
        <v>1385</v>
      </c>
      <c r="K76" s="44">
        <f t="shared" ref="K76:K78" si="45">AL76</f>
        <v>60</v>
      </c>
      <c r="L76" s="1290">
        <v>0.22545971515401572</v>
      </c>
      <c r="M76" s="1290">
        <v>40</v>
      </c>
      <c r="N76" s="1297">
        <f t="shared" ref="N76:N78" si="46">L76*M76</f>
        <v>9.0183886061606291</v>
      </c>
      <c r="O76" s="1290">
        <v>0.03</v>
      </c>
      <c r="P76" s="1290">
        <v>70</v>
      </c>
      <c r="Q76" s="1297">
        <f t="shared" ref="Q76:Q78" si="47">O76*P76</f>
        <v>2.1</v>
      </c>
      <c r="R76" s="1298"/>
      <c r="S76" s="1290"/>
      <c r="T76" s="1298"/>
      <c r="U76" s="1291">
        <f t="shared" ref="U76:U78" si="48">S76+Q76+N76</f>
        <v>11.118388606160629</v>
      </c>
      <c r="V76" s="45">
        <f>K76*U76</f>
        <v>667.1033163696377</v>
      </c>
      <c r="W76" s="217"/>
      <c r="Z76" s="218"/>
      <c r="AA76" s="221"/>
      <c r="AB76" s="221"/>
      <c r="AC76" s="221"/>
      <c r="AD76" s="221">
        <v>30</v>
      </c>
      <c r="AE76" s="221">
        <v>30</v>
      </c>
      <c r="AF76" s="221"/>
      <c r="AG76" s="221"/>
      <c r="AH76" s="221"/>
      <c r="AI76" s="221"/>
      <c r="AJ76" s="221"/>
      <c r="AK76" s="219"/>
      <c r="AL76" s="220">
        <f>SUMPRODUCT($Z$4:$AK$4,Z76:AK76)</f>
        <v>60</v>
      </c>
    </row>
    <row r="77" spans="2:38" s="47" customFormat="1" ht="43.5" customHeight="1" outlineLevel="1" x14ac:dyDescent="0.2">
      <c r="B77" s="481" t="s">
        <v>1491</v>
      </c>
      <c r="C77" s="480" t="str">
        <f>'Reference documents'!B27</f>
        <v>GRE.EEC.S.25.XX.S.00000.15.001.00</v>
      </c>
      <c r="D77" s="43" t="s">
        <v>1399</v>
      </c>
      <c r="E77" s="834"/>
      <c r="F77" s="328"/>
      <c r="G77" s="328"/>
      <c r="H77" s="1362" t="s">
        <v>1494</v>
      </c>
      <c r="I77" s="43" t="s">
        <v>1379</v>
      </c>
      <c r="J77" s="43" t="s">
        <v>1380</v>
      </c>
      <c r="K77" s="44">
        <f t="shared" si="45"/>
        <v>0</v>
      </c>
      <c r="L77" s="1290"/>
      <c r="M77" s="1290"/>
      <c r="N77" s="1297">
        <f t="shared" si="46"/>
        <v>0</v>
      </c>
      <c r="O77" s="1290"/>
      <c r="P77" s="1290"/>
      <c r="Q77" s="1297">
        <f t="shared" si="47"/>
        <v>0</v>
      </c>
      <c r="R77" s="1298"/>
      <c r="S77" s="1290"/>
      <c r="T77" s="1298"/>
      <c r="U77" s="1291">
        <f t="shared" si="48"/>
        <v>0</v>
      </c>
      <c r="V77" s="45">
        <f>K77*U77</f>
        <v>0</v>
      </c>
      <c r="W77" s="217"/>
      <c r="Z77" s="218"/>
      <c r="AA77" s="221"/>
      <c r="AB77" s="221"/>
      <c r="AC77" s="221"/>
      <c r="AD77" s="221">
        <v>0</v>
      </c>
      <c r="AE77" s="221">
        <v>0</v>
      </c>
      <c r="AF77" s="221"/>
      <c r="AG77" s="221"/>
      <c r="AH77" s="221"/>
      <c r="AI77" s="221"/>
      <c r="AJ77" s="221"/>
      <c r="AK77" s="219"/>
      <c r="AL77" s="220">
        <f>SUMPRODUCT($Z$4:$AK$4,Z77:AK77)</f>
        <v>0</v>
      </c>
    </row>
    <row r="78" spans="2:38" s="47" customFormat="1" ht="43.5" customHeight="1" outlineLevel="1" x14ac:dyDescent="0.2">
      <c r="B78" s="481" t="s">
        <v>1491</v>
      </c>
      <c r="C78" s="480" t="str">
        <f>'Reference documents'!B27</f>
        <v>GRE.EEC.S.25.XX.S.00000.15.001.00</v>
      </c>
      <c r="D78" s="216" t="s">
        <v>1495</v>
      </c>
      <c r="E78" s="823"/>
      <c r="F78" s="328"/>
      <c r="G78" s="328"/>
      <c r="H78" s="1360" t="s">
        <v>1496</v>
      </c>
      <c r="I78" s="43" t="s">
        <v>1393</v>
      </c>
      <c r="J78" s="43" t="s">
        <v>1385</v>
      </c>
      <c r="K78" s="44">
        <f t="shared" si="45"/>
        <v>0</v>
      </c>
      <c r="L78" s="1290"/>
      <c r="M78" s="1290"/>
      <c r="N78" s="1297">
        <f t="shared" si="46"/>
        <v>0</v>
      </c>
      <c r="O78" s="1290"/>
      <c r="P78" s="1290"/>
      <c r="Q78" s="1297">
        <f t="shared" si="47"/>
        <v>0</v>
      </c>
      <c r="R78" s="1298"/>
      <c r="S78" s="1290"/>
      <c r="T78" s="1298"/>
      <c r="U78" s="1291">
        <f t="shared" si="48"/>
        <v>0</v>
      </c>
      <c r="V78" s="45">
        <f>K78*U78</f>
        <v>0</v>
      </c>
      <c r="W78" s="217"/>
      <c r="Z78" s="218"/>
      <c r="AA78" s="221"/>
      <c r="AB78" s="221"/>
      <c r="AC78" s="221"/>
      <c r="AD78" s="221">
        <v>0</v>
      </c>
      <c r="AE78" s="221">
        <v>0</v>
      </c>
      <c r="AF78" s="221"/>
      <c r="AG78" s="221"/>
      <c r="AH78" s="221"/>
      <c r="AI78" s="221"/>
      <c r="AJ78" s="221"/>
      <c r="AK78" s="219"/>
      <c r="AL78" s="220">
        <f>SUMPRODUCT($Z$4:$AK$4,Z78:AK78)</f>
        <v>0</v>
      </c>
    </row>
    <row r="79" spans="2:38" ht="15.75" x14ac:dyDescent="0.2">
      <c r="B79" s="48"/>
      <c r="C79" s="163"/>
      <c r="D79" s="39"/>
      <c r="E79" s="822"/>
      <c r="F79" s="432"/>
      <c r="G79" s="433"/>
      <c r="H79" s="1361" t="s">
        <v>1497</v>
      </c>
      <c r="I79" s="40"/>
      <c r="J79" s="40"/>
      <c r="K79" s="41"/>
      <c r="L79" s="41"/>
      <c r="M79" s="41"/>
      <c r="N79" s="41"/>
      <c r="O79" s="41"/>
      <c r="P79" s="41"/>
      <c r="Q79" s="41"/>
      <c r="R79" s="41"/>
      <c r="S79" s="41"/>
      <c r="T79" s="41"/>
      <c r="U79" s="42"/>
      <c r="V79" s="42"/>
      <c r="W79" s="211"/>
      <c r="Z79" s="212"/>
      <c r="AA79" s="240"/>
      <c r="AB79" s="240"/>
      <c r="AC79" s="240"/>
      <c r="AD79" s="240"/>
      <c r="AE79" s="240"/>
      <c r="AF79" s="240"/>
      <c r="AG79" s="240"/>
      <c r="AH79" s="240"/>
      <c r="AI79" s="240"/>
      <c r="AJ79" s="240"/>
      <c r="AK79" s="213"/>
      <c r="AL79" s="214"/>
    </row>
    <row r="80" spans="2:38" s="47" customFormat="1" ht="43.5" customHeight="1" outlineLevel="1" x14ac:dyDescent="0.2">
      <c r="B80" s="481" t="s">
        <v>1491</v>
      </c>
      <c r="C80" s="480" t="str">
        <f>'Reference documents'!B27</f>
        <v>GRE.EEC.S.25.XX.S.00000.15.001.00</v>
      </c>
      <c r="D80" s="43" t="s">
        <v>1498</v>
      </c>
      <c r="E80" s="834"/>
      <c r="F80" s="328"/>
      <c r="G80" s="328"/>
      <c r="H80" s="1362" t="s">
        <v>1499</v>
      </c>
      <c r="I80" s="43" t="s">
        <v>1393</v>
      </c>
      <c r="J80" s="43" t="s">
        <v>1385</v>
      </c>
      <c r="K80" s="44">
        <f t="shared" ref="K80:K84" si="49">AL80</f>
        <v>9</v>
      </c>
      <c r="L80" s="1290">
        <v>0.71109087420242578</v>
      </c>
      <c r="M80" s="1290">
        <v>40</v>
      </c>
      <c r="N80" s="1297">
        <f t="shared" ref="N80:N84" si="50">L80*M80</f>
        <v>28.44363496809703</v>
      </c>
      <c r="O80" s="1290">
        <v>0.5</v>
      </c>
      <c r="P80" s="1290">
        <v>70</v>
      </c>
      <c r="Q80" s="1297">
        <f t="shared" ref="Q80:Q84" si="51">O80*P80</f>
        <v>35</v>
      </c>
      <c r="R80" s="1298"/>
      <c r="S80" s="1290">
        <v>155</v>
      </c>
      <c r="T80" s="1298"/>
      <c r="U80" s="1291">
        <f t="shared" ref="U80:U83" si="52">S80+Q80+N80</f>
        <v>218.44363496809703</v>
      </c>
      <c r="V80" s="45">
        <f>K80*U80</f>
        <v>1965.9927147128733</v>
      </c>
      <c r="W80" s="217"/>
      <c r="Z80" s="218"/>
      <c r="AA80" s="221"/>
      <c r="AB80" s="221"/>
      <c r="AC80" s="221"/>
      <c r="AD80" s="221">
        <v>6</v>
      </c>
      <c r="AE80" s="221">
        <v>3</v>
      </c>
      <c r="AF80" s="221"/>
      <c r="AG80" s="221"/>
      <c r="AH80" s="221"/>
      <c r="AI80" s="221"/>
      <c r="AJ80" s="221"/>
      <c r="AK80" s="241"/>
      <c r="AL80" s="220">
        <f>SUMPRODUCT($Z$4:$AK$4,Z80:AK80)</f>
        <v>9</v>
      </c>
    </row>
    <row r="81" spans="2:38" s="47" customFormat="1" ht="43.5" customHeight="1" outlineLevel="1" x14ac:dyDescent="0.2">
      <c r="B81" s="481" t="s">
        <v>1491</v>
      </c>
      <c r="C81" s="480" t="str">
        <f>'Reference documents'!B27</f>
        <v>GRE.EEC.S.25.XX.S.00000.15.001.00</v>
      </c>
      <c r="D81" s="216" t="s">
        <v>1500</v>
      </c>
      <c r="E81" s="823"/>
      <c r="F81" s="328"/>
      <c r="G81" s="328"/>
      <c r="H81" s="1362" t="s">
        <v>1501</v>
      </c>
      <c r="I81" s="43" t="s">
        <v>1393</v>
      </c>
      <c r="J81" s="43" t="s">
        <v>1385</v>
      </c>
      <c r="K81" s="44">
        <f t="shared" si="49"/>
        <v>39</v>
      </c>
      <c r="L81" s="1290">
        <v>0.67528573982399109</v>
      </c>
      <c r="M81" s="1290">
        <v>40</v>
      </c>
      <c r="N81" s="1297">
        <f t="shared" si="50"/>
        <v>27.011429592959644</v>
      </c>
      <c r="O81" s="1290">
        <v>0.5</v>
      </c>
      <c r="P81" s="1290">
        <v>70</v>
      </c>
      <c r="Q81" s="1297">
        <f t="shared" si="51"/>
        <v>35</v>
      </c>
      <c r="R81" s="1298"/>
      <c r="S81" s="1290">
        <v>265</v>
      </c>
      <c r="T81" s="1298"/>
      <c r="U81" s="1291">
        <f t="shared" si="52"/>
        <v>327.01142959295964</v>
      </c>
      <c r="V81" s="45">
        <f>K81*U81</f>
        <v>12753.445754125427</v>
      </c>
      <c r="W81" s="217"/>
      <c r="Z81" s="218"/>
      <c r="AA81" s="221"/>
      <c r="AB81" s="221"/>
      <c r="AC81" s="221"/>
      <c r="AD81" s="221">
        <v>31</v>
      </c>
      <c r="AE81" s="221">
        <v>8</v>
      </c>
      <c r="AF81" s="221"/>
      <c r="AG81" s="221"/>
      <c r="AH81" s="221"/>
      <c r="AI81" s="221"/>
      <c r="AJ81" s="221"/>
      <c r="AK81" s="241"/>
      <c r="AL81" s="220">
        <f>SUMPRODUCT($Z$4:$AK$4,Z81:AK81)</f>
        <v>39</v>
      </c>
    </row>
    <row r="82" spans="2:38" s="47" customFormat="1" ht="43.5" customHeight="1" outlineLevel="1" x14ac:dyDescent="0.2">
      <c r="B82" s="481" t="s">
        <v>1491</v>
      </c>
      <c r="C82" s="480" t="str">
        <f>'Reference documents'!B27</f>
        <v>GRE.EEC.S.25.XX.S.00000.15.001.00</v>
      </c>
      <c r="D82" s="857" t="s">
        <v>1502</v>
      </c>
      <c r="E82" s="835"/>
      <c r="F82" s="328"/>
      <c r="G82" s="328"/>
      <c r="H82" s="1362" t="s">
        <v>1503</v>
      </c>
      <c r="I82" s="43" t="s">
        <v>1504</v>
      </c>
      <c r="J82" s="43" t="s">
        <v>1505</v>
      </c>
      <c r="K82" s="44">
        <f t="shared" si="49"/>
        <v>3555</v>
      </c>
      <c r="L82" s="1290">
        <v>2.8982743102310315E-2</v>
      </c>
      <c r="M82" s="1290">
        <v>40</v>
      </c>
      <c r="N82" s="1297">
        <f t="shared" si="50"/>
        <v>1.1593097240924126</v>
      </c>
      <c r="O82" s="1290"/>
      <c r="P82" s="1290"/>
      <c r="Q82" s="1297">
        <f t="shared" si="51"/>
        <v>0</v>
      </c>
      <c r="R82" s="1298"/>
      <c r="S82" s="1290">
        <v>1.98</v>
      </c>
      <c r="T82" s="1298"/>
      <c r="U82" s="1291">
        <f t="shared" si="52"/>
        <v>3.1393097240924126</v>
      </c>
      <c r="V82" s="45">
        <f>K82*U82</f>
        <v>11160.246069148527</v>
      </c>
      <c r="W82" s="217"/>
      <c r="Z82" s="218"/>
      <c r="AA82" s="221"/>
      <c r="AB82" s="221"/>
      <c r="AC82" s="221"/>
      <c r="AD82" s="221">
        <v>2770</v>
      </c>
      <c r="AE82" s="221">
        <v>785</v>
      </c>
      <c r="AF82" s="221"/>
      <c r="AG82" s="221"/>
      <c r="AH82" s="221"/>
      <c r="AI82" s="221"/>
      <c r="AJ82" s="221"/>
      <c r="AK82" s="241"/>
      <c r="AL82" s="220">
        <f>SUMPRODUCT($Z$4:$AK$4,Z82:AK82)</f>
        <v>3555</v>
      </c>
    </row>
    <row r="83" spans="2:38" s="47" customFormat="1" ht="43.5" customHeight="1" outlineLevel="1" x14ac:dyDescent="0.2">
      <c r="B83" s="481" t="s">
        <v>1491</v>
      </c>
      <c r="C83" s="480" t="str">
        <f>'Reference documents'!B27</f>
        <v>GRE.EEC.S.25.XX.S.00000.15.001.00</v>
      </c>
      <c r="D83" s="216" t="s">
        <v>1506</v>
      </c>
      <c r="E83" s="823"/>
      <c r="F83" s="328"/>
      <c r="G83" s="328"/>
      <c r="H83" s="1362" t="s">
        <v>1507</v>
      </c>
      <c r="I83" s="43" t="s">
        <v>1504</v>
      </c>
      <c r="J83" s="43" t="s">
        <v>1505</v>
      </c>
      <c r="K83" s="44">
        <f t="shared" si="49"/>
        <v>220</v>
      </c>
      <c r="L83" s="1290">
        <v>4.1942514510451126E-2</v>
      </c>
      <c r="M83" s="1290">
        <v>40</v>
      </c>
      <c r="N83" s="1297">
        <f t="shared" si="50"/>
        <v>1.6777005804180449</v>
      </c>
      <c r="O83" s="1290"/>
      <c r="P83" s="1290"/>
      <c r="Q83" s="1297">
        <f t="shared" si="51"/>
        <v>0</v>
      </c>
      <c r="R83" s="1298"/>
      <c r="S83" s="1290">
        <v>1.2</v>
      </c>
      <c r="T83" s="1298"/>
      <c r="U83" s="1291">
        <f t="shared" si="52"/>
        <v>2.8777005804180451</v>
      </c>
      <c r="V83" s="45">
        <f>K83*U83</f>
        <v>633.0941276919699</v>
      </c>
      <c r="W83" s="217"/>
      <c r="Z83" s="218"/>
      <c r="AA83" s="221"/>
      <c r="AB83" s="221"/>
      <c r="AC83" s="221"/>
      <c r="AD83" s="221">
        <v>220</v>
      </c>
      <c r="AE83" s="221">
        <v>0</v>
      </c>
      <c r="AF83" s="221"/>
      <c r="AG83" s="221"/>
      <c r="AH83" s="221"/>
      <c r="AI83" s="221"/>
      <c r="AJ83" s="221"/>
      <c r="AK83" s="241"/>
      <c r="AL83" s="220">
        <f>SUMPRODUCT($Z$4:$AK$4,Z83:AK83)</f>
        <v>220</v>
      </c>
    </row>
    <row r="84" spans="2:38" s="47" customFormat="1" ht="43.5" customHeight="1" outlineLevel="1" x14ac:dyDescent="0.2">
      <c r="B84" s="481" t="s">
        <v>1491</v>
      </c>
      <c r="C84" s="480" t="str">
        <f>'Reference documents'!B27</f>
        <v>GRE.EEC.S.25.XX.S.00000.15.001.00</v>
      </c>
      <c r="D84" s="857" t="s">
        <v>1508</v>
      </c>
      <c r="E84" s="835"/>
      <c r="F84" s="328"/>
      <c r="G84" s="328"/>
      <c r="H84" s="1362" t="s">
        <v>1509</v>
      </c>
      <c r="I84" s="43" t="s">
        <v>1393</v>
      </c>
      <c r="J84" s="43" t="s">
        <v>1385</v>
      </c>
      <c r="K84" s="44">
        <f t="shared" si="49"/>
        <v>0</v>
      </c>
      <c r="L84" s="1290"/>
      <c r="M84" s="1290"/>
      <c r="N84" s="1297">
        <f t="shared" si="50"/>
        <v>0</v>
      </c>
      <c r="O84" s="1290"/>
      <c r="P84" s="1290"/>
      <c r="Q84" s="1297">
        <f t="shared" si="51"/>
        <v>0</v>
      </c>
      <c r="R84" s="1298"/>
      <c r="S84" s="1290"/>
      <c r="T84" s="1298"/>
      <c r="U84" s="1291">
        <f t="shared" ref="U84" si="53">S84+Q84+N84</f>
        <v>0</v>
      </c>
      <c r="V84" s="45">
        <f>K84*U84</f>
        <v>0</v>
      </c>
      <c r="W84" s="217"/>
      <c r="Z84" s="218"/>
      <c r="AA84" s="221"/>
      <c r="AB84" s="221"/>
      <c r="AC84" s="221"/>
      <c r="AD84" s="221">
        <v>0</v>
      </c>
      <c r="AE84" s="221">
        <v>0</v>
      </c>
      <c r="AF84" s="221"/>
      <c r="AG84" s="221"/>
      <c r="AH84" s="221"/>
      <c r="AI84" s="221"/>
      <c r="AJ84" s="221"/>
      <c r="AK84" s="241"/>
      <c r="AL84" s="220">
        <f>SUMPRODUCT($Z$4:$AK$4,Z84:AK84)</f>
        <v>0</v>
      </c>
    </row>
    <row r="85" spans="2:38" s="47" customFormat="1" ht="15.75" x14ac:dyDescent="0.2">
      <c r="B85" s="48"/>
      <c r="C85" s="163"/>
      <c r="D85" s="39"/>
      <c r="E85" s="822"/>
      <c r="F85" s="432"/>
      <c r="G85" s="433"/>
      <c r="H85" s="1361" t="s">
        <v>1510</v>
      </c>
      <c r="I85" s="40"/>
      <c r="J85" s="40"/>
      <c r="K85" s="41"/>
      <c r="L85" s="41"/>
      <c r="M85" s="41"/>
      <c r="N85" s="41"/>
      <c r="O85" s="41"/>
      <c r="P85" s="41"/>
      <c r="Q85" s="41"/>
      <c r="R85" s="41"/>
      <c r="S85" s="41"/>
      <c r="T85" s="41"/>
      <c r="U85" s="42"/>
      <c r="V85" s="42"/>
      <c r="W85" s="211"/>
      <c r="Z85" s="212"/>
      <c r="AA85" s="242"/>
      <c r="AB85" s="242"/>
      <c r="AC85" s="242"/>
      <c r="AD85" s="242"/>
      <c r="AE85" s="242"/>
      <c r="AF85" s="242"/>
      <c r="AG85" s="242"/>
      <c r="AH85" s="242"/>
      <c r="AI85" s="242"/>
      <c r="AJ85" s="242"/>
      <c r="AK85" s="213"/>
      <c r="AL85" s="214"/>
    </row>
    <row r="86" spans="2:38" s="47" customFormat="1" ht="43.5" customHeight="1" outlineLevel="1" x14ac:dyDescent="0.2">
      <c r="B86" s="481" t="s">
        <v>1491</v>
      </c>
      <c r="C86" s="480" t="str">
        <f>'Reference documents'!B27</f>
        <v>GRE.EEC.S.25.XX.S.00000.15.001.00</v>
      </c>
      <c r="D86" s="857" t="s">
        <v>1511</v>
      </c>
      <c r="E86" s="836"/>
      <c r="F86" s="336"/>
      <c r="G86" s="337"/>
      <c r="H86" s="1362" t="s">
        <v>1512</v>
      </c>
      <c r="I86" s="43" t="s">
        <v>1504</v>
      </c>
      <c r="J86" s="43" t="s">
        <v>1505</v>
      </c>
      <c r="K86" s="44">
        <f t="shared" ref="K86:K90" si="54">AL86</f>
        <v>0</v>
      </c>
      <c r="L86" s="1290"/>
      <c r="M86" s="1290"/>
      <c r="N86" s="1297">
        <f t="shared" ref="N86:N90" si="55">L86*M86</f>
        <v>0</v>
      </c>
      <c r="O86" s="1290"/>
      <c r="P86" s="1290"/>
      <c r="Q86" s="1297">
        <f t="shared" ref="Q86:Q90" si="56">O86*P86</f>
        <v>0</v>
      </c>
      <c r="R86" s="1298"/>
      <c r="S86" s="1290"/>
      <c r="T86" s="1298"/>
      <c r="U86" s="1291">
        <f t="shared" ref="U86:U90" si="57">S86+Q86+N86</f>
        <v>0</v>
      </c>
      <c r="V86" s="45">
        <f>K86*U86</f>
        <v>0</v>
      </c>
      <c r="W86" s="217"/>
      <c r="Z86" s="218"/>
      <c r="AA86" s="221"/>
      <c r="AB86" s="221"/>
      <c r="AC86" s="221"/>
      <c r="AD86" s="221">
        <v>0</v>
      </c>
      <c r="AE86" s="221">
        <v>0</v>
      </c>
      <c r="AF86" s="221"/>
      <c r="AG86" s="221"/>
      <c r="AH86" s="221"/>
      <c r="AI86" s="221"/>
      <c r="AJ86" s="221"/>
      <c r="AK86" s="219"/>
      <c r="AL86" s="220">
        <f>SUMPRODUCT($Z$4:$AK$4,Z86:AK86)</f>
        <v>0</v>
      </c>
    </row>
    <row r="87" spans="2:38" s="47" customFormat="1" ht="43.5" customHeight="1" outlineLevel="1" x14ac:dyDescent="0.2">
      <c r="B87" s="481" t="s">
        <v>1491</v>
      </c>
      <c r="C87" s="480" t="str">
        <f>'Reference documents'!B27</f>
        <v>GRE.EEC.S.25.XX.S.00000.15.001.00</v>
      </c>
      <c r="D87" s="857" t="s">
        <v>1513</v>
      </c>
      <c r="E87" s="836"/>
      <c r="F87" s="336"/>
      <c r="G87" s="337"/>
      <c r="H87" s="1362" t="s">
        <v>1514</v>
      </c>
      <c r="I87" s="43" t="s">
        <v>1504</v>
      </c>
      <c r="J87" s="43" t="s">
        <v>1505</v>
      </c>
      <c r="K87" s="44">
        <f t="shared" si="54"/>
        <v>110</v>
      </c>
      <c r="L87" s="1290">
        <v>0.32902285918591928</v>
      </c>
      <c r="M87" s="1290">
        <v>40</v>
      </c>
      <c r="N87" s="1297">
        <f t="shared" si="55"/>
        <v>13.160914367436771</v>
      </c>
      <c r="O87" s="1290">
        <v>0.1</v>
      </c>
      <c r="P87" s="1290">
        <v>70</v>
      </c>
      <c r="Q87" s="1297">
        <f t="shared" si="56"/>
        <v>7</v>
      </c>
      <c r="R87" s="1298"/>
      <c r="S87" s="1290">
        <v>6</v>
      </c>
      <c r="T87" s="1298"/>
      <c r="U87" s="1291">
        <f t="shared" si="57"/>
        <v>26.160914367436771</v>
      </c>
      <c r="V87" s="45">
        <f>K87*U87</f>
        <v>2877.7005804180449</v>
      </c>
      <c r="W87" s="217"/>
      <c r="Z87" s="218"/>
      <c r="AA87" s="221"/>
      <c r="AB87" s="221"/>
      <c r="AC87" s="221"/>
      <c r="AD87" s="221">
        <v>110</v>
      </c>
      <c r="AE87" s="221">
        <v>0</v>
      </c>
      <c r="AF87" s="221"/>
      <c r="AG87" s="221"/>
      <c r="AH87" s="221"/>
      <c r="AI87" s="221"/>
      <c r="AJ87" s="221"/>
      <c r="AK87" s="219"/>
      <c r="AL87" s="220">
        <f>SUMPRODUCT($Z$4:$AK$4,Z87:AK87)</f>
        <v>110</v>
      </c>
    </row>
    <row r="88" spans="2:38" s="47" customFormat="1" ht="43.5" customHeight="1" outlineLevel="1" x14ac:dyDescent="0.2">
      <c r="B88" s="481" t="s">
        <v>1491</v>
      </c>
      <c r="C88" s="480" t="str">
        <f>'Reference documents'!B27</f>
        <v>GRE.EEC.S.25.XX.S.00000.15.001.00</v>
      </c>
      <c r="D88" s="857" t="s">
        <v>1515</v>
      </c>
      <c r="E88" s="836"/>
      <c r="F88" s="338"/>
      <c r="G88" s="337"/>
      <c r="H88" s="1362" t="s">
        <v>1516</v>
      </c>
      <c r="I88" s="43" t="s">
        <v>1504</v>
      </c>
      <c r="J88" s="43" t="s">
        <v>1505</v>
      </c>
      <c r="K88" s="44">
        <f t="shared" si="54"/>
        <v>0</v>
      </c>
      <c r="L88" s="1290"/>
      <c r="M88" s="1290"/>
      <c r="N88" s="1297">
        <f t="shared" si="55"/>
        <v>0</v>
      </c>
      <c r="O88" s="1290"/>
      <c r="P88" s="1290"/>
      <c r="Q88" s="1297">
        <f t="shared" si="56"/>
        <v>0</v>
      </c>
      <c r="R88" s="1298"/>
      <c r="S88" s="1290"/>
      <c r="T88" s="1298"/>
      <c r="U88" s="1291">
        <f t="shared" si="57"/>
        <v>0</v>
      </c>
      <c r="V88" s="45">
        <f>K88*U88</f>
        <v>0</v>
      </c>
      <c r="W88" s="217"/>
      <c r="Z88" s="218"/>
      <c r="AA88" s="221"/>
      <c r="AB88" s="221"/>
      <c r="AC88" s="221"/>
      <c r="AD88" s="221">
        <v>0</v>
      </c>
      <c r="AE88" s="221">
        <v>0</v>
      </c>
      <c r="AF88" s="221"/>
      <c r="AG88" s="221"/>
      <c r="AH88" s="221"/>
      <c r="AI88" s="221"/>
      <c r="AJ88" s="221"/>
      <c r="AK88" s="219"/>
      <c r="AL88" s="220">
        <f>SUMPRODUCT($Z$4:$AK$4,Z88:AK88)</f>
        <v>0</v>
      </c>
    </row>
    <row r="89" spans="2:38" s="47" customFormat="1" ht="43.5" customHeight="1" outlineLevel="1" x14ac:dyDescent="0.2">
      <c r="B89" s="481" t="s">
        <v>1491</v>
      </c>
      <c r="C89" s="480" t="str">
        <f>'Reference documents'!B27</f>
        <v>GRE.EEC.S.25.XX.S.00000.15.001.00</v>
      </c>
      <c r="D89" s="857" t="s">
        <v>1517</v>
      </c>
      <c r="E89" s="836"/>
      <c r="F89" s="338"/>
      <c r="G89" s="337"/>
      <c r="H89" s="1362" t="s">
        <v>1518</v>
      </c>
      <c r="I89" s="43" t="s">
        <v>1504</v>
      </c>
      <c r="J89" s="43" t="s">
        <v>1505</v>
      </c>
      <c r="K89" s="44">
        <f t="shared" si="54"/>
        <v>0</v>
      </c>
      <c r="L89" s="1290"/>
      <c r="M89" s="1290"/>
      <c r="N89" s="1297">
        <f t="shared" si="55"/>
        <v>0</v>
      </c>
      <c r="O89" s="1290"/>
      <c r="P89" s="1290"/>
      <c r="Q89" s="1297">
        <f t="shared" si="56"/>
        <v>0</v>
      </c>
      <c r="R89" s="1298"/>
      <c r="S89" s="1290"/>
      <c r="T89" s="1298"/>
      <c r="U89" s="1291">
        <f t="shared" si="57"/>
        <v>0</v>
      </c>
      <c r="V89" s="45">
        <f>K89*U89</f>
        <v>0</v>
      </c>
      <c r="W89" s="217"/>
      <c r="Z89" s="218"/>
      <c r="AA89" s="221"/>
      <c r="AB89" s="221"/>
      <c r="AC89" s="221"/>
      <c r="AD89" s="221">
        <v>0</v>
      </c>
      <c r="AE89" s="221">
        <v>0</v>
      </c>
      <c r="AF89" s="221"/>
      <c r="AG89" s="221"/>
      <c r="AH89" s="221"/>
      <c r="AI89" s="221"/>
      <c r="AJ89" s="221"/>
      <c r="AK89" s="219"/>
      <c r="AL89" s="220">
        <f>SUMPRODUCT($Z$4:$AK$4,Z89:AK89)</f>
        <v>0</v>
      </c>
    </row>
    <row r="90" spans="2:38" s="47" customFormat="1" ht="43.5" customHeight="1" outlineLevel="1" x14ac:dyDescent="0.2">
      <c r="B90" s="481" t="s">
        <v>1491</v>
      </c>
      <c r="C90" s="480" t="str">
        <f>'Reference documents'!B27</f>
        <v>GRE.EEC.S.25.XX.S.00000.15.001.00</v>
      </c>
      <c r="D90" s="857" t="s">
        <v>1519</v>
      </c>
      <c r="E90" s="836"/>
      <c r="F90" s="338"/>
      <c r="G90" s="337"/>
      <c r="H90" s="1362" t="s">
        <v>1520</v>
      </c>
      <c r="I90" s="43" t="s">
        <v>1504</v>
      </c>
      <c r="J90" s="43" t="s">
        <v>1505</v>
      </c>
      <c r="K90" s="44">
        <f t="shared" si="54"/>
        <v>0</v>
      </c>
      <c r="L90" s="1290"/>
      <c r="M90" s="1290"/>
      <c r="N90" s="1297">
        <f t="shared" si="55"/>
        <v>0</v>
      </c>
      <c r="O90" s="1290"/>
      <c r="P90" s="1290"/>
      <c r="Q90" s="1297">
        <f t="shared" si="56"/>
        <v>0</v>
      </c>
      <c r="R90" s="1298"/>
      <c r="S90" s="1290"/>
      <c r="T90" s="1298"/>
      <c r="U90" s="1291">
        <f t="shared" si="57"/>
        <v>0</v>
      </c>
      <c r="V90" s="45">
        <f t="shared" ref="V90" si="58">K90*U90</f>
        <v>0</v>
      </c>
      <c r="W90" s="217"/>
      <c r="Z90" s="218"/>
      <c r="AA90" s="221"/>
      <c r="AB90" s="221"/>
      <c r="AC90" s="221"/>
      <c r="AD90" s="221">
        <v>0</v>
      </c>
      <c r="AE90" s="221">
        <v>0</v>
      </c>
      <c r="AF90" s="221"/>
      <c r="AG90" s="221"/>
      <c r="AH90" s="221"/>
      <c r="AI90" s="221"/>
      <c r="AJ90" s="221"/>
      <c r="AK90" s="219"/>
      <c r="AL90" s="220">
        <f>SUMPRODUCT($Z$4:$AK$4,Z90:AK90)</f>
        <v>0</v>
      </c>
    </row>
    <row r="91" spans="2:38" ht="15.75" x14ac:dyDescent="0.2">
      <c r="B91" s="48"/>
      <c r="C91" s="163"/>
      <c r="D91" s="39"/>
      <c r="E91" s="822"/>
      <c r="F91" s="432"/>
      <c r="G91" s="433"/>
      <c r="H91" s="1358" t="s">
        <v>607</v>
      </c>
      <c r="I91" s="40" t="s">
        <v>207</v>
      </c>
      <c r="J91" s="40" t="s">
        <v>207</v>
      </c>
      <c r="K91" s="41"/>
      <c r="L91" s="41"/>
      <c r="M91" s="41"/>
      <c r="N91" s="41"/>
      <c r="O91" s="41"/>
      <c r="P91" s="41"/>
      <c r="Q91" s="41"/>
      <c r="R91" s="41"/>
      <c r="S91" s="41"/>
      <c r="T91" s="41"/>
      <c r="U91" s="42"/>
      <c r="V91" s="42"/>
      <c r="W91" s="211"/>
      <c r="Z91" s="212"/>
      <c r="AA91" s="215"/>
      <c r="AB91" s="215"/>
      <c r="AC91" s="215"/>
      <c r="AD91" s="215"/>
      <c r="AE91" s="215"/>
      <c r="AF91" s="215"/>
      <c r="AG91" s="215"/>
      <c r="AH91" s="215"/>
      <c r="AI91" s="215"/>
      <c r="AJ91" s="215"/>
      <c r="AK91" s="213"/>
      <c r="AL91" s="214"/>
    </row>
    <row r="92" spans="2:38" ht="43.5" customHeight="1" outlineLevel="1" x14ac:dyDescent="0.2">
      <c r="B92" s="481" t="s">
        <v>1491</v>
      </c>
      <c r="C92" s="480" t="str">
        <f>'Reference documents'!B27</f>
        <v>GRE.EEC.S.25.XX.S.00000.15.001.00</v>
      </c>
      <c r="D92" s="43" t="s">
        <v>1521</v>
      </c>
      <c r="E92" s="834"/>
      <c r="F92" s="328"/>
      <c r="G92" s="328"/>
      <c r="H92" s="1362" t="s">
        <v>1522</v>
      </c>
      <c r="I92" s="43" t="s">
        <v>1379</v>
      </c>
      <c r="J92" s="43" t="s">
        <v>1380</v>
      </c>
      <c r="K92" s="44">
        <f t="shared" ref="K92:K102" si="59">AL92</f>
        <v>60</v>
      </c>
      <c r="L92" s="1290">
        <v>0.72068858828383431</v>
      </c>
      <c r="M92" s="1290">
        <v>40</v>
      </c>
      <c r="N92" s="1297">
        <f t="shared" ref="N92:N102" si="60">L92*M92</f>
        <v>28.827543531353371</v>
      </c>
      <c r="O92" s="1290">
        <v>0.1</v>
      </c>
      <c r="P92" s="1290">
        <v>70</v>
      </c>
      <c r="Q92" s="1297">
        <f t="shared" ref="Q92:Q102" si="61">O92*P92</f>
        <v>7</v>
      </c>
      <c r="R92" s="1298"/>
      <c r="S92" s="1290">
        <v>180</v>
      </c>
      <c r="T92" s="1298"/>
      <c r="U92" s="1291">
        <f t="shared" ref="U92:U102" si="62">S92+Q92+N92</f>
        <v>215.82754353135337</v>
      </c>
      <c r="V92" s="45">
        <f>K92*U92</f>
        <v>12949.652611881202</v>
      </c>
      <c r="W92" s="217"/>
      <c r="Z92" s="218"/>
      <c r="AA92" s="221"/>
      <c r="AB92" s="221"/>
      <c r="AC92" s="221"/>
      <c r="AD92" s="221">
        <v>60</v>
      </c>
      <c r="AE92" s="221">
        <v>0</v>
      </c>
      <c r="AF92" s="221"/>
      <c r="AG92" s="221"/>
      <c r="AH92" s="221"/>
      <c r="AI92" s="221"/>
      <c r="AJ92" s="221"/>
      <c r="AK92" s="219"/>
      <c r="AL92" s="220">
        <f t="shared" ref="AL92:AL102" si="63">SUMPRODUCT($Z$4:$AK$4,Z92:AK92)</f>
        <v>60</v>
      </c>
    </row>
    <row r="93" spans="2:38" ht="43.5" customHeight="1" outlineLevel="1" x14ac:dyDescent="0.2">
      <c r="B93" s="481" t="s">
        <v>1491</v>
      </c>
      <c r="C93" s="480" t="str">
        <f>'Reference documents'!B27</f>
        <v>GRE.EEC.S.25.XX.S.00000.15.001.00</v>
      </c>
      <c r="D93" s="216" t="s">
        <v>1523</v>
      </c>
      <c r="E93" s="824"/>
      <c r="F93" s="434"/>
      <c r="G93" s="435"/>
      <c r="H93" s="1360" t="s">
        <v>1524</v>
      </c>
      <c r="I93" s="43" t="s">
        <v>1504</v>
      </c>
      <c r="J93" s="43" t="s">
        <v>1505</v>
      </c>
      <c r="K93" s="44">
        <f t="shared" si="59"/>
        <v>0</v>
      </c>
      <c r="L93" s="1290"/>
      <c r="M93" s="1290"/>
      <c r="N93" s="1297">
        <f t="shared" si="60"/>
        <v>0</v>
      </c>
      <c r="O93" s="1290"/>
      <c r="P93" s="1290"/>
      <c r="Q93" s="1297">
        <f t="shared" si="61"/>
        <v>0</v>
      </c>
      <c r="R93" s="1298"/>
      <c r="S93" s="1290"/>
      <c r="T93" s="1298"/>
      <c r="U93" s="1291">
        <f t="shared" si="62"/>
        <v>0</v>
      </c>
      <c r="V93" s="45">
        <f t="shared" ref="V93" si="64">K93*U93</f>
        <v>0</v>
      </c>
      <c r="W93" s="217"/>
      <c r="Z93" s="218"/>
      <c r="AA93" s="221"/>
      <c r="AB93" s="221"/>
      <c r="AC93" s="221"/>
      <c r="AD93" s="221">
        <v>0</v>
      </c>
      <c r="AE93" s="221">
        <v>0</v>
      </c>
      <c r="AF93" s="221"/>
      <c r="AG93" s="221"/>
      <c r="AH93" s="221"/>
      <c r="AI93" s="221"/>
      <c r="AJ93" s="221"/>
      <c r="AK93" s="219"/>
      <c r="AL93" s="220">
        <f t="shared" si="63"/>
        <v>0</v>
      </c>
    </row>
    <row r="94" spans="2:38" ht="43.5" customHeight="1" outlineLevel="1" x14ac:dyDescent="0.2">
      <c r="B94" s="481" t="s">
        <v>1491</v>
      </c>
      <c r="C94" s="480" t="str">
        <f>'Reference documents'!B27</f>
        <v>GRE.EEC.S.25.XX.S.00000.15.001.00</v>
      </c>
      <c r="D94" s="216" t="s">
        <v>1525</v>
      </c>
      <c r="E94" s="824"/>
      <c r="F94" s="434"/>
      <c r="G94" s="435"/>
      <c r="H94" s="1360" t="s">
        <v>1526</v>
      </c>
      <c r="I94" s="43" t="s">
        <v>345</v>
      </c>
      <c r="J94" s="43" t="s">
        <v>1461</v>
      </c>
      <c r="K94" s="44">
        <f t="shared" si="59"/>
        <v>15</v>
      </c>
      <c r="L94" s="1290">
        <v>0.15181028663366372</v>
      </c>
      <c r="M94" s="1290">
        <v>40</v>
      </c>
      <c r="N94" s="1297">
        <f t="shared" si="60"/>
        <v>6.0724114653465486</v>
      </c>
      <c r="O94" s="1290">
        <v>0.01</v>
      </c>
      <c r="P94" s="1290">
        <v>70</v>
      </c>
      <c r="Q94" s="1297">
        <f t="shared" si="61"/>
        <v>0.70000000000000007</v>
      </c>
      <c r="R94" s="1298"/>
      <c r="S94" s="1290">
        <v>5</v>
      </c>
      <c r="T94" s="1298"/>
      <c r="U94" s="1291">
        <f t="shared" si="62"/>
        <v>11.772411465346549</v>
      </c>
      <c r="V94" s="45">
        <f>K94*U94</f>
        <v>176.58617198019823</v>
      </c>
      <c r="W94" s="217"/>
      <c r="Z94" s="218"/>
      <c r="AA94" s="221"/>
      <c r="AB94" s="221"/>
      <c r="AC94" s="221"/>
      <c r="AD94" s="221">
        <v>15</v>
      </c>
      <c r="AE94" s="221">
        <v>0</v>
      </c>
      <c r="AF94" s="221"/>
      <c r="AG94" s="221"/>
      <c r="AH94" s="221"/>
      <c r="AI94" s="221"/>
      <c r="AJ94" s="221"/>
      <c r="AK94" s="219"/>
      <c r="AL94" s="220">
        <f t="shared" si="63"/>
        <v>15</v>
      </c>
    </row>
    <row r="95" spans="2:38" ht="43.5" customHeight="1" outlineLevel="1" x14ac:dyDescent="0.2">
      <c r="B95" s="481" t="s">
        <v>1491</v>
      </c>
      <c r="C95" s="480" t="str">
        <f>'Reference documents'!B27</f>
        <v>GRE.EEC.S.25.XX.S.00000.15.001.00</v>
      </c>
      <c r="D95" s="216" t="s">
        <v>1527</v>
      </c>
      <c r="E95" s="824"/>
      <c r="F95" s="434"/>
      <c r="G95" s="435"/>
      <c r="H95" s="1360" t="s">
        <v>1528</v>
      </c>
      <c r="I95" s="43" t="s">
        <v>345</v>
      </c>
      <c r="J95" s="43" t="s">
        <v>1461</v>
      </c>
      <c r="K95" s="44">
        <f t="shared" si="59"/>
        <v>15</v>
      </c>
      <c r="L95" s="1290">
        <v>0.24801714438943945</v>
      </c>
      <c r="M95" s="1290">
        <v>40</v>
      </c>
      <c r="N95" s="1297">
        <f t="shared" si="60"/>
        <v>9.9206857755775779</v>
      </c>
      <c r="O95" s="1290">
        <v>0.01</v>
      </c>
      <c r="P95" s="1290">
        <v>70</v>
      </c>
      <c r="Q95" s="1297">
        <f t="shared" si="61"/>
        <v>0.70000000000000007</v>
      </c>
      <c r="R95" s="1298"/>
      <c r="S95" s="1290">
        <v>9</v>
      </c>
      <c r="T95" s="1298"/>
      <c r="U95" s="1291">
        <f t="shared" si="62"/>
        <v>19.620685775577577</v>
      </c>
      <c r="V95" s="45">
        <f>K95*U95</f>
        <v>294.31028663366368</v>
      </c>
      <c r="W95" s="217"/>
      <c r="Z95" s="218"/>
      <c r="AA95" s="221"/>
      <c r="AB95" s="221"/>
      <c r="AC95" s="221"/>
      <c r="AD95" s="221">
        <v>15</v>
      </c>
      <c r="AE95" s="221">
        <v>0</v>
      </c>
      <c r="AF95" s="221"/>
      <c r="AG95" s="221"/>
      <c r="AH95" s="221"/>
      <c r="AI95" s="221"/>
      <c r="AJ95" s="221"/>
      <c r="AK95" s="219"/>
      <c r="AL95" s="220">
        <f t="shared" si="63"/>
        <v>15</v>
      </c>
    </row>
    <row r="96" spans="2:38" ht="43.5" customHeight="1" outlineLevel="1" x14ac:dyDescent="0.2">
      <c r="B96" s="481" t="s">
        <v>1491</v>
      </c>
      <c r="C96" s="480" t="str">
        <f>'Reference documents'!B27</f>
        <v>GRE.EEC.S.25.XX.S.00000.15.001.00</v>
      </c>
      <c r="D96" s="216" t="s">
        <v>1529</v>
      </c>
      <c r="E96" s="824"/>
      <c r="F96" s="434"/>
      <c r="G96" s="435"/>
      <c r="H96" s="1362" t="s">
        <v>1530</v>
      </c>
      <c r="I96" s="43" t="s">
        <v>1504</v>
      </c>
      <c r="J96" s="43" t="s">
        <v>1505</v>
      </c>
      <c r="K96" s="44">
        <f t="shared" si="59"/>
        <v>0</v>
      </c>
      <c r="L96" s="1290"/>
      <c r="M96" s="1290"/>
      <c r="N96" s="1297">
        <f t="shared" si="60"/>
        <v>0</v>
      </c>
      <c r="O96" s="1290"/>
      <c r="P96" s="1290"/>
      <c r="Q96" s="1297">
        <f t="shared" si="61"/>
        <v>0</v>
      </c>
      <c r="R96" s="1298"/>
      <c r="S96" s="1290"/>
      <c r="T96" s="1298"/>
      <c r="U96" s="1291">
        <f t="shared" si="62"/>
        <v>0</v>
      </c>
      <c r="V96" s="45">
        <f t="shared" ref="V96:V102" si="65">K96*U96</f>
        <v>0</v>
      </c>
      <c r="W96" s="217"/>
      <c r="Z96" s="218"/>
      <c r="AA96" s="221"/>
      <c r="AB96" s="221"/>
      <c r="AC96" s="221"/>
      <c r="AD96" s="221">
        <v>0</v>
      </c>
      <c r="AE96" s="221">
        <v>0</v>
      </c>
      <c r="AF96" s="221"/>
      <c r="AG96" s="221"/>
      <c r="AH96" s="221"/>
      <c r="AI96" s="221"/>
      <c r="AJ96" s="221"/>
      <c r="AK96" s="219"/>
      <c r="AL96" s="220">
        <f t="shared" si="63"/>
        <v>0</v>
      </c>
    </row>
    <row r="97" spans="2:38" ht="43.5" customHeight="1" outlineLevel="1" x14ac:dyDescent="0.2">
      <c r="B97" s="481" t="s">
        <v>1491</v>
      </c>
      <c r="C97" s="480" t="str">
        <f>'Reference documents'!B27</f>
        <v>GRE.EEC.S.25.XX.S.00000.15.001.00</v>
      </c>
      <c r="D97" s="216" t="s">
        <v>1531</v>
      </c>
      <c r="E97" s="824"/>
      <c r="F97" s="434"/>
      <c r="G97" s="435"/>
      <c r="H97" s="1362" t="s">
        <v>1532</v>
      </c>
      <c r="I97" s="43" t="s">
        <v>1504</v>
      </c>
      <c r="J97" s="43" t="s">
        <v>1505</v>
      </c>
      <c r="K97" s="44">
        <f t="shared" si="59"/>
        <v>0</v>
      </c>
      <c r="L97" s="1290"/>
      <c r="M97" s="1290"/>
      <c r="N97" s="1297">
        <f t="shared" si="60"/>
        <v>0</v>
      </c>
      <c r="O97" s="1290"/>
      <c r="P97" s="1290"/>
      <c r="Q97" s="1297">
        <f t="shared" si="61"/>
        <v>0</v>
      </c>
      <c r="R97" s="1298"/>
      <c r="S97" s="1290"/>
      <c r="T97" s="1298"/>
      <c r="U97" s="1291">
        <f t="shared" si="62"/>
        <v>0</v>
      </c>
      <c r="V97" s="45">
        <f t="shared" si="65"/>
        <v>0</v>
      </c>
      <c r="W97" s="217"/>
      <c r="Z97" s="218"/>
      <c r="AA97" s="221"/>
      <c r="AB97" s="221"/>
      <c r="AC97" s="221"/>
      <c r="AD97" s="221">
        <v>0</v>
      </c>
      <c r="AE97" s="221">
        <v>0</v>
      </c>
      <c r="AF97" s="221"/>
      <c r="AG97" s="221"/>
      <c r="AH97" s="221"/>
      <c r="AI97" s="221"/>
      <c r="AJ97" s="221"/>
      <c r="AK97" s="219"/>
      <c r="AL97" s="220">
        <f t="shared" si="63"/>
        <v>0</v>
      </c>
    </row>
    <row r="98" spans="2:38" ht="43.5" customHeight="1" outlineLevel="1" x14ac:dyDescent="0.2">
      <c r="B98" s="481" t="s">
        <v>1491</v>
      </c>
      <c r="C98" s="480" t="str">
        <f>'Reference documents'!B27</f>
        <v>GRE.EEC.S.25.XX.S.00000.15.001.00</v>
      </c>
      <c r="D98" s="216" t="s">
        <v>1533</v>
      </c>
      <c r="E98" s="824"/>
      <c r="F98" s="434"/>
      <c r="G98" s="435"/>
      <c r="H98" s="1362" t="s">
        <v>1534</v>
      </c>
      <c r="I98" s="43" t="s">
        <v>1504</v>
      </c>
      <c r="J98" s="43" t="s">
        <v>1505</v>
      </c>
      <c r="K98" s="44">
        <f t="shared" si="59"/>
        <v>125</v>
      </c>
      <c r="L98" s="1290">
        <v>9.7011429592959678E-2</v>
      </c>
      <c r="M98" s="1290">
        <v>40</v>
      </c>
      <c r="N98" s="1297">
        <f t="shared" si="60"/>
        <v>3.880457183718387</v>
      </c>
      <c r="O98" s="1290">
        <v>0.06</v>
      </c>
      <c r="P98" s="1290">
        <v>70</v>
      </c>
      <c r="Q98" s="1297">
        <f t="shared" si="61"/>
        <v>4.2</v>
      </c>
      <c r="R98" s="1298"/>
      <c r="S98" s="1290">
        <v>5</v>
      </c>
      <c r="T98" s="1298"/>
      <c r="U98" s="1291">
        <f t="shared" si="62"/>
        <v>13.080457183718387</v>
      </c>
      <c r="V98" s="45">
        <f t="shared" si="65"/>
        <v>1635.0571479647983</v>
      </c>
      <c r="W98" s="217"/>
      <c r="Z98" s="218"/>
      <c r="AA98" s="221"/>
      <c r="AB98" s="221"/>
      <c r="AC98" s="221"/>
      <c r="AD98" s="221">
        <v>125</v>
      </c>
      <c r="AE98" s="221">
        <v>0</v>
      </c>
      <c r="AF98" s="221"/>
      <c r="AG98" s="221"/>
      <c r="AH98" s="221"/>
      <c r="AI98" s="221"/>
      <c r="AJ98" s="221"/>
      <c r="AK98" s="219"/>
      <c r="AL98" s="220">
        <f t="shared" si="63"/>
        <v>125</v>
      </c>
    </row>
    <row r="99" spans="2:38" ht="43.5" customHeight="1" outlineLevel="1" x14ac:dyDescent="0.2">
      <c r="B99" s="481" t="s">
        <v>1491</v>
      </c>
      <c r="C99" s="480" t="str">
        <f>'Reference documents'!B27</f>
        <v>GRE.EEC.S.25.XX.S.00000.15.001.00</v>
      </c>
      <c r="D99" s="216" t="s">
        <v>1535</v>
      </c>
      <c r="E99" s="824"/>
      <c r="F99" s="434"/>
      <c r="G99" s="435"/>
      <c r="H99" s="1360" t="s">
        <v>1536</v>
      </c>
      <c r="I99" s="43" t="s">
        <v>1504</v>
      </c>
      <c r="J99" s="43" t="s">
        <v>1505</v>
      </c>
      <c r="K99" s="44">
        <f t="shared" si="59"/>
        <v>6</v>
      </c>
      <c r="L99" s="1290">
        <v>1.0201142959295963</v>
      </c>
      <c r="M99" s="1290">
        <v>40</v>
      </c>
      <c r="N99" s="1297">
        <f t="shared" si="60"/>
        <v>40.804571837183857</v>
      </c>
      <c r="O99" s="1290"/>
      <c r="P99" s="1290"/>
      <c r="Q99" s="1297">
        <f t="shared" si="61"/>
        <v>0</v>
      </c>
      <c r="R99" s="1298"/>
      <c r="S99" s="1290">
        <v>90</v>
      </c>
      <c r="T99" s="1298"/>
      <c r="U99" s="1291">
        <f t="shared" si="62"/>
        <v>130.80457183718386</v>
      </c>
      <c r="V99" s="45">
        <f t="shared" si="65"/>
        <v>784.82743102310314</v>
      </c>
      <c r="W99" s="217"/>
      <c r="Z99" s="218"/>
      <c r="AA99" s="221"/>
      <c r="AB99" s="221"/>
      <c r="AC99" s="221"/>
      <c r="AD99" s="221">
        <v>6</v>
      </c>
      <c r="AE99" s="221">
        <v>0</v>
      </c>
      <c r="AF99" s="221"/>
      <c r="AG99" s="221"/>
      <c r="AH99" s="221"/>
      <c r="AI99" s="221"/>
      <c r="AJ99" s="221"/>
      <c r="AK99" s="219"/>
      <c r="AL99" s="220">
        <f t="shared" si="63"/>
        <v>6</v>
      </c>
    </row>
    <row r="100" spans="2:38" ht="43.5" customHeight="1" outlineLevel="1" x14ac:dyDescent="0.2">
      <c r="B100" s="481" t="s">
        <v>1491</v>
      </c>
      <c r="C100" s="480" t="str">
        <f>'Reference documents'!B27</f>
        <v>GRE.EEC.S.25.XX.S.00000.15.001.00</v>
      </c>
      <c r="D100" s="216" t="s">
        <v>1537</v>
      </c>
      <c r="E100" s="824"/>
      <c r="F100" s="434"/>
      <c r="G100" s="435"/>
      <c r="H100" s="1362" t="s">
        <v>1538</v>
      </c>
      <c r="I100" s="43" t="s">
        <v>345</v>
      </c>
      <c r="J100" s="43" t="s">
        <v>1461</v>
      </c>
      <c r="K100" s="44">
        <f t="shared" si="59"/>
        <v>55</v>
      </c>
      <c r="L100" s="1290">
        <v>0.94844800429043041</v>
      </c>
      <c r="M100" s="1290">
        <v>40</v>
      </c>
      <c r="N100" s="1297">
        <f t="shared" si="60"/>
        <v>37.937920171617215</v>
      </c>
      <c r="O100" s="1290">
        <v>0.1</v>
      </c>
      <c r="P100" s="1290">
        <v>70</v>
      </c>
      <c r="Q100" s="1297">
        <f t="shared" si="61"/>
        <v>7</v>
      </c>
      <c r="R100" s="1298"/>
      <c r="S100" s="1290">
        <v>10</v>
      </c>
      <c r="T100" s="1298"/>
      <c r="U100" s="1291">
        <f t="shared" si="62"/>
        <v>54.937920171617215</v>
      </c>
      <c r="V100" s="45">
        <f t="shared" si="65"/>
        <v>3021.5856094389469</v>
      </c>
      <c r="W100" s="217"/>
      <c r="Z100" s="218"/>
      <c r="AA100" s="221"/>
      <c r="AB100" s="221"/>
      <c r="AC100" s="221"/>
      <c r="AD100" s="221">
        <v>55</v>
      </c>
      <c r="AE100" s="221">
        <v>0</v>
      </c>
      <c r="AF100" s="221"/>
      <c r="AG100" s="221"/>
      <c r="AH100" s="221"/>
      <c r="AI100" s="221"/>
      <c r="AJ100" s="221"/>
      <c r="AK100" s="219"/>
      <c r="AL100" s="220">
        <f t="shared" si="63"/>
        <v>55</v>
      </c>
    </row>
    <row r="101" spans="2:38" ht="43.5" customHeight="1" outlineLevel="1" x14ac:dyDescent="0.2">
      <c r="B101" s="481" t="s">
        <v>1491</v>
      </c>
      <c r="C101" s="480" t="str">
        <f>'Reference documents'!B27</f>
        <v>GRE.EEC.S.25.XX.S.00000.15.001.00</v>
      </c>
      <c r="D101" s="216" t="s">
        <v>1539</v>
      </c>
      <c r="E101" s="824"/>
      <c r="F101" s="434"/>
      <c r="G101" s="435"/>
      <c r="H101" s="1362" t="s">
        <v>1540</v>
      </c>
      <c r="I101" s="43" t="s">
        <v>345</v>
      </c>
      <c r="J101" s="43" t="s">
        <v>1461</v>
      </c>
      <c r="K101" s="44">
        <f t="shared" si="59"/>
        <v>0</v>
      </c>
      <c r="L101" s="1290"/>
      <c r="M101" s="1290"/>
      <c r="N101" s="1297">
        <f t="shared" si="60"/>
        <v>0</v>
      </c>
      <c r="O101" s="1290"/>
      <c r="P101" s="1290"/>
      <c r="Q101" s="1297">
        <f t="shared" si="61"/>
        <v>0</v>
      </c>
      <c r="R101" s="1298"/>
      <c r="S101" s="1290"/>
      <c r="T101" s="1298"/>
      <c r="U101" s="1291">
        <f t="shared" si="62"/>
        <v>0</v>
      </c>
      <c r="V101" s="45">
        <f t="shared" si="65"/>
        <v>0</v>
      </c>
      <c r="W101" s="217"/>
      <c r="Z101" s="218"/>
      <c r="AA101" s="221"/>
      <c r="AB101" s="221"/>
      <c r="AC101" s="221"/>
      <c r="AD101" s="221">
        <v>0</v>
      </c>
      <c r="AE101" s="221">
        <v>0</v>
      </c>
      <c r="AF101" s="221"/>
      <c r="AG101" s="221"/>
      <c r="AH101" s="221"/>
      <c r="AI101" s="221"/>
      <c r="AJ101" s="221"/>
      <c r="AK101" s="219"/>
      <c r="AL101" s="220">
        <f t="shared" si="63"/>
        <v>0</v>
      </c>
    </row>
    <row r="102" spans="2:38" ht="43.5" customHeight="1" outlineLevel="1" x14ac:dyDescent="0.2">
      <c r="B102" s="481" t="s">
        <v>1491</v>
      </c>
      <c r="C102" s="480" t="str">
        <f>'Reference documents'!B27</f>
        <v>GRE.EEC.S.25.XX.S.00000.15.001.00</v>
      </c>
      <c r="D102" s="216" t="s">
        <v>1541</v>
      </c>
      <c r="E102" s="824"/>
      <c r="F102" s="434"/>
      <c r="G102" s="435"/>
      <c r="H102" s="1362" t="s">
        <v>1542</v>
      </c>
      <c r="I102" s="43" t="s">
        <v>345</v>
      </c>
      <c r="J102" s="43" t="s">
        <v>1461</v>
      </c>
      <c r="K102" s="44">
        <f t="shared" si="59"/>
        <v>15</v>
      </c>
      <c r="L102" s="1290">
        <v>0.31752857398239909</v>
      </c>
      <c r="M102" s="1290">
        <v>40</v>
      </c>
      <c r="N102" s="1297">
        <f t="shared" si="60"/>
        <v>12.701142959295964</v>
      </c>
      <c r="O102" s="1290"/>
      <c r="P102" s="1290"/>
      <c r="Q102" s="1297">
        <f t="shared" si="61"/>
        <v>0</v>
      </c>
      <c r="R102" s="1298"/>
      <c r="S102" s="1290">
        <v>20</v>
      </c>
      <c r="T102" s="1298"/>
      <c r="U102" s="1291">
        <f t="shared" si="62"/>
        <v>32.701142959295964</v>
      </c>
      <c r="V102" s="45">
        <f t="shared" si="65"/>
        <v>490.51714438943947</v>
      </c>
      <c r="W102" s="217"/>
      <c r="Z102" s="218"/>
      <c r="AA102" s="221"/>
      <c r="AB102" s="221"/>
      <c r="AC102" s="221"/>
      <c r="AD102" s="221">
        <v>15</v>
      </c>
      <c r="AE102" s="221">
        <v>0</v>
      </c>
      <c r="AF102" s="221"/>
      <c r="AG102" s="221"/>
      <c r="AH102" s="221"/>
      <c r="AI102" s="221"/>
      <c r="AJ102" s="221"/>
      <c r="AK102" s="219"/>
      <c r="AL102" s="220">
        <f t="shared" si="63"/>
        <v>15</v>
      </c>
    </row>
    <row r="103" spans="2:38" s="62" customFormat="1" ht="15" x14ac:dyDescent="0.2">
      <c r="B103" s="60"/>
      <c r="C103" s="166"/>
      <c r="D103" s="61"/>
      <c r="E103" s="837"/>
      <c r="F103" s="339"/>
      <c r="G103" s="340"/>
      <c r="H103" s="52" t="s">
        <v>1543</v>
      </c>
      <c r="I103" s="53"/>
      <c r="J103" s="53"/>
      <c r="K103" s="54"/>
      <c r="L103" s="54"/>
      <c r="M103" s="54"/>
      <c r="N103" s="54"/>
      <c r="O103" s="54"/>
      <c r="P103" s="54"/>
      <c r="Q103" s="54"/>
      <c r="R103" s="54"/>
      <c r="S103" s="54"/>
      <c r="T103" s="54"/>
      <c r="U103" s="55"/>
      <c r="V103" s="56">
        <f>SUM(V76:V102)</f>
        <v>49410.11896577783</v>
      </c>
      <c r="W103" s="224"/>
      <c r="X103" s="47"/>
      <c r="Y103" s="47"/>
      <c r="Z103" s="243"/>
      <c r="AA103" s="244"/>
      <c r="AB103" s="244"/>
      <c r="AC103" s="244"/>
      <c r="AD103" s="244"/>
      <c r="AE103" s="244"/>
      <c r="AF103" s="244"/>
      <c r="AG103" s="244"/>
      <c r="AH103" s="244"/>
      <c r="AI103" s="244"/>
      <c r="AJ103" s="244"/>
      <c r="AK103" s="226"/>
      <c r="AL103" s="227"/>
    </row>
    <row r="104" spans="2:38" s="62" customFormat="1" ht="5.25" customHeight="1" x14ac:dyDescent="0.2">
      <c r="B104" s="245"/>
      <c r="C104" s="246"/>
      <c r="D104" s="198"/>
      <c r="E104" s="820"/>
      <c r="F104" s="324"/>
      <c r="G104" s="325"/>
      <c r="H104" s="199"/>
      <c r="I104" s="200"/>
      <c r="J104" s="200"/>
      <c r="K104" s="57"/>
      <c r="L104" s="57"/>
      <c r="M104" s="57"/>
      <c r="N104" s="57"/>
      <c r="O104" s="57"/>
      <c r="P104" s="57"/>
      <c r="Q104" s="57"/>
      <c r="R104" s="57"/>
      <c r="S104" s="57"/>
      <c r="T104" s="57"/>
      <c r="U104" s="201"/>
      <c r="V104" s="202"/>
      <c r="W104" s="217"/>
      <c r="X104" s="47"/>
      <c r="Y104" s="47"/>
      <c r="Z104" s="247"/>
      <c r="AA104" s="248"/>
      <c r="AB104" s="248"/>
      <c r="AC104" s="248"/>
      <c r="AD104" s="248"/>
      <c r="AE104" s="248"/>
      <c r="AF104" s="248"/>
      <c r="AG104" s="248"/>
      <c r="AH104" s="248"/>
      <c r="AI104" s="248"/>
      <c r="AJ104" s="248"/>
      <c r="AK104" s="230"/>
      <c r="AL104" s="231"/>
    </row>
    <row r="105" spans="2:38" s="62" customFormat="1" ht="15.75" x14ac:dyDescent="0.2">
      <c r="B105" s="63" t="s">
        <v>1544</v>
      </c>
      <c r="C105" s="167"/>
      <c r="D105" s="35"/>
      <c r="E105" s="821"/>
      <c r="F105" s="326"/>
      <c r="G105" s="327"/>
      <c r="H105" s="1357" t="s">
        <v>1545</v>
      </c>
      <c r="I105" s="35" t="s">
        <v>207</v>
      </c>
      <c r="J105" s="35" t="s">
        <v>207</v>
      </c>
      <c r="K105" s="36"/>
      <c r="L105" s="36"/>
      <c r="M105" s="36"/>
      <c r="N105" s="36"/>
      <c r="O105" s="36"/>
      <c r="P105" s="36"/>
      <c r="Q105" s="36"/>
      <c r="R105" s="36"/>
      <c r="S105" s="36"/>
      <c r="T105" s="36"/>
      <c r="U105" s="37"/>
      <c r="V105" s="38"/>
      <c r="W105" s="206"/>
      <c r="X105" s="47"/>
      <c r="Y105" s="47"/>
      <c r="Z105" s="207"/>
      <c r="AA105" s="210"/>
      <c r="AB105" s="210"/>
      <c r="AC105" s="210"/>
      <c r="AD105" s="210"/>
      <c r="AE105" s="210"/>
      <c r="AF105" s="210"/>
      <c r="AG105" s="210"/>
      <c r="AH105" s="210"/>
      <c r="AI105" s="210"/>
      <c r="AJ105" s="210"/>
      <c r="AK105" s="208"/>
      <c r="AL105" s="209"/>
    </row>
    <row r="106" spans="2:38" s="47" customFormat="1" ht="15.75" x14ac:dyDescent="0.2">
      <c r="B106" s="48"/>
      <c r="C106" s="163"/>
      <c r="D106" s="39"/>
      <c r="E106" s="822"/>
      <c r="F106" s="432"/>
      <c r="G106" s="433"/>
      <c r="H106" s="1358" t="s">
        <v>1546</v>
      </c>
      <c r="I106" s="40"/>
      <c r="J106" s="40"/>
      <c r="K106" s="41"/>
      <c r="L106" s="41"/>
      <c r="M106" s="41"/>
      <c r="N106" s="41"/>
      <c r="O106" s="41"/>
      <c r="P106" s="41"/>
      <c r="Q106" s="41"/>
      <c r="R106" s="41"/>
      <c r="S106" s="41"/>
      <c r="T106" s="41"/>
      <c r="U106" s="42"/>
      <c r="V106" s="42"/>
      <c r="W106" s="211"/>
      <c r="Z106" s="212"/>
      <c r="AA106" s="215"/>
      <c r="AB106" s="215"/>
      <c r="AC106" s="215"/>
      <c r="AD106" s="215"/>
      <c r="AE106" s="215"/>
      <c r="AF106" s="215"/>
      <c r="AG106" s="215"/>
      <c r="AH106" s="215"/>
      <c r="AI106" s="215"/>
      <c r="AJ106" s="215"/>
      <c r="AK106" s="213"/>
      <c r="AL106" s="214"/>
    </row>
    <row r="107" spans="2:38" s="47" customFormat="1" ht="43.5" customHeight="1" outlineLevel="1" x14ac:dyDescent="0.2">
      <c r="B107" s="481" t="s">
        <v>1547</v>
      </c>
      <c r="C107" s="480" t="str">
        <f>'Reference documents'!B27</f>
        <v>GRE.EEC.S.25.XX.S.00000.15.001.00</v>
      </c>
      <c r="D107" s="43" t="s">
        <v>1548</v>
      </c>
      <c r="E107" s="834"/>
      <c r="F107" s="328"/>
      <c r="G107" s="328"/>
      <c r="H107" s="1362" t="s">
        <v>1549</v>
      </c>
      <c r="I107" s="43" t="s">
        <v>1450</v>
      </c>
      <c r="J107" s="43" t="s">
        <v>1451</v>
      </c>
      <c r="K107" s="44">
        <v>15390</v>
      </c>
      <c r="L107" s="1290">
        <v>0.16731680137124302</v>
      </c>
      <c r="M107" s="1290">
        <v>40</v>
      </c>
      <c r="N107" s="1297">
        <f>L107*M107</f>
        <v>6.6926720548497212</v>
      </c>
      <c r="O107" s="1290"/>
      <c r="P107" s="1290"/>
      <c r="Q107" s="1297">
        <f>O107*P107</f>
        <v>0</v>
      </c>
      <c r="R107" s="1298"/>
      <c r="S107" s="1290"/>
      <c r="T107" s="1298"/>
      <c r="U107" s="1291">
        <f t="shared" ref="U107" si="66">S107+Q107+N107</f>
        <v>6.6926720548497212</v>
      </c>
      <c r="V107" s="45">
        <f>K107*U107</f>
        <v>103000.22292413721</v>
      </c>
      <c r="W107" s="217"/>
      <c r="Z107" s="218"/>
      <c r="AA107" s="221"/>
      <c r="AB107" s="221"/>
      <c r="AC107" s="221"/>
      <c r="AD107" s="221"/>
      <c r="AE107" s="221"/>
      <c r="AF107" s="221"/>
      <c r="AG107" s="221"/>
      <c r="AH107" s="221"/>
      <c r="AI107" s="221"/>
      <c r="AJ107" s="221"/>
      <c r="AK107" s="219"/>
      <c r="AL107" s="220">
        <f>SUMPRODUCT($Z$4:$AK$4,Z107:AK107)</f>
        <v>0</v>
      </c>
    </row>
    <row r="108" spans="2:38" s="62" customFormat="1" ht="15" x14ac:dyDescent="0.2">
      <c r="B108" s="50"/>
      <c r="C108" s="164"/>
      <c r="D108" s="61"/>
      <c r="E108" s="837"/>
      <c r="F108" s="339"/>
      <c r="G108" s="340"/>
      <c r="H108" s="52" t="s">
        <v>1550</v>
      </c>
      <c r="I108" s="53"/>
      <c r="J108" s="53"/>
      <c r="K108" s="54"/>
      <c r="L108" s="54"/>
      <c r="M108" s="54"/>
      <c r="N108" s="54"/>
      <c r="O108" s="54"/>
      <c r="P108" s="54"/>
      <c r="Q108" s="54"/>
      <c r="R108" s="54"/>
      <c r="S108" s="54"/>
      <c r="T108" s="54"/>
      <c r="U108" s="55"/>
      <c r="V108" s="56">
        <f>SUM(V107)</f>
        <v>103000.22292413721</v>
      </c>
      <c r="W108" s="224"/>
      <c r="X108" s="47"/>
      <c r="Y108" s="47"/>
      <c r="Z108" s="225"/>
      <c r="AA108" s="228"/>
      <c r="AB108" s="228"/>
      <c r="AC108" s="228"/>
      <c r="AD108" s="228"/>
      <c r="AE108" s="228"/>
      <c r="AF108" s="228"/>
      <c r="AG108" s="228"/>
      <c r="AH108" s="228"/>
      <c r="AI108" s="228"/>
      <c r="AJ108" s="228"/>
      <c r="AK108" s="226"/>
      <c r="AL108" s="227"/>
    </row>
    <row r="109" spans="2:38" s="62" customFormat="1" ht="5.25" customHeight="1" x14ac:dyDescent="0.2">
      <c r="B109" s="64"/>
      <c r="C109" s="168"/>
      <c r="D109" s="198"/>
      <c r="E109" s="820"/>
      <c r="F109" s="324"/>
      <c r="G109" s="325"/>
      <c r="H109" s="199"/>
      <c r="I109" s="200"/>
      <c r="J109" s="200"/>
      <c r="K109" s="57"/>
      <c r="L109" s="57"/>
      <c r="M109" s="57"/>
      <c r="N109" s="57"/>
      <c r="O109" s="57"/>
      <c r="P109" s="57"/>
      <c r="Q109" s="57"/>
      <c r="R109" s="57"/>
      <c r="S109" s="57"/>
      <c r="T109" s="57"/>
      <c r="U109" s="201"/>
      <c r="V109" s="202"/>
      <c r="W109" s="217"/>
      <c r="X109" s="47"/>
      <c r="Y109" s="47"/>
      <c r="Z109" s="218"/>
      <c r="AA109" s="221"/>
      <c r="AB109" s="221"/>
      <c r="AC109" s="221"/>
      <c r="AD109" s="221"/>
      <c r="AE109" s="221"/>
      <c r="AF109" s="221"/>
      <c r="AG109" s="221"/>
      <c r="AH109" s="221"/>
      <c r="AI109" s="221"/>
      <c r="AJ109" s="221"/>
      <c r="AK109" s="230"/>
      <c r="AL109" s="231"/>
    </row>
    <row r="110" spans="2:38" ht="15.75" x14ac:dyDescent="0.2">
      <c r="B110" s="63"/>
      <c r="C110" s="167"/>
      <c r="D110" s="35"/>
      <c r="E110" s="821"/>
      <c r="F110" s="326"/>
      <c r="G110" s="327"/>
      <c r="H110" s="1357" t="s">
        <v>1551</v>
      </c>
      <c r="I110" s="35" t="s">
        <v>207</v>
      </c>
      <c r="J110" s="35" t="s">
        <v>207</v>
      </c>
      <c r="K110" s="36"/>
      <c r="L110" s="36"/>
      <c r="M110" s="36"/>
      <c r="N110" s="36"/>
      <c r="O110" s="36"/>
      <c r="P110" s="36"/>
      <c r="Q110" s="36"/>
      <c r="R110" s="36"/>
      <c r="S110" s="36"/>
      <c r="T110" s="36"/>
      <c r="U110" s="37"/>
      <c r="V110" s="38"/>
      <c r="W110" s="206"/>
      <c r="X110" s="47"/>
      <c r="Y110" s="47"/>
      <c r="Z110" s="207"/>
      <c r="AA110" s="210"/>
      <c r="AB110" s="210"/>
      <c r="AC110" s="210"/>
      <c r="AD110" s="210"/>
      <c r="AE110" s="210"/>
      <c r="AF110" s="210"/>
      <c r="AG110" s="210"/>
      <c r="AH110" s="210"/>
      <c r="AI110" s="210"/>
      <c r="AJ110" s="210"/>
      <c r="AK110" s="208"/>
      <c r="AL110" s="209"/>
    </row>
    <row r="111" spans="2:38" ht="15.75" x14ac:dyDescent="0.2">
      <c r="B111" s="48"/>
      <c r="C111" s="163"/>
      <c r="D111" s="39"/>
      <c r="E111" s="822"/>
      <c r="F111" s="432"/>
      <c r="G111" s="433"/>
      <c r="H111" s="1358" t="s">
        <v>1552</v>
      </c>
      <c r="I111" s="40"/>
      <c r="J111" s="40"/>
      <c r="K111" s="41"/>
      <c r="L111" s="41"/>
      <c r="M111" s="41"/>
      <c r="N111" s="41"/>
      <c r="O111" s="41"/>
      <c r="P111" s="41"/>
      <c r="Q111" s="41"/>
      <c r="R111" s="41"/>
      <c r="S111" s="41"/>
      <c r="T111" s="41"/>
      <c r="U111" s="42"/>
      <c r="V111" s="42"/>
      <c r="W111" s="211"/>
      <c r="X111" s="47"/>
      <c r="Y111" s="47"/>
      <c r="Z111" s="212"/>
      <c r="AA111" s="215"/>
      <c r="AB111" s="215"/>
      <c r="AC111" s="215"/>
      <c r="AD111" s="215"/>
      <c r="AE111" s="215"/>
      <c r="AF111" s="215"/>
      <c r="AG111" s="215"/>
      <c r="AH111" s="215"/>
      <c r="AI111" s="215"/>
      <c r="AJ111" s="215"/>
      <c r="AK111" s="213"/>
      <c r="AL111" s="214"/>
    </row>
    <row r="112" spans="2:38" s="47" customFormat="1" ht="43.5" customHeight="1" outlineLevel="1" x14ac:dyDescent="0.2">
      <c r="B112" s="481" t="s">
        <v>1553</v>
      </c>
      <c r="C112" s="480" t="str">
        <f>'Reference documents'!B27</f>
        <v>GRE.EEC.S.25.XX.S.00000.15.001.00</v>
      </c>
      <c r="D112" s="43" t="s">
        <v>1554</v>
      </c>
      <c r="E112" s="834"/>
      <c r="F112" s="328"/>
      <c r="G112" s="328"/>
      <c r="H112" s="1362" t="s">
        <v>1555</v>
      </c>
      <c r="I112" s="43" t="s">
        <v>1393</v>
      </c>
      <c r="J112" s="43" t="s">
        <v>1385</v>
      </c>
      <c r="K112" s="44">
        <f t="shared" ref="K112:K118" si="67">AL112</f>
        <v>0</v>
      </c>
      <c r="L112" s="1290"/>
      <c r="M112" s="1290"/>
      <c r="N112" s="1297">
        <f t="shared" ref="N112:N118" si="68">L112*M112</f>
        <v>0</v>
      </c>
      <c r="O112" s="1290"/>
      <c r="P112" s="1290"/>
      <c r="Q112" s="1297">
        <f t="shared" ref="Q112:Q118" si="69">O112*P112</f>
        <v>0</v>
      </c>
      <c r="R112" s="1298"/>
      <c r="S112" s="1290"/>
      <c r="T112" s="1298"/>
      <c r="U112" s="1291">
        <f t="shared" ref="U112:U121" si="70">S112+Q112+N112</f>
        <v>0</v>
      </c>
      <c r="V112" s="45">
        <f t="shared" ref="V112:V118" si="71">K112*U112</f>
        <v>0</v>
      </c>
      <c r="W112" s="217"/>
      <c r="Z112" s="218"/>
      <c r="AA112" s="221"/>
      <c r="AB112" s="221"/>
      <c r="AC112" s="221"/>
      <c r="AD112" s="221"/>
      <c r="AE112" s="221"/>
      <c r="AF112" s="221"/>
      <c r="AG112" s="221"/>
      <c r="AH112" s="221"/>
      <c r="AI112" s="221"/>
      <c r="AJ112" s="221"/>
      <c r="AK112" s="219"/>
      <c r="AL112" s="220">
        <f t="shared" ref="AL112:AL118" si="72">SUMPRODUCT($Z$4:$AK$4,Z112:AK112)</f>
        <v>0</v>
      </c>
    </row>
    <row r="113" spans="2:38" ht="43.5" customHeight="1" outlineLevel="1" x14ac:dyDescent="0.2">
      <c r="B113" s="481" t="s">
        <v>1553</v>
      </c>
      <c r="C113" s="480" t="str">
        <f>'Reference documents'!B27</f>
        <v>GRE.EEC.S.25.XX.S.00000.15.001.00</v>
      </c>
      <c r="D113" s="216" t="s">
        <v>1556</v>
      </c>
      <c r="E113" s="824"/>
      <c r="F113" s="434"/>
      <c r="G113" s="435"/>
      <c r="H113" s="1360" t="s">
        <v>1557</v>
      </c>
      <c r="I113" s="43" t="s">
        <v>345</v>
      </c>
      <c r="J113" s="43" t="s">
        <v>1461</v>
      </c>
      <c r="K113" s="44">
        <f t="shared" si="67"/>
        <v>0</v>
      </c>
      <c r="L113" s="1290"/>
      <c r="M113" s="1290"/>
      <c r="N113" s="1297">
        <f t="shared" si="68"/>
        <v>0</v>
      </c>
      <c r="O113" s="1290"/>
      <c r="P113" s="1290"/>
      <c r="Q113" s="1297">
        <f t="shared" si="69"/>
        <v>0</v>
      </c>
      <c r="R113" s="1298"/>
      <c r="S113" s="1290"/>
      <c r="T113" s="1298"/>
      <c r="U113" s="1291">
        <f t="shared" si="70"/>
        <v>0</v>
      </c>
      <c r="V113" s="45">
        <f t="shared" si="71"/>
        <v>0</v>
      </c>
      <c r="W113" s="217"/>
      <c r="X113" s="47"/>
      <c r="Y113" s="47"/>
      <c r="Z113" s="218"/>
      <c r="AA113" s="221"/>
      <c r="AB113" s="221"/>
      <c r="AC113" s="221"/>
      <c r="AD113" s="221"/>
      <c r="AE113" s="221"/>
      <c r="AF113" s="221"/>
      <c r="AG113" s="221"/>
      <c r="AH113" s="221"/>
      <c r="AI113" s="221"/>
      <c r="AJ113" s="221"/>
      <c r="AK113" s="219"/>
      <c r="AL113" s="220">
        <f t="shared" si="72"/>
        <v>0</v>
      </c>
    </row>
    <row r="114" spans="2:38" s="47" customFormat="1" ht="43.5" customHeight="1" outlineLevel="1" x14ac:dyDescent="0.2">
      <c r="B114" s="481" t="s">
        <v>1553</v>
      </c>
      <c r="C114" s="480" t="str">
        <f>'Reference documents'!B27</f>
        <v>GRE.EEC.S.25.XX.S.00000.15.001.00</v>
      </c>
      <c r="D114" s="43" t="s">
        <v>1558</v>
      </c>
      <c r="E114" s="834"/>
      <c r="F114" s="328"/>
      <c r="G114" s="328"/>
      <c r="H114" s="1362" t="s">
        <v>1559</v>
      </c>
      <c r="I114" s="43" t="s">
        <v>1393</v>
      </c>
      <c r="J114" s="43" t="s">
        <v>1385</v>
      </c>
      <c r="K114" s="44">
        <f t="shared" si="67"/>
        <v>20</v>
      </c>
      <c r="L114" s="1290">
        <v>3.7913771765676687</v>
      </c>
      <c r="M114" s="1290">
        <v>40</v>
      </c>
      <c r="N114" s="1297">
        <f t="shared" si="68"/>
        <v>151.65508706270674</v>
      </c>
      <c r="O114" s="1290">
        <v>4</v>
      </c>
      <c r="P114" s="1290">
        <v>70</v>
      </c>
      <c r="Q114" s="1297">
        <f t="shared" si="69"/>
        <v>280</v>
      </c>
      <c r="R114" s="1298"/>
      <c r="S114" s="1290"/>
      <c r="T114" s="1298"/>
      <c r="U114" s="1291">
        <f t="shared" si="70"/>
        <v>431.65508706270674</v>
      </c>
      <c r="V114" s="45">
        <f t="shared" si="71"/>
        <v>8633.101741254135</v>
      </c>
      <c r="W114" s="217" t="s">
        <v>1560</v>
      </c>
      <c r="Z114" s="218">
        <v>20</v>
      </c>
      <c r="AA114" s="221"/>
      <c r="AB114" s="221"/>
      <c r="AC114" s="221"/>
      <c r="AD114" s="221"/>
      <c r="AE114" s="221"/>
      <c r="AF114" s="221"/>
      <c r="AG114" s="221"/>
      <c r="AH114" s="221"/>
      <c r="AI114" s="221"/>
      <c r="AJ114" s="221"/>
      <c r="AK114" s="219"/>
      <c r="AL114" s="220">
        <f t="shared" si="72"/>
        <v>20</v>
      </c>
    </row>
    <row r="115" spans="2:38" s="47" customFormat="1" ht="43.5" customHeight="1" outlineLevel="1" x14ac:dyDescent="0.2">
      <c r="B115" s="481" t="s">
        <v>1553</v>
      </c>
      <c r="C115" s="480" t="str">
        <f>'Reference documents'!B27</f>
        <v>GRE.EEC.S.25.XX.S.00000.15.001.00</v>
      </c>
      <c r="D115" s="43" t="s">
        <v>1561</v>
      </c>
      <c r="E115" s="829"/>
      <c r="F115" s="434"/>
      <c r="G115" s="435"/>
      <c r="H115" s="1362" t="s">
        <v>1562</v>
      </c>
      <c r="I115" s="43" t="s">
        <v>1504</v>
      </c>
      <c r="J115" s="43" t="s">
        <v>1505</v>
      </c>
      <c r="K115" s="44">
        <f t="shared" si="67"/>
        <v>0</v>
      </c>
      <c r="L115" s="1290"/>
      <c r="M115" s="1290"/>
      <c r="N115" s="1297">
        <f t="shared" si="68"/>
        <v>0</v>
      </c>
      <c r="O115" s="1290"/>
      <c r="P115" s="1290"/>
      <c r="Q115" s="1297">
        <f t="shared" si="69"/>
        <v>0</v>
      </c>
      <c r="R115" s="1298"/>
      <c r="S115" s="1290"/>
      <c r="T115" s="1298"/>
      <c r="U115" s="1291">
        <f t="shared" si="70"/>
        <v>0</v>
      </c>
      <c r="V115" s="45">
        <f t="shared" si="71"/>
        <v>0</v>
      </c>
      <c r="W115" s="217"/>
      <c r="Z115" s="218"/>
      <c r="AA115" s="221"/>
      <c r="AB115" s="221"/>
      <c r="AC115" s="221"/>
      <c r="AD115" s="221"/>
      <c r="AE115" s="221"/>
      <c r="AF115" s="221"/>
      <c r="AG115" s="221"/>
      <c r="AH115" s="221"/>
      <c r="AI115" s="221"/>
      <c r="AJ115" s="221"/>
      <c r="AK115" s="219"/>
      <c r="AL115" s="220">
        <f t="shared" si="72"/>
        <v>0</v>
      </c>
    </row>
    <row r="116" spans="2:38" s="47" customFormat="1" ht="43.5" customHeight="1" outlineLevel="1" x14ac:dyDescent="0.2">
      <c r="B116" s="481" t="s">
        <v>1553</v>
      </c>
      <c r="C116" s="480" t="str">
        <f>'Reference documents'!B27</f>
        <v>GRE.EEC.S.25.XX.S.00000.15.001.00</v>
      </c>
      <c r="D116" s="43" t="s">
        <v>1563</v>
      </c>
      <c r="E116" s="834"/>
      <c r="F116" s="328"/>
      <c r="G116" s="328"/>
      <c r="H116" s="1362" t="s">
        <v>1564</v>
      </c>
      <c r="I116" s="43" t="s">
        <v>1393</v>
      </c>
      <c r="J116" s="43" t="s">
        <v>1385</v>
      </c>
      <c r="K116" s="44">
        <f t="shared" si="67"/>
        <v>0</v>
      </c>
      <c r="L116" s="1290"/>
      <c r="M116" s="1290"/>
      <c r="N116" s="1297">
        <f t="shared" si="68"/>
        <v>0</v>
      </c>
      <c r="O116" s="1290"/>
      <c r="P116" s="1290"/>
      <c r="Q116" s="1297">
        <f t="shared" si="69"/>
        <v>0</v>
      </c>
      <c r="R116" s="1298"/>
      <c r="S116" s="1290"/>
      <c r="T116" s="1298"/>
      <c r="U116" s="1291">
        <f t="shared" si="70"/>
        <v>0</v>
      </c>
      <c r="V116" s="45">
        <f t="shared" si="71"/>
        <v>0</v>
      </c>
      <c r="W116" s="217"/>
      <c r="Z116" s="218"/>
      <c r="AA116" s="221"/>
      <c r="AB116" s="221"/>
      <c r="AC116" s="221"/>
      <c r="AD116" s="221"/>
      <c r="AE116" s="221"/>
      <c r="AF116" s="221"/>
      <c r="AG116" s="221"/>
      <c r="AH116" s="221"/>
      <c r="AI116" s="221"/>
      <c r="AJ116" s="221"/>
      <c r="AK116" s="219"/>
      <c r="AL116" s="220">
        <f t="shared" si="72"/>
        <v>0</v>
      </c>
    </row>
    <row r="117" spans="2:38" s="47" customFormat="1" ht="43.5" customHeight="1" outlineLevel="1" x14ac:dyDescent="0.2">
      <c r="B117" s="481" t="s">
        <v>1553</v>
      </c>
      <c r="C117" s="480" t="str">
        <f>'Reference documents'!B27</f>
        <v>GRE.EEC.S.25.XX.S.00000.15.001.00</v>
      </c>
      <c r="D117" s="216" t="s">
        <v>1406</v>
      </c>
      <c r="E117" s="824"/>
      <c r="F117" s="434"/>
      <c r="G117" s="435"/>
      <c r="H117" s="1360" t="s">
        <v>1407</v>
      </c>
      <c r="I117" s="216" t="s">
        <v>1393</v>
      </c>
      <c r="J117" s="216" t="s">
        <v>1385</v>
      </c>
      <c r="K117" s="44">
        <f t="shared" si="67"/>
        <v>0</v>
      </c>
      <c r="L117" s="1290"/>
      <c r="M117" s="1290"/>
      <c r="N117" s="1297">
        <f t="shared" si="68"/>
        <v>0</v>
      </c>
      <c r="O117" s="1290"/>
      <c r="P117" s="1290"/>
      <c r="Q117" s="1297">
        <f t="shared" si="69"/>
        <v>0</v>
      </c>
      <c r="R117" s="1298"/>
      <c r="S117" s="1290"/>
      <c r="T117" s="1298"/>
      <c r="U117" s="1291">
        <f t="shared" si="70"/>
        <v>0</v>
      </c>
      <c r="V117" s="45">
        <f t="shared" si="71"/>
        <v>0</v>
      </c>
      <c r="W117" s="217"/>
      <c r="Z117" s="218"/>
      <c r="AA117" s="221"/>
      <c r="AB117" s="221"/>
      <c r="AC117" s="221"/>
      <c r="AD117" s="221"/>
      <c r="AE117" s="221"/>
      <c r="AF117" s="221"/>
      <c r="AG117" s="221"/>
      <c r="AH117" s="221"/>
      <c r="AI117" s="221"/>
      <c r="AJ117" s="221"/>
      <c r="AK117" s="219"/>
      <c r="AL117" s="220">
        <f t="shared" si="72"/>
        <v>0</v>
      </c>
    </row>
    <row r="118" spans="2:38" s="47" customFormat="1" ht="43.5" customHeight="1" outlineLevel="1" x14ac:dyDescent="0.2">
      <c r="B118" s="481" t="s">
        <v>1553</v>
      </c>
      <c r="C118" s="480" t="str">
        <f>'Reference documents'!B27</f>
        <v>GRE.EEC.S.25.XX.S.00000.15.001.00</v>
      </c>
      <c r="D118" s="216" t="s">
        <v>1408</v>
      </c>
      <c r="E118" s="824"/>
      <c r="F118" s="434"/>
      <c r="G118" s="435"/>
      <c r="H118" s="1360" t="s">
        <v>1409</v>
      </c>
      <c r="I118" s="216" t="s">
        <v>1393</v>
      </c>
      <c r="J118" s="216" t="s">
        <v>1385</v>
      </c>
      <c r="K118" s="44">
        <f t="shared" si="67"/>
        <v>0</v>
      </c>
      <c r="L118" s="1290"/>
      <c r="M118" s="1290"/>
      <c r="N118" s="1297">
        <f t="shared" si="68"/>
        <v>0</v>
      </c>
      <c r="O118" s="1290"/>
      <c r="P118" s="1290"/>
      <c r="Q118" s="1297">
        <f t="shared" si="69"/>
        <v>0</v>
      </c>
      <c r="R118" s="1298"/>
      <c r="S118" s="1290"/>
      <c r="T118" s="1298"/>
      <c r="U118" s="1291">
        <f t="shared" si="70"/>
        <v>0</v>
      </c>
      <c r="V118" s="45">
        <f t="shared" si="71"/>
        <v>0</v>
      </c>
      <c r="W118" s="217"/>
      <c r="Z118" s="218"/>
      <c r="AA118" s="221"/>
      <c r="AB118" s="221"/>
      <c r="AC118" s="221"/>
      <c r="AD118" s="221"/>
      <c r="AE118" s="221"/>
      <c r="AF118" s="221"/>
      <c r="AG118" s="221"/>
      <c r="AH118" s="221"/>
      <c r="AI118" s="221"/>
      <c r="AJ118" s="221"/>
      <c r="AK118" s="219"/>
      <c r="AL118" s="220">
        <f t="shared" si="72"/>
        <v>0</v>
      </c>
    </row>
    <row r="119" spans="2:38" s="47" customFormat="1" ht="15.75" x14ac:dyDescent="0.2">
      <c r="B119" s="48"/>
      <c r="C119" s="163"/>
      <c r="D119" s="39"/>
      <c r="E119" s="822"/>
      <c r="F119" s="432"/>
      <c r="G119" s="433"/>
      <c r="H119" s="1358" t="s">
        <v>607</v>
      </c>
      <c r="I119" s="40"/>
      <c r="J119" s="40"/>
      <c r="K119" s="41"/>
      <c r="L119" s="41"/>
      <c r="M119" s="41"/>
      <c r="N119" s="41"/>
      <c r="O119" s="41"/>
      <c r="P119" s="41"/>
      <c r="Q119" s="41"/>
      <c r="R119" s="41"/>
      <c r="S119" s="41"/>
      <c r="T119" s="41"/>
      <c r="U119" s="42"/>
      <c r="V119" s="42"/>
      <c r="W119" s="211"/>
      <c r="Z119" s="212"/>
      <c r="AA119" s="215"/>
      <c r="AB119" s="215"/>
      <c r="AC119" s="215"/>
      <c r="AD119" s="215"/>
      <c r="AE119" s="215"/>
      <c r="AF119" s="215"/>
      <c r="AG119" s="215"/>
      <c r="AH119" s="215"/>
      <c r="AI119" s="215"/>
      <c r="AJ119" s="215"/>
      <c r="AK119" s="213"/>
      <c r="AL119" s="214"/>
    </row>
    <row r="120" spans="2:38" s="47" customFormat="1" ht="43.5" customHeight="1" outlineLevel="1" x14ac:dyDescent="0.2">
      <c r="B120" s="481" t="s">
        <v>1553</v>
      </c>
      <c r="C120" s="480" t="str">
        <f>'Reference documents'!B27</f>
        <v>GRE.EEC.S.25.XX.S.00000.15.001.00</v>
      </c>
      <c r="D120" s="216" t="s">
        <v>1565</v>
      </c>
      <c r="E120" s="824"/>
      <c r="F120" s="434"/>
      <c r="G120" s="435"/>
      <c r="H120" s="1360" t="s">
        <v>1566</v>
      </c>
      <c r="I120" s="43" t="s">
        <v>1379</v>
      </c>
      <c r="J120" s="43" t="s">
        <v>1380</v>
      </c>
      <c r="K120" s="44">
        <f t="shared" ref="K120:K125" si="73">AL120</f>
        <v>200</v>
      </c>
      <c r="L120" s="1290">
        <v>0.17890800071507176</v>
      </c>
      <c r="M120" s="1290">
        <v>40</v>
      </c>
      <c r="N120" s="1297">
        <f t="shared" ref="N120:N125" si="74">L120*M120</f>
        <v>7.1563200286028703</v>
      </c>
      <c r="O120" s="1290"/>
      <c r="P120" s="1290"/>
      <c r="Q120" s="1297">
        <f t="shared" ref="Q120:Q125" si="75">O120*P120</f>
        <v>0</v>
      </c>
      <c r="R120" s="1298"/>
      <c r="S120" s="1290">
        <v>2</v>
      </c>
      <c r="T120" s="1298"/>
      <c r="U120" s="1291">
        <f t="shared" si="70"/>
        <v>9.1563200286028703</v>
      </c>
      <c r="V120" s="45">
        <f t="shared" ref="V120:V125" si="76">K120*U120</f>
        <v>1831.264005720574</v>
      </c>
      <c r="W120" s="217"/>
      <c r="Z120" s="218">
        <v>200</v>
      </c>
      <c r="AA120" s="221"/>
      <c r="AB120" s="221"/>
      <c r="AC120" s="221"/>
      <c r="AD120" s="221"/>
      <c r="AE120" s="221"/>
      <c r="AF120" s="221"/>
      <c r="AG120" s="221"/>
      <c r="AH120" s="221"/>
      <c r="AI120" s="221"/>
      <c r="AJ120" s="221"/>
      <c r="AK120" s="219"/>
      <c r="AL120" s="220">
        <f t="shared" ref="AL120:AL125" si="77">SUMPRODUCT($Z$4:$AK$4,Z120:AK120)</f>
        <v>200</v>
      </c>
    </row>
    <row r="121" spans="2:38" ht="43.5" customHeight="1" outlineLevel="1" x14ac:dyDescent="0.2">
      <c r="B121" s="481" t="s">
        <v>1553</v>
      </c>
      <c r="C121" s="480" t="str">
        <f>'Reference documents'!B27</f>
        <v>GRE.EEC.S.25.XX.S.00000.15.001.00</v>
      </c>
      <c r="D121" s="216" t="s">
        <v>1567</v>
      </c>
      <c r="E121" s="824"/>
      <c r="F121" s="434"/>
      <c r="G121" s="435"/>
      <c r="H121" s="1363" t="s">
        <v>1568</v>
      </c>
      <c r="I121" s="43" t="s">
        <v>1569</v>
      </c>
      <c r="J121" s="43" t="s">
        <v>1570</v>
      </c>
      <c r="K121" s="44">
        <f t="shared" si="73"/>
        <v>1</v>
      </c>
      <c r="L121" s="1290">
        <v>0</v>
      </c>
      <c r="M121" s="1290">
        <v>40</v>
      </c>
      <c r="N121" s="1297">
        <f t="shared" si="74"/>
        <v>0</v>
      </c>
      <c r="O121" s="1290"/>
      <c r="P121" s="1290"/>
      <c r="Q121" s="1297">
        <f t="shared" si="75"/>
        <v>0</v>
      </c>
      <c r="R121" s="1298"/>
      <c r="S121" s="1290">
        <v>6932.6423073707447</v>
      </c>
      <c r="T121" s="1298"/>
      <c r="U121" s="1291">
        <f t="shared" si="70"/>
        <v>6932.6423073707447</v>
      </c>
      <c r="V121" s="45">
        <f t="shared" si="76"/>
        <v>6932.6423073707447</v>
      </c>
      <c r="W121" s="217"/>
      <c r="X121" s="47"/>
      <c r="Y121" s="47"/>
      <c r="Z121" s="218">
        <v>1</v>
      </c>
      <c r="AA121" s="221"/>
      <c r="AB121" s="221"/>
      <c r="AC121" s="221"/>
      <c r="AD121" s="221"/>
      <c r="AE121" s="221"/>
      <c r="AF121" s="221"/>
      <c r="AG121" s="221"/>
      <c r="AH121" s="221"/>
      <c r="AI121" s="221"/>
      <c r="AJ121" s="221"/>
      <c r="AK121" s="219"/>
      <c r="AL121" s="220">
        <f t="shared" si="77"/>
        <v>1</v>
      </c>
    </row>
    <row r="122" spans="2:38" ht="43.5" customHeight="1" outlineLevel="1" x14ac:dyDescent="0.2">
      <c r="B122" s="481" t="s">
        <v>1553</v>
      </c>
      <c r="C122" s="480" t="str">
        <f>'Reference documents'!B27</f>
        <v>GRE.EEC.S.25.XX.S.00000.15.001.00</v>
      </c>
      <c r="D122" s="216" t="s">
        <v>1571</v>
      </c>
      <c r="E122" s="824"/>
      <c r="F122" s="434"/>
      <c r="G122" s="435"/>
      <c r="H122" s="1363" t="s">
        <v>1572</v>
      </c>
      <c r="I122" s="43" t="s">
        <v>161</v>
      </c>
      <c r="J122" s="43" t="s">
        <v>1573</v>
      </c>
      <c r="K122" s="44">
        <f t="shared" si="73"/>
        <v>0</v>
      </c>
      <c r="L122" s="1290"/>
      <c r="M122" s="1290"/>
      <c r="N122" s="1297">
        <f t="shared" si="74"/>
        <v>0</v>
      </c>
      <c r="O122" s="1290"/>
      <c r="P122" s="1290"/>
      <c r="Q122" s="1297">
        <f t="shared" si="75"/>
        <v>0</v>
      </c>
      <c r="R122" s="1298"/>
      <c r="S122" s="1290"/>
      <c r="T122" s="1298"/>
      <c r="U122" s="1291">
        <f t="shared" ref="U122:U125" si="78">S122+Q122+N122</f>
        <v>0</v>
      </c>
      <c r="V122" s="45">
        <f t="shared" si="76"/>
        <v>0</v>
      </c>
      <c r="W122" s="217"/>
      <c r="Z122" s="218"/>
      <c r="AA122" s="221"/>
      <c r="AB122" s="221"/>
      <c r="AC122" s="221"/>
      <c r="AD122" s="221"/>
      <c r="AE122" s="221"/>
      <c r="AF122" s="221"/>
      <c r="AG122" s="221"/>
      <c r="AH122" s="221"/>
      <c r="AI122" s="221"/>
      <c r="AJ122" s="221"/>
      <c r="AK122" s="219"/>
      <c r="AL122" s="220">
        <f t="shared" si="77"/>
        <v>0</v>
      </c>
    </row>
    <row r="123" spans="2:38" ht="43.5" customHeight="1" outlineLevel="1" x14ac:dyDescent="0.2">
      <c r="B123" s="481" t="s">
        <v>1553</v>
      </c>
      <c r="C123" s="480" t="str">
        <f>'Reference documents'!B27</f>
        <v>GRE.EEC.S.25.XX.S.00000.15.001.00</v>
      </c>
      <c r="D123" s="216" t="s">
        <v>1574</v>
      </c>
      <c r="E123" s="824"/>
      <c r="F123" s="434"/>
      <c r="G123" s="435"/>
      <c r="H123" s="1363" t="s">
        <v>1575</v>
      </c>
      <c r="I123" s="43" t="s">
        <v>345</v>
      </c>
      <c r="J123" s="43" t="s">
        <v>1461</v>
      </c>
      <c r="K123" s="44">
        <f t="shared" si="73"/>
        <v>0</v>
      </c>
      <c r="L123" s="1290"/>
      <c r="M123" s="1290"/>
      <c r="N123" s="1297">
        <f t="shared" si="74"/>
        <v>0</v>
      </c>
      <c r="O123" s="1290"/>
      <c r="P123" s="1290"/>
      <c r="Q123" s="1297">
        <f t="shared" si="75"/>
        <v>0</v>
      </c>
      <c r="R123" s="1298"/>
      <c r="S123" s="1290"/>
      <c r="T123" s="1298"/>
      <c r="U123" s="1291">
        <f t="shared" si="78"/>
        <v>0</v>
      </c>
      <c r="V123" s="45">
        <f t="shared" si="76"/>
        <v>0</v>
      </c>
      <c r="W123" s="217" t="s">
        <v>1576</v>
      </c>
      <c r="Z123" s="218"/>
      <c r="AA123" s="221"/>
      <c r="AB123" s="221"/>
      <c r="AC123" s="221"/>
      <c r="AD123" s="221"/>
      <c r="AE123" s="221"/>
      <c r="AF123" s="221"/>
      <c r="AG123" s="221"/>
      <c r="AH123" s="221"/>
      <c r="AI123" s="221"/>
      <c r="AJ123" s="221"/>
      <c r="AK123" s="219"/>
      <c r="AL123" s="220">
        <f t="shared" si="77"/>
        <v>0</v>
      </c>
    </row>
    <row r="124" spans="2:38" ht="43.5" customHeight="1" outlineLevel="1" x14ac:dyDescent="0.2">
      <c r="B124" s="481" t="s">
        <v>1553</v>
      </c>
      <c r="C124" s="480" t="str">
        <f>'Reference documents'!B27</f>
        <v>GRE.EEC.S.25.XX.S.00000.15.001.00</v>
      </c>
      <c r="D124" s="858" t="s">
        <v>1577</v>
      </c>
      <c r="E124" s="838"/>
      <c r="F124" s="434"/>
      <c r="G124" s="435"/>
      <c r="H124" s="1366" t="s">
        <v>1578</v>
      </c>
      <c r="I124" s="43" t="s">
        <v>1450</v>
      </c>
      <c r="J124" s="43" t="s">
        <v>1451</v>
      </c>
      <c r="K124" s="44">
        <f t="shared" si="73"/>
        <v>1</v>
      </c>
      <c r="L124" s="1290">
        <v>9.5970975984600049</v>
      </c>
      <c r="M124" s="1290">
        <v>40</v>
      </c>
      <c r="N124" s="1297">
        <f t="shared" si="74"/>
        <v>383.88390393840018</v>
      </c>
      <c r="O124" s="1290">
        <v>5</v>
      </c>
      <c r="P124" s="1290">
        <v>70</v>
      </c>
      <c r="Q124" s="1297">
        <f t="shared" si="75"/>
        <v>350</v>
      </c>
      <c r="R124" s="1298"/>
      <c r="S124" s="1290">
        <v>5100</v>
      </c>
      <c r="T124" s="1298"/>
      <c r="U124" s="1291">
        <f t="shared" si="78"/>
        <v>5833.8839039384002</v>
      </c>
      <c r="V124" s="45">
        <f t="shared" si="76"/>
        <v>5833.8839039384002</v>
      </c>
      <c r="W124" s="217" t="s">
        <v>1579</v>
      </c>
      <c r="X124" s="47"/>
      <c r="Y124" s="47"/>
      <c r="Z124" s="218">
        <v>1</v>
      </c>
      <c r="AA124" s="221"/>
      <c r="AB124" s="221"/>
      <c r="AC124" s="221"/>
      <c r="AD124" s="221"/>
      <c r="AE124" s="221"/>
      <c r="AF124" s="221"/>
      <c r="AG124" s="221"/>
      <c r="AH124" s="221"/>
      <c r="AI124" s="221"/>
      <c r="AJ124" s="221"/>
      <c r="AK124" s="219"/>
      <c r="AL124" s="220">
        <f t="shared" si="77"/>
        <v>1</v>
      </c>
    </row>
    <row r="125" spans="2:38" ht="43.5" customHeight="1" outlineLevel="1" x14ac:dyDescent="0.2">
      <c r="B125" s="481" t="s">
        <v>1553</v>
      </c>
      <c r="C125" s="480" t="str">
        <f>'Reference documents'!B27</f>
        <v>GRE.EEC.S.25.XX.S.00000.15.001.00</v>
      </c>
      <c r="D125" s="57" t="s">
        <v>1477</v>
      </c>
      <c r="E125" s="830"/>
      <c r="F125" s="328"/>
      <c r="G125" s="328"/>
      <c r="H125" s="1365" t="s">
        <v>1580</v>
      </c>
      <c r="I125" s="43" t="s">
        <v>345</v>
      </c>
      <c r="J125" s="43" t="s">
        <v>1461</v>
      </c>
      <c r="K125" s="44">
        <f t="shared" si="73"/>
        <v>1450</v>
      </c>
      <c r="L125" s="1290">
        <v>0.33215486204620637</v>
      </c>
      <c r="M125" s="1290">
        <v>40</v>
      </c>
      <c r="N125" s="1297">
        <f t="shared" si="74"/>
        <v>13.286194481848256</v>
      </c>
      <c r="O125" s="1290">
        <v>0.35</v>
      </c>
      <c r="P125" s="1290">
        <v>70</v>
      </c>
      <c r="Q125" s="1297">
        <f t="shared" si="75"/>
        <v>24.5</v>
      </c>
      <c r="R125" s="1298"/>
      <c r="S125" s="1290">
        <v>25</v>
      </c>
      <c r="T125" s="1298"/>
      <c r="U125" s="1291">
        <f t="shared" si="78"/>
        <v>62.786194481848256</v>
      </c>
      <c r="V125" s="45">
        <f t="shared" si="76"/>
        <v>91039.98199867997</v>
      </c>
      <c r="W125" s="217" t="s">
        <v>1579</v>
      </c>
      <c r="X125" s="47"/>
      <c r="Y125" s="47"/>
      <c r="Z125" s="218">
        <v>1450</v>
      </c>
      <c r="AA125" s="221"/>
      <c r="AB125" s="221"/>
      <c r="AC125" s="221"/>
      <c r="AD125" s="221"/>
      <c r="AE125" s="221"/>
      <c r="AF125" s="221"/>
      <c r="AG125" s="221"/>
      <c r="AH125" s="221"/>
      <c r="AI125" s="221"/>
      <c r="AJ125" s="221"/>
      <c r="AK125" s="219"/>
      <c r="AL125" s="220">
        <f t="shared" si="77"/>
        <v>1450</v>
      </c>
    </row>
    <row r="126" spans="2:38" s="47" customFormat="1" ht="15.75" x14ac:dyDescent="0.2">
      <c r="B126" s="59"/>
      <c r="C126" s="165"/>
      <c r="D126" s="53"/>
      <c r="E126" s="832"/>
      <c r="F126" s="332"/>
      <c r="G126" s="333"/>
      <c r="H126" s="52" t="s">
        <v>1581</v>
      </c>
      <c r="I126" s="53"/>
      <c r="J126" s="53"/>
      <c r="K126" s="54"/>
      <c r="L126" s="54"/>
      <c r="M126" s="54"/>
      <c r="N126" s="54"/>
      <c r="O126" s="54"/>
      <c r="P126" s="54"/>
      <c r="Q126" s="54"/>
      <c r="R126" s="54"/>
      <c r="S126" s="54"/>
      <c r="T126" s="54"/>
      <c r="U126" s="55"/>
      <c r="V126" s="56">
        <f>SUM(V112:V125)</f>
        <v>114270.87395696383</v>
      </c>
      <c r="W126" s="224"/>
      <c r="Z126" s="234"/>
      <c r="AA126" s="235"/>
      <c r="AB126" s="235"/>
      <c r="AC126" s="235"/>
      <c r="AD126" s="235"/>
      <c r="AE126" s="235"/>
      <c r="AF126" s="235"/>
      <c r="AG126" s="235"/>
      <c r="AH126" s="235"/>
      <c r="AI126" s="235"/>
      <c r="AJ126" s="235"/>
      <c r="AK126" s="226"/>
      <c r="AL126" s="227"/>
    </row>
    <row r="127" spans="2:38" s="47" customFormat="1" ht="5.25" customHeight="1" x14ac:dyDescent="0.2">
      <c r="B127" s="236"/>
      <c r="C127" s="237"/>
      <c r="D127" s="200"/>
      <c r="E127" s="833"/>
      <c r="F127" s="334"/>
      <c r="G127" s="335"/>
      <c r="H127" s="199"/>
      <c r="I127" s="200"/>
      <c r="J127" s="200"/>
      <c r="K127" s="57"/>
      <c r="L127" s="57"/>
      <c r="M127" s="57"/>
      <c r="N127" s="57"/>
      <c r="O127" s="57"/>
      <c r="P127" s="57"/>
      <c r="Q127" s="57"/>
      <c r="R127" s="57"/>
      <c r="S127" s="57"/>
      <c r="T127" s="57"/>
      <c r="U127" s="201"/>
      <c r="V127" s="202"/>
      <c r="W127" s="217"/>
      <c r="Z127" s="238"/>
      <c r="AA127" s="239"/>
      <c r="AB127" s="239"/>
      <c r="AC127" s="239"/>
      <c r="AD127" s="239"/>
      <c r="AE127" s="239"/>
      <c r="AF127" s="239"/>
      <c r="AG127" s="239"/>
      <c r="AH127" s="239"/>
      <c r="AI127" s="239"/>
      <c r="AJ127" s="239"/>
      <c r="AK127" s="230"/>
      <c r="AL127" s="231"/>
    </row>
    <row r="128" spans="2:38" ht="15.75" x14ac:dyDescent="0.2">
      <c r="B128" s="63"/>
      <c r="C128" s="167"/>
      <c r="D128" s="35"/>
      <c r="E128" s="821"/>
      <c r="F128" s="326"/>
      <c r="G128" s="327"/>
      <c r="H128" s="1357" t="s">
        <v>1582</v>
      </c>
      <c r="I128" s="35" t="s">
        <v>207</v>
      </c>
      <c r="J128" s="35" t="s">
        <v>207</v>
      </c>
      <c r="K128" s="36"/>
      <c r="L128" s="36"/>
      <c r="M128" s="36"/>
      <c r="N128" s="36"/>
      <c r="O128" s="36"/>
      <c r="P128" s="36"/>
      <c r="Q128" s="36"/>
      <c r="R128" s="36"/>
      <c r="S128" s="36"/>
      <c r="T128" s="36"/>
      <c r="U128" s="37"/>
      <c r="V128" s="38"/>
      <c r="W128" s="206"/>
      <c r="X128" s="47"/>
      <c r="Y128" s="47"/>
      <c r="Z128" s="207"/>
      <c r="AA128" s="210"/>
      <c r="AB128" s="210"/>
      <c r="AC128" s="210"/>
      <c r="AD128" s="210"/>
      <c r="AE128" s="210"/>
      <c r="AF128" s="210"/>
      <c r="AG128" s="210"/>
      <c r="AH128" s="210"/>
      <c r="AI128" s="210"/>
      <c r="AJ128" s="210"/>
      <c r="AK128" s="208"/>
      <c r="AL128" s="209"/>
    </row>
    <row r="129" spans="2:38" ht="15.75" x14ac:dyDescent="0.2">
      <c r="B129" s="48"/>
      <c r="C129" s="163"/>
      <c r="D129" s="1138"/>
      <c r="E129" s="1139"/>
      <c r="F129" s="1140"/>
      <c r="G129" s="1141"/>
      <c r="H129" s="1367" t="s">
        <v>1117</v>
      </c>
      <c r="I129" s="40"/>
      <c r="J129" s="40"/>
      <c r="K129" s="41"/>
      <c r="L129" s="41"/>
      <c r="M129" s="41"/>
      <c r="N129" s="41"/>
      <c r="O129" s="41"/>
      <c r="P129" s="41"/>
      <c r="Q129" s="41"/>
      <c r="R129" s="41"/>
      <c r="S129" s="41"/>
      <c r="T129" s="41"/>
      <c r="U129" s="42"/>
      <c r="V129" s="42"/>
      <c r="W129" s="211"/>
      <c r="X129" s="47"/>
      <c r="Y129" s="47"/>
      <c r="Z129" s="212"/>
      <c r="AA129" s="215"/>
      <c r="AB129" s="215"/>
      <c r="AC129" s="215"/>
      <c r="AD129" s="215"/>
      <c r="AE129" s="215"/>
      <c r="AF129" s="215"/>
      <c r="AG129" s="215"/>
      <c r="AH129" s="215"/>
      <c r="AI129" s="215"/>
      <c r="AJ129" s="215"/>
      <c r="AK129" s="213"/>
      <c r="AL129" s="214"/>
    </row>
    <row r="130" spans="2:38" s="47" customFormat="1" ht="43.5" customHeight="1" outlineLevel="1" x14ac:dyDescent="0.2">
      <c r="B130" s="481" t="s">
        <v>1583</v>
      </c>
      <c r="C130" s="1136" t="str">
        <f>'Reference documents'!B27</f>
        <v>GRE.EEC.S.25.XX.S.00000.15.001.00</v>
      </c>
      <c r="D130" s="1151" t="s">
        <v>1119</v>
      </c>
      <c r="E130" s="1152"/>
      <c r="F130" s="1153"/>
      <c r="G130" s="1153"/>
      <c r="H130" s="1157" t="s">
        <v>1120</v>
      </c>
      <c r="I130" s="922" t="s">
        <v>345</v>
      </c>
      <c r="J130" s="43" t="s">
        <v>1461</v>
      </c>
      <c r="K130" s="1423">
        <v>1250</v>
      </c>
      <c r="L130" s="1290">
        <v>0.2091323532923548</v>
      </c>
      <c r="M130" s="1290">
        <v>40</v>
      </c>
      <c r="N130" s="1297">
        <f t="shared" ref="N130:N131" si="79">L130*M130</f>
        <v>8.365294131694192</v>
      </c>
      <c r="O130" s="1290">
        <v>0.15</v>
      </c>
      <c r="P130" s="1290">
        <v>70</v>
      </c>
      <c r="Q130" s="1297">
        <f t="shared" ref="Q130:Q131" si="80">O130*P130</f>
        <v>10.5</v>
      </c>
      <c r="R130" s="1298"/>
      <c r="S130" s="1290">
        <v>5</v>
      </c>
      <c r="T130" s="1298"/>
      <c r="U130" s="1291">
        <f t="shared" ref="U130:U131" si="81">S130+Q130+N130</f>
        <v>23.865294131694192</v>
      </c>
      <c r="V130" s="45">
        <f t="shared" ref="V130:V133" si="82">K130*U130</f>
        <v>29831.617664617741</v>
      </c>
      <c r="W130" s="217" t="s">
        <v>1584</v>
      </c>
      <c r="Z130" s="218"/>
      <c r="AA130" s="221"/>
      <c r="AB130" s="221"/>
      <c r="AC130" s="221"/>
      <c r="AD130" s="221"/>
      <c r="AE130" s="221"/>
      <c r="AF130" s="221"/>
      <c r="AG130" s="221"/>
      <c r="AH130" s="221"/>
      <c r="AI130" s="221"/>
      <c r="AJ130" s="221"/>
      <c r="AK130" s="219"/>
      <c r="AL130" s="220">
        <f>SUMPRODUCT($Z$4:$AK$4,Z130:AK130)</f>
        <v>0</v>
      </c>
    </row>
    <row r="131" spans="2:38" ht="43.5" customHeight="1" outlineLevel="1" x14ac:dyDescent="0.2">
      <c r="B131" s="481" t="s">
        <v>1583</v>
      </c>
      <c r="C131" s="1136" t="str">
        <f>'Reference documents'!B27</f>
        <v>GRE.EEC.S.25.XX.S.00000.15.001.00</v>
      </c>
      <c r="D131" s="1151" t="s">
        <v>1121</v>
      </c>
      <c r="E131" s="1158"/>
      <c r="F131" s="1159"/>
      <c r="G131" s="1159"/>
      <c r="H131" s="1157" t="s">
        <v>1122</v>
      </c>
      <c r="I131" s="922" t="s">
        <v>345</v>
      </c>
      <c r="J131" s="43" t="s">
        <v>1461</v>
      </c>
      <c r="K131" s="44">
        <f t="shared" ref="K131" si="83">AL131</f>
        <v>0</v>
      </c>
      <c r="L131" s="1290"/>
      <c r="M131" s="1290"/>
      <c r="N131" s="1297">
        <f t="shared" si="79"/>
        <v>0</v>
      </c>
      <c r="O131" s="1290"/>
      <c r="P131" s="1290"/>
      <c r="Q131" s="1297">
        <f t="shared" si="80"/>
        <v>0</v>
      </c>
      <c r="R131" s="1298"/>
      <c r="S131" s="1290"/>
      <c r="T131" s="1298"/>
      <c r="U131" s="1291">
        <f t="shared" si="81"/>
        <v>0</v>
      </c>
      <c r="V131" s="45">
        <f t="shared" si="82"/>
        <v>0</v>
      </c>
      <c r="W131" s="217"/>
      <c r="X131" s="47"/>
      <c r="Y131" s="47"/>
      <c r="Z131" s="218"/>
      <c r="AA131" s="221"/>
      <c r="AB131" s="221"/>
      <c r="AC131" s="221"/>
      <c r="AD131" s="221"/>
      <c r="AE131" s="221"/>
      <c r="AF131" s="221"/>
      <c r="AG131" s="221"/>
      <c r="AH131" s="221"/>
      <c r="AI131" s="221"/>
      <c r="AJ131" s="221"/>
      <c r="AK131" s="219"/>
      <c r="AL131" s="220">
        <f>SUMPRODUCT($Z$4:$AK$4,Z131:AK131)</f>
        <v>0</v>
      </c>
    </row>
    <row r="132" spans="2:38" ht="15.75" x14ac:dyDescent="0.2">
      <c r="B132" s="48"/>
      <c r="C132" s="1137"/>
      <c r="D132" s="1160"/>
      <c r="E132" s="1160"/>
      <c r="F132" s="1161"/>
      <c r="G132" s="1161"/>
      <c r="H132" s="1368" t="s">
        <v>1125</v>
      </c>
      <c r="I132" s="1143"/>
      <c r="J132" s="40"/>
      <c r="K132" s="41"/>
      <c r="L132" s="41"/>
      <c r="M132" s="41"/>
      <c r="N132" s="41"/>
      <c r="O132" s="41"/>
      <c r="P132" s="41"/>
      <c r="Q132" s="41"/>
      <c r="R132" s="41"/>
      <c r="S132" s="41"/>
      <c r="T132" s="41"/>
      <c r="U132" s="42"/>
      <c r="V132" s="42"/>
      <c r="W132" s="211"/>
      <c r="X132" s="47"/>
      <c r="Y132" s="47"/>
      <c r="Z132" s="212"/>
      <c r="AA132" s="215"/>
      <c r="AB132" s="215"/>
      <c r="AC132" s="215"/>
      <c r="AD132" s="215"/>
      <c r="AE132" s="215"/>
      <c r="AF132" s="215"/>
      <c r="AG132" s="215"/>
      <c r="AH132" s="215"/>
      <c r="AI132" s="215"/>
      <c r="AJ132" s="215"/>
      <c r="AK132" s="213"/>
      <c r="AL132" s="214"/>
    </row>
    <row r="133" spans="2:38" s="47" customFormat="1" ht="43.5" customHeight="1" outlineLevel="1" x14ac:dyDescent="0.2">
      <c r="B133" s="481" t="s">
        <v>1583</v>
      </c>
      <c r="C133" s="1136" t="str">
        <f>'Reference documents'!B27</f>
        <v>GRE.EEC.S.25.XX.S.00000.15.001.00</v>
      </c>
      <c r="D133" s="1151" t="s">
        <v>1126</v>
      </c>
      <c r="E133" s="1152"/>
      <c r="F133" s="1153"/>
      <c r="G133" s="1153"/>
      <c r="H133" s="1157" t="s">
        <v>1127</v>
      </c>
      <c r="I133" s="168" t="s">
        <v>345</v>
      </c>
      <c r="J133" s="43" t="s">
        <v>1461</v>
      </c>
      <c r="K133" s="44">
        <f t="shared" ref="K133:K149" si="84">AL133</f>
        <v>0</v>
      </c>
      <c r="L133" s="1290"/>
      <c r="M133" s="1290"/>
      <c r="N133" s="1297">
        <f t="shared" ref="N133:N149" si="85">L133*M133</f>
        <v>0</v>
      </c>
      <c r="O133" s="1290"/>
      <c r="P133" s="1290"/>
      <c r="Q133" s="1297">
        <f t="shared" ref="Q133:Q149" si="86">O133*P133</f>
        <v>0</v>
      </c>
      <c r="R133" s="1298"/>
      <c r="S133" s="1290"/>
      <c r="T133" s="1298"/>
      <c r="U133" s="1291">
        <f t="shared" ref="U133:U149" si="87">S133+Q133+N133</f>
        <v>0</v>
      </c>
      <c r="V133" s="45">
        <f t="shared" si="82"/>
        <v>0</v>
      </c>
      <c r="W133" s="217"/>
      <c r="Z133" s="218"/>
      <c r="AA133" s="221"/>
      <c r="AB133" s="221"/>
      <c r="AC133" s="221"/>
      <c r="AD133" s="221"/>
      <c r="AE133" s="221"/>
      <c r="AF133" s="221"/>
      <c r="AG133" s="221"/>
      <c r="AH133" s="221"/>
      <c r="AI133" s="221"/>
      <c r="AJ133" s="221"/>
      <c r="AK133" s="219"/>
      <c r="AL133" s="220">
        <f>SUMPRODUCT($Z$4:$AK$4,Z133:AK133)</f>
        <v>0</v>
      </c>
    </row>
    <row r="134" spans="2:38" s="47" customFormat="1" ht="43.5" customHeight="1" outlineLevel="1" x14ac:dyDescent="0.2">
      <c r="B134" s="481" t="s">
        <v>1583</v>
      </c>
      <c r="C134" s="1136" t="str">
        <f>'Reference documents'!B27</f>
        <v>GRE.EEC.S.25.XX.S.00000.15.001.00</v>
      </c>
      <c r="D134" s="1151" t="s">
        <v>1129</v>
      </c>
      <c r="E134" s="1152"/>
      <c r="F134" s="1153"/>
      <c r="G134" s="1153"/>
      <c r="H134" s="1157" t="s">
        <v>1130</v>
      </c>
      <c r="I134" s="168" t="s">
        <v>345</v>
      </c>
      <c r="J134" s="43" t="s">
        <v>1461</v>
      </c>
      <c r="K134" s="44">
        <f t="shared" si="84"/>
        <v>0</v>
      </c>
      <c r="L134" s="1290"/>
      <c r="M134" s="1290"/>
      <c r="N134" s="1297">
        <f t="shared" si="85"/>
        <v>0</v>
      </c>
      <c r="O134" s="1290"/>
      <c r="P134" s="1290"/>
      <c r="Q134" s="1297">
        <f t="shared" si="86"/>
        <v>0</v>
      </c>
      <c r="R134" s="1298"/>
      <c r="S134" s="1290"/>
      <c r="T134" s="1298"/>
      <c r="U134" s="1291">
        <f t="shared" si="87"/>
        <v>0</v>
      </c>
      <c r="V134" s="45">
        <f t="shared" ref="V134:V149" si="88">K134*U134</f>
        <v>0</v>
      </c>
      <c r="W134" s="217"/>
      <c r="Z134" s="218"/>
      <c r="AA134" s="221"/>
      <c r="AB134" s="221"/>
      <c r="AC134" s="221"/>
      <c r="AD134" s="221"/>
      <c r="AE134" s="221"/>
      <c r="AF134" s="221"/>
      <c r="AG134" s="221"/>
      <c r="AH134" s="221"/>
      <c r="AI134" s="221"/>
      <c r="AJ134" s="221"/>
      <c r="AK134" s="219"/>
      <c r="AL134" s="220"/>
    </row>
    <row r="135" spans="2:38" s="47" customFormat="1" ht="43.5" customHeight="1" outlineLevel="1" x14ac:dyDescent="0.2">
      <c r="B135" s="481" t="s">
        <v>1583</v>
      </c>
      <c r="C135" s="1136" t="str">
        <f>'Reference documents'!B27</f>
        <v>GRE.EEC.S.25.XX.S.00000.15.001.00</v>
      </c>
      <c r="D135" s="1151" t="s">
        <v>1131</v>
      </c>
      <c r="E135" s="1152"/>
      <c r="F135" s="1153"/>
      <c r="G135" s="1153"/>
      <c r="H135" s="1157" t="s">
        <v>1132</v>
      </c>
      <c r="I135" s="168" t="s">
        <v>345</v>
      </c>
      <c r="J135" s="43" t="s">
        <v>1461</v>
      </c>
      <c r="K135" s="44">
        <f t="shared" si="84"/>
        <v>0</v>
      </c>
      <c r="L135" s="1290"/>
      <c r="M135" s="1290"/>
      <c r="N135" s="1297">
        <f t="shared" si="85"/>
        <v>0</v>
      </c>
      <c r="O135" s="1290"/>
      <c r="P135" s="1290"/>
      <c r="Q135" s="1297">
        <f t="shared" si="86"/>
        <v>0</v>
      </c>
      <c r="R135" s="1298"/>
      <c r="S135" s="1290"/>
      <c r="T135" s="1298"/>
      <c r="U135" s="1291">
        <f t="shared" si="87"/>
        <v>0</v>
      </c>
      <c r="V135" s="45">
        <f t="shared" si="88"/>
        <v>0</v>
      </c>
      <c r="W135" s="217"/>
      <c r="Z135" s="218"/>
      <c r="AA135" s="221"/>
      <c r="AB135" s="221"/>
      <c r="AC135" s="221"/>
      <c r="AD135" s="221"/>
      <c r="AE135" s="221"/>
      <c r="AF135" s="221"/>
      <c r="AG135" s="221"/>
      <c r="AH135" s="221"/>
      <c r="AI135" s="221"/>
      <c r="AJ135" s="221"/>
      <c r="AK135" s="219"/>
      <c r="AL135" s="220"/>
    </row>
    <row r="136" spans="2:38" s="47" customFormat="1" ht="43.5" customHeight="1" outlineLevel="1" x14ac:dyDescent="0.2">
      <c r="B136" s="481" t="s">
        <v>1583</v>
      </c>
      <c r="C136" s="1136" t="str">
        <f>'Reference documents'!B27</f>
        <v>GRE.EEC.S.25.XX.S.00000.15.001.00</v>
      </c>
      <c r="D136" s="1151" t="s">
        <v>1133</v>
      </c>
      <c r="E136" s="1152"/>
      <c r="F136" s="1153"/>
      <c r="G136" s="1153"/>
      <c r="H136" s="1157" t="s">
        <v>1134</v>
      </c>
      <c r="I136" s="168" t="s">
        <v>345</v>
      </c>
      <c r="J136" s="43" t="s">
        <v>1461</v>
      </c>
      <c r="K136" s="44">
        <f t="shared" si="84"/>
        <v>0</v>
      </c>
      <c r="L136" s="1290"/>
      <c r="M136" s="1290"/>
      <c r="N136" s="1297">
        <f t="shared" si="85"/>
        <v>0</v>
      </c>
      <c r="O136" s="1290"/>
      <c r="P136" s="1290"/>
      <c r="Q136" s="1297">
        <f t="shared" si="86"/>
        <v>0</v>
      </c>
      <c r="R136" s="1298"/>
      <c r="S136" s="1290"/>
      <c r="T136" s="1298"/>
      <c r="U136" s="1291">
        <f t="shared" si="87"/>
        <v>0</v>
      </c>
      <c r="V136" s="45">
        <f t="shared" si="88"/>
        <v>0</v>
      </c>
      <c r="W136" s="217"/>
      <c r="Z136" s="218"/>
      <c r="AA136" s="221"/>
      <c r="AB136" s="221"/>
      <c r="AC136" s="221"/>
      <c r="AD136" s="221"/>
      <c r="AE136" s="221"/>
      <c r="AF136" s="221"/>
      <c r="AG136" s="221"/>
      <c r="AH136" s="221"/>
      <c r="AI136" s="221"/>
      <c r="AJ136" s="221"/>
      <c r="AK136" s="219"/>
      <c r="AL136" s="220"/>
    </row>
    <row r="137" spans="2:38" s="47" customFormat="1" ht="43.5" customHeight="1" outlineLevel="1" x14ac:dyDescent="0.2">
      <c r="B137" s="481" t="s">
        <v>1583</v>
      </c>
      <c r="C137" s="1136" t="str">
        <f>'Reference documents'!B27</f>
        <v>GRE.EEC.S.25.XX.S.00000.15.001.00</v>
      </c>
      <c r="D137" s="1151" t="s">
        <v>1135</v>
      </c>
      <c r="E137" s="1152"/>
      <c r="F137" s="1153"/>
      <c r="G137" s="1153"/>
      <c r="H137" s="1157" t="s">
        <v>1136</v>
      </c>
      <c r="I137" s="168" t="s">
        <v>345</v>
      </c>
      <c r="J137" s="43" t="s">
        <v>1461</v>
      </c>
      <c r="K137" s="44">
        <f t="shared" si="84"/>
        <v>0</v>
      </c>
      <c r="L137" s="1290"/>
      <c r="M137" s="1290"/>
      <c r="N137" s="1297">
        <f t="shared" si="85"/>
        <v>0</v>
      </c>
      <c r="O137" s="1290"/>
      <c r="P137" s="1290"/>
      <c r="Q137" s="1297">
        <f t="shared" si="86"/>
        <v>0</v>
      </c>
      <c r="R137" s="1298"/>
      <c r="S137" s="1290"/>
      <c r="T137" s="1298"/>
      <c r="U137" s="1291">
        <f t="shared" si="87"/>
        <v>0</v>
      </c>
      <c r="V137" s="45">
        <f t="shared" si="88"/>
        <v>0</v>
      </c>
      <c r="W137" s="217"/>
      <c r="Z137" s="218"/>
      <c r="AA137" s="221"/>
      <c r="AB137" s="221"/>
      <c r="AC137" s="221"/>
      <c r="AD137" s="221"/>
      <c r="AE137" s="221"/>
      <c r="AF137" s="221"/>
      <c r="AG137" s="221"/>
      <c r="AH137" s="221"/>
      <c r="AI137" s="221"/>
      <c r="AJ137" s="221"/>
      <c r="AK137" s="219"/>
      <c r="AL137" s="220"/>
    </row>
    <row r="138" spans="2:38" s="47" customFormat="1" ht="43.5" customHeight="1" outlineLevel="1" x14ac:dyDescent="0.2">
      <c r="B138" s="481" t="s">
        <v>1583</v>
      </c>
      <c r="C138" s="1136" t="str">
        <f>'Reference documents'!B27</f>
        <v>GRE.EEC.S.25.XX.S.00000.15.001.00</v>
      </c>
      <c r="D138" s="1151" t="s">
        <v>1137</v>
      </c>
      <c r="E138" s="1152"/>
      <c r="F138" s="1153"/>
      <c r="G138" s="1153"/>
      <c r="H138" s="1157" t="s">
        <v>1138</v>
      </c>
      <c r="I138" s="168" t="s">
        <v>345</v>
      </c>
      <c r="J138" s="43" t="s">
        <v>1461</v>
      </c>
      <c r="K138" s="44">
        <f t="shared" si="84"/>
        <v>0</v>
      </c>
      <c r="L138" s="1290"/>
      <c r="M138" s="1290"/>
      <c r="N138" s="1297">
        <f t="shared" si="85"/>
        <v>0</v>
      </c>
      <c r="O138" s="1290"/>
      <c r="P138" s="1290"/>
      <c r="Q138" s="1297">
        <f t="shared" si="86"/>
        <v>0</v>
      </c>
      <c r="R138" s="1298"/>
      <c r="S138" s="1290"/>
      <c r="T138" s="1298"/>
      <c r="U138" s="1291">
        <f t="shared" si="87"/>
        <v>0</v>
      </c>
      <c r="V138" s="45">
        <f t="shared" si="88"/>
        <v>0</v>
      </c>
      <c r="W138" s="217"/>
      <c r="Z138" s="218"/>
      <c r="AA138" s="221"/>
      <c r="AB138" s="221"/>
      <c r="AC138" s="221"/>
      <c r="AD138" s="221"/>
      <c r="AE138" s="221"/>
      <c r="AF138" s="221"/>
      <c r="AG138" s="221"/>
      <c r="AH138" s="221"/>
      <c r="AI138" s="221"/>
      <c r="AJ138" s="221"/>
      <c r="AK138" s="219"/>
      <c r="AL138" s="220"/>
    </row>
    <row r="139" spans="2:38" s="47" customFormat="1" ht="43.5" customHeight="1" outlineLevel="1" x14ac:dyDescent="0.2">
      <c r="B139" s="481" t="s">
        <v>1583</v>
      </c>
      <c r="C139" s="1136" t="str">
        <f>'Reference documents'!B27</f>
        <v>GRE.EEC.S.25.XX.S.00000.15.001.00</v>
      </c>
      <c r="D139" s="1151" t="s">
        <v>1139</v>
      </c>
      <c r="E139" s="1152"/>
      <c r="F139" s="1153"/>
      <c r="G139" s="1153"/>
      <c r="H139" s="1157" t="s">
        <v>1140</v>
      </c>
      <c r="I139" s="168" t="s">
        <v>345</v>
      </c>
      <c r="J139" s="43" t="s">
        <v>1461</v>
      </c>
      <c r="K139" s="44">
        <f t="shared" si="84"/>
        <v>0</v>
      </c>
      <c r="L139" s="1290"/>
      <c r="M139" s="1290"/>
      <c r="N139" s="1297">
        <f t="shared" si="85"/>
        <v>0</v>
      </c>
      <c r="O139" s="1290"/>
      <c r="P139" s="1290"/>
      <c r="Q139" s="1297">
        <f t="shared" si="86"/>
        <v>0</v>
      </c>
      <c r="R139" s="1298"/>
      <c r="S139" s="1290"/>
      <c r="T139" s="1298"/>
      <c r="U139" s="1291">
        <f t="shared" si="87"/>
        <v>0</v>
      </c>
      <c r="V139" s="45">
        <f t="shared" si="88"/>
        <v>0</v>
      </c>
      <c r="W139" s="217"/>
      <c r="Z139" s="218"/>
      <c r="AA139" s="221"/>
      <c r="AB139" s="221"/>
      <c r="AC139" s="221"/>
      <c r="AD139" s="221"/>
      <c r="AE139" s="221"/>
      <c r="AF139" s="221"/>
      <c r="AG139" s="221"/>
      <c r="AH139" s="221"/>
      <c r="AI139" s="221"/>
      <c r="AJ139" s="221"/>
      <c r="AK139" s="219"/>
      <c r="AL139" s="220"/>
    </row>
    <row r="140" spans="2:38" s="47" customFormat="1" ht="43.5" customHeight="1" outlineLevel="1" x14ac:dyDescent="0.2">
      <c r="B140" s="481" t="s">
        <v>1583</v>
      </c>
      <c r="C140" s="1136" t="str">
        <f>'Reference documents'!B27</f>
        <v>GRE.EEC.S.25.XX.S.00000.15.001.00</v>
      </c>
      <c r="D140" s="1151" t="s">
        <v>1141</v>
      </c>
      <c r="E140" s="1152"/>
      <c r="F140" s="1153"/>
      <c r="G140" s="1153"/>
      <c r="H140" s="1157" t="s">
        <v>1142</v>
      </c>
      <c r="I140" s="168" t="s">
        <v>345</v>
      </c>
      <c r="J140" s="43" t="s">
        <v>1461</v>
      </c>
      <c r="K140" s="44">
        <f t="shared" si="84"/>
        <v>0</v>
      </c>
      <c r="L140" s="1290"/>
      <c r="M140" s="1290"/>
      <c r="N140" s="1297">
        <f t="shared" si="85"/>
        <v>0</v>
      </c>
      <c r="O140" s="1290"/>
      <c r="P140" s="1290"/>
      <c r="Q140" s="1297">
        <f t="shared" si="86"/>
        <v>0</v>
      </c>
      <c r="R140" s="1298"/>
      <c r="S140" s="1290"/>
      <c r="T140" s="1298"/>
      <c r="U140" s="1291">
        <f t="shared" si="87"/>
        <v>0</v>
      </c>
      <c r="V140" s="45">
        <f t="shared" si="88"/>
        <v>0</v>
      </c>
      <c r="W140" s="217"/>
      <c r="Z140" s="218"/>
      <c r="AA140" s="221"/>
      <c r="AB140" s="221"/>
      <c r="AC140" s="221"/>
      <c r="AD140" s="221"/>
      <c r="AE140" s="221"/>
      <c r="AF140" s="221"/>
      <c r="AG140" s="221"/>
      <c r="AH140" s="221"/>
      <c r="AI140" s="221"/>
      <c r="AJ140" s="221"/>
      <c r="AK140" s="219"/>
      <c r="AL140" s="220"/>
    </row>
    <row r="141" spans="2:38" s="47" customFormat="1" ht="43.5" customHeight="1" outlineLevel="1" x14ac:dyDescent="0.2">
      <c r="B141" s="481" t="s">
        <v>1583</v>
      </c>
      <c r="C141" s="1136" t="str">
        <f>'Reference documents'!B27</f>
        <v>GRE.EEC.S.25.XX.S.00000.15.001.00</v>
      </c>
      <c r="D141" s="1151" t="s">
        <v>1143</v>
      </c>
      <c r="E141" s="1152"/>
      <c r="F141" s="1153"/>
      <c r="G141" s="1153"/>
      <c r="H141" s="1157" t="s">
        <v>1144</v>
      </c>
      <c r="I141" s="168" t="s">
        <v>345</v>
      </c>
      <c r="J141" s="43" t="s">
        <v>1461</v>
      </c>
      <c r="K141" s="44">
        <f t="shared" si="84"/>
        <v>0</v>
      </c>
      <c r="L141" s="1290"/>
      <c r="M141" s="1290"/>
      <c r="N141" s="1297">
        <f t="shared" si="85"/>
        <v>0</v>
      </c>
      <c r="O141" s="1290"/>
      <c r="P141" s="1290"/>
      <c r="Q141" s="1297">
        <f t="shared" si="86"/>
        <v>0</v>
      </c>
      <c r="R141" s="1298"/>
      <c r="S141" s="1290"/>
      <c r="T141" s="1298"/>
      <c r="U141" s="1291">
        <f t="shared" si="87"/>
        <v>0</v>
      </c>
      <c r="V141" s="45">
        <f t="shared" si="88"/>
        <v>0</v>
      </c>
      <c r="W141" s="217"/>
      <c r="Z141" s="218"/>
      <c r="AA141" s="221"/>
      <c r="AB141" s="221"/>
      <c r="AC141" s="221"/>
      <c r="AD141" s="221"/>
      <c r="AE141" s="221"/>
      <c r="AF141" s="221"/>
      <c r="AG141" s="221"/>
      <c r="AH141" s="221"/>
      <c r="AI141" s="221"/>
      <c r="AJ141" s="221"/>
      <c r="AK141" s="219"/>
      <c r="AL141" s="220"/>
    </row>
    <row r="142" spans="2:38" s="47" customFormat="1" ht="43.5" customHeight="1" outlineLevel="1" x14ac:dyDescent="0.2">
      <c r="B142" s="481" t="s">
        <v>1583</v>
      </c>
      <c r="C142" s="1136" t="str">
        <f>'Reference documents'!B27</f>
        <v>GRE.EEC.S.25.XX.S.00000.15.001.00</v>
      </c>
      <c r="D142" s="1151" t="s">
        <v>1145</v>
      </c>
      <c r="E142" s="1152"/>
      <c r="F142" s="1153"/>
      <c r="G142" s="1153"/>
      <c r="H142" s="1157" t="s">
        <v>1146</v>
      </c>
      <c r="I142" s="168" t="s">
        <v>345</v>
      </c>
      <c r="J142" s="43" t="s">
        <v>1461</v>
      </c>
      <c r="K142" s="44">
        <f t="shared" si="84"/>
        <v>0</v>
      </c>
      <c r="L142" s="1290"/>
      <c r="M142" s="1290"/>
      <c r="N142" s="1297">
        <f t="shared" si="85"/>
        <v>0</v>
      </c>
      <c r="O142" s="1290"/>
      <c r="P142" s="1290"/>
      <c r="Q142" s="1297">
        <f t="shared" si="86"/>
        <v>0</v>
      </c>
      <c r="R142" s="1298"/>
      <c r="S142" s="1290"/>
      <c r="T142" s="1298"/>
      <c r="U142" s="1291">
        <f t="shared" si="87"/>
        <v>0</v>
      </c>
      <c r="V142" s="45">
        <f t="shared" si="88"/>
        <v>0</v>
      </c>
      <c r="W142" s="217"/>
      <c r="Z142" s="218"/>
      <c r="AA142" s="221"/>
      <c r="AB142" s="221"/>
      <c r="AC142" s="221"/>
      <c r="AD142" s="221"/>
      <c r="AE142" s="221"/>
      <c r="AF142" s="221"/>
      <c r="AG142" s="221"/>
      <c r="AH142" s="221"/>
      <c r="AI142" s="221"/>
      <c r="AJ142" s="221"/>
      <c r="AK142" s="219"/>
      <c r="AL142" s="220"/>
    </row>
    <row r="143" spans="2:38" s="47" customFormat="1" ht="43.5" customHeight="1" outlineLevel="1" x14ac:dyDescent="0.2">
      <c r="B143" s="481" t="s">
        <v>1583</v>
      </c>
      <c r="C143" s="1136" t="str">
        <f>'Reference documents'!B27</f>
        <v>GRE.EEC.S.25.XX.S.00000.15.001.00</v>
      </c>
      <c r="D143" s="1151" t="s">
        <v>1147</v>
      </c>
      <c r="E143" s="1152"/>
      <c r="F143" s="1153"/>
      <c r="G143" s="1153"/>
      <c r="H143" s="1157" t="s">
        <v>1148</v>
      </c>
      <c r="I143" s="168" t="s">
        <v>345</v>
      </c>
      <c r="J143" s="43" t="s">
        <v>1461</v>
      </c>
      <c r="K143" s="44">
        <f t="shared" si="84"/>
        <v>0</v>
      </c>
      <c r="L143" s="1290"/>
      <c r="M143" s="1290"/>
      <c r="N143" s="1297">
        <f t="shared" si="85"/>
        <v>0</v>
      </c>
      <c r="O143" s="1290"/>
      <c r="P143" s="1290"/>
      <c r="Q143" s="1297">
        <f t="shared" si="86"/>
        <v>0</v>
      </c>
      <c r="R143" s="1298"/>
      <c r="S143" s="1290"/>
      <c r="T143" s="1298"/>
      <c r="U143" s="1291">
        <f t="shared" si="87"/>
        <v>0</v>
      </c>
      <c r="V143" s="45">
        <f t="shared" si="88"/>
        <v>0</v>
      </c>
      <c r="W143" s="217"/>
      <c r="Z143" s="218"/>
      <c r="AA143" s="221"/>
      <c r="AB143" s="221"/>
      <c r="AC143" s="221"/>
      <c r="AD143" s="221"/>
      <c r="AE143" s="221"/>
      <c r="AF143" s="221"/>
      <c r="AG143" s="221"/>
      <c r="AH143" s="221"/>
      <c r="AI143" s="221"/>
      <c r="AJ143" s="221"/>
      <c r="AK143" s="219"/>
      <c r="AL143" s="220"/>
    </row>
    <row r="144" spans="2:38" s="47" customFormat="1" ht="43.5" customHeight="1" outlineLevel="1" x14ac:dyDescent="0.2">
      <c r="B144" s="481" t="s">
        <v>1583</v>
      </c>
      <c r="C144" s="1136" t="str">
        <f>'Reference documents'!B27</f>
        <v>GRE.EEC.S.25.XX.S.00000.15.001.00</v>
      </c>
      <c r="D144" s="1151" t="s">
        <v>1149</v>
      </c>
      <c r="E144" s="1152"/>
      <c r="F144" s="1153"/>
      <c r="G144" s="1153"/>
      <c r="H144" s="1157" t="s">
        <v>1150</v>
      </c>
      <c r="I144" s="168" t="s">
        <v>345</v>
      </c>
      <c r="J144" s="43" t="s">
        <v>1461</v>
      </c>
      <c r="K144" s="44">
        <f t="shared" si="84"/>
        <v>0</v>
      </c>
      <c r="L144" s="1290"/>
      <c r="M144" s="1290"/>
      <c r="N144" s="1297">
        <f t="shared" si="85"/>
        <v>0</v>
      </c>
      <c r="O144" s="1290"/>
      <c r="P144" s="1290"/>
      <c r="Q144" s="1297">
        <f t="shared" si="86"/>
        <v>0</v>
      </c>
      <c r="R144" s="1298"/>
      <c r="S144" s="1290"/>
      <c r="T144" s="1298"/>
      <c r="U144" s="1291">
        <f t="shared" si="87"/>
        <v>0</v>
      </c>
      <c r="V144" s="45">
        <f t="shared" si="88"/>
        <v>0</v>
      </c>
      <c r="W144" s="217"/>
      <c r="Z144" s="218"/>
      <c r="AA144" s="221"/>
      <c r="AB144" s="221"/>
      <c r="AC144" s="221"/>
      <c r="AD144" s="221"/>
      <c r="AE144" s="221"/>
      <c r="AF144" s="221"/>
      <c r="AG144" s="221"/>
      <c r="AH144" s="221"/>
      <c r="AI144" s="221"/>
      <c r="AJ144" s="221"/>
      <c r="AK144" s="219"/>
      <c r="AL144" s="220"/>
    </row>
    <row r="145" spans="2:38" s="47" customFormat="1" ht="43.5" customHeight="1" outlineLevel="1" x14ac:dyDescent="0.2">
      <c r="B145" s="481" t="s">
        <v>1583</v>
      </c>
      <c r="C145" s="1136" t="str">
        <f>'Reference documents'!B27</f>
        <v>GRE.EEC.S.25.XX.S.00000.15.001.00</v>
      </c>
      <c r="D145" s="1151" t="s">
        <v>1151</v>
      </c>
      <c r="E145" s="1152"/>
      <c r="F145" s="1153"/>
      <c r="G145" s="1153"/>
      <c r="H145" s="1157" t="s">
        <v>1152</v>
      </c>
      <c r="I145" s="168" t="s">
        <v>345</v>
      </c>
      <c r="J145" s="43" t="s">
        <v>1461</v>
      </c>
      <c r="K145" s="44">
        <f t="shared" si="84"/>
        <v>0</v>
      </c>
      <c r="L145" s="1290"/>
      <c r="M145" s="1290"/>
      <c r="N145" s="1297">
        <f t="shared" si="85"/>
        <v>0</v>
      </c>
      <c r="O145" s="1290"/>
      <c r="P145" s="1290"/>
      <c r="Q145" s="1297">
        <f t="shared" si="86"/>
        <v>0</v>
      </c>
      <c r="R145" s="1298"/>
      <c r="S145" s="1290"/>
      <c r="T145" s="1298"/>
      <c r="U145" s="1291">
        <f t="shared" si="87"/>
        <v>0</v>
      </c>
      <c r="V145" s="45">
        <f t="shared" si="88"/>
        <v>0</v>
      </c>
      <c r="W145" s="217"/>
      <c r="Z145" s="218"/>
      <c r="AA145" s="221"/>
      <c r="AB145" s="221"/>
      <c r="AC145" s="221"/>
      <c r="AD145" s="221"/>
      <c r="AE145" s="221"/>
      <c r="AF145" s="221"/>
      <c r="AG145" s="221"/>
      <c r="AH145" s="221"/>
      <c r="AI145" s="221"/>
      <c r="AJ145" s="221"/>
      <c r="AK145" s="219"/>
      <c r="AL145" s="220"/>
    </row>
    <row r="146" spans="2:38" s="47" customFormat="1" ht="43.5" customHeight="1" outlineLevel="1" x14ac:dyDescent="0.2">
      <c r="B146" s="481" t="s">
        <v>1583</v>
      </c>
      <c r="C146" s="1136" t="str">
        <f>'Reference documents'!B27</f>
        <v>GRE.EEC.S.25.XX.S.00000.15.001.00</v>
      </c>
      <c r="D146" s="1151" t="s">
        <v>1153</v>
      </c>
      <c r="E146" s="1152"/>
      <c r="F146" s="1153"/>
      <c r="G146" s="1153"/>
      <c r="H146" s="1157" t="s">
        <v>1154</v>
      </c>
      <c r="I146" s="168" t="s">
        <v>345</v>
      </c>
      <c r="J146" s="43" t="s">
        <v>1461</v>
      </c>
      <c r="K146" s="44">
        <f t="shared" si="84"/>
        <v>0</v>
      </c>
      <c r="L146" s="1290"/>
      <c r="M146" s="1290"/>
      <c r="N146" s="1297">
        <f t="shared" si="85"/>
        <v>0</v>
      </c>
      <c r="O146" s="1290"/>
      <c r="P146" s="1290"/>
      <c r="Q146" s="1297">
        <f t="shared" si="86"/>
        <v>0</v>
      </c>
      <c r="R146" s="1298"/>
      <c r="S146" s="1290"/>
      <c r="T146" s="1298"/>
      <c r="U146" s="1291">
        <f t="shared" si="87"/>
        <v>0</v>
      </c>
      <c r="V146" s="45">
        <f t="shared" si="88"/>
        <v>0</v>
      </c>
      <c r="W146" s="217"/>
      <c r="Z146" s="218"/>
      <c r="AA146" s="221"/>
      <c r="AB146" s="221"/>
      <c r="AC146" s="221"/>
      <c r="AD146" s="221"/>
      <c r="AE146" s="221"/>
      <c r="AF146" s="221"/>
      <c r="AG146" s="221"/>
      <c r="AH146" s="221"/>
      <c r="AI146" s="221"/>
      <c r="AJ146" s="221"/>
      <c r="AK146" s="219"/>
      <c r="AL146" s="220"/>
    </row>
    <row r="147" spans="2:38" s="47" customFormat="1" ht="43.5" customHeight="1" outlineLevel="1" x14ac:dyDescent="0.2">
      <c r="B147" s="481" t="s">
        <v>1583</v>
      </c>
      <c r="C147" s="1136" t="str">
        <f>'Reference documents'!B27</f>
        <v>GRE.EEC.S.25.XX.S.00000.15.001.00</v>
      </c>
      <c r="D147" s="1151" t="s">
        <v>1155</v>
      </c>
      <c r="E147" s="1152"/>
      <c r="F147" s="1153"/>
      <c r="G147" s="1153"/>
      <c r="H147" s="1157" t="s">
        <v>1156</v>
      </c>
      <c r="I147" s="168" t="s">
        <v>345</v>
      </c>
      <c r="J147" s="43" t="s">
        <v>1461</v>
      </c>
      <c r="K147" s="44">
        <f t="shared" si="84"/>
        <v>0</v>
      </c>
      <c r="L147" s="1290"/>
      <c r="M147" s="1290"/>
      <c r="N147" s="1297">
        <f t="shared" si="85"/>
        <v>0</v>
      </c>
      <c r="O147" s="1290"/>
      <c r="P147" s="1290"/>
      <c r="Q147" s="1297">
        <f t="shared" si="86"/>
        <v>0</v>
      </c>
      <c r="R147" s="1298"/>
      <c r="S147" s="1290"/>
      <c r="T147" s="1298"/>
      <c r="U147" s="1291">
        <f t="shared" si="87"/>
        <v>0</v>
      </c>
      <c r="V147" s="45">
        <f t="shared" si="88"/>
        <v>0</v>
      </c>
      <c r="W147" s="217"/>
      <c r="Z147" s="218"/>
      <c r="AA147" s="221"/>
      <c r="AB147" s="221"/>
      <c r="AC147" s="221"/>
      <c r="AD147" s="221"/>
      <c r="AE147" s="221"/>
      <c r="AF147" s="221"/>
      <c r="AG147" s="221"/>
      <c r="AH147" s="221"/>
      <c r="AI147" s="221"/>
      <c r="AJ147" s="221"/>
      <c r="AK147" s="219"/>
      <c r="AL147" s="220"/>
    </row>
    <row r="148" spans="2:38" s="47" customFormat="1" ht="43.5" customHeight="1" outlineLevel="1" x14ac:dyDescent="0.2">
      <c r="B148" s="481" t="s">
        <v>1583</v>
      </c>
      <c r="C148" s="1136" t="str">
        <f>'Reference documents'!B27</f>
        <v>GRE.EEC.S.25.XX.S.00000.15.001.00</v>
      </c>
      <c r="D148" s="1151" t="s">
        <v>1157</v>
      </c>
      <c r="E148" s="1152"/>
      <c r="F148" s="1153"/>
      <c r="G148" s="1153"/>
      <c r="H148" s="1157" t="s">
        <v>1158</v>
      </c>
      <c r="I148" s="168" t="s">
        <v>345</v>
      </c>
      <c r="J148" s="43" t="s">
        <v>1461</v>
      </c>
      <c r="K148" s="44">
        <f t="shared" si="84"/>
        <v>0</v>
      </c>
      <c r="L148" s="1290"/>
      <c r="M148" s="1290"/>
      <c r="N148" s="1297">
        <f t="shared" si="85"/>
        <v>0</v>
      </c>
      <c r="O148" s="1290"/>
      <c r="P148" s="1290"/>
      <c r="Q148" s="1297">
        <f t="shared" si="86"/>
        <v>0</v>
      </c>
      <c r="R148" s="1298"/>
      <c r="S148" s="1290"/>
      <c r="T148" s="1298"/>
      <c r="U148" s="1291">
        <f t="shared" si="87"/>
        <v>0</v>
      </c>
      <c r="V148" s="45">
        <f t="shared" si="88"/>
        <v>0</v>
      </c>
      <c r="W148" s="217"/>
      <c r="Z148" s="218"/>
      <c r="AA148" s="221"/>
      <c r="AB148" s="221"/>
      <c r="AC148" s="221"/>
      <c r="AD148" s="221"/>
      <c r="AE148" s="221"/>
      <c r="AF148" s="221"/>
      <c r="AG148" s="221"/>
      <c r="AH148" s="221"/>
      <c r="AI148" s="221"/>
      <c r="AJ148" s="221"/>
      <c r="AK148" s="219"/>
      <c r="AL148" s="220"/>
    </row>
    <row r="149" spans="2:38" s="47" customFormat="1" ht="43.5" customHeight="1" outlineLevel="1" x14ac:dyDescent="0.2">
      <c r="B149" s="481" t="s">
        <v>1583</v>
      </c>
      <c r="C149" s="1136" t="str">
        <f>'Reference documents'!B27</f>
        <v>GRE.EEC.S.25.XX.S.00000.15.001.00</v>
      </c>
      <c r="D149" s="1151" t="s">
        <v>1159</v>
      </c>
      <c r="E149" s="1152"/>
      <c r="F149" s="1153"/>
      <c r="G149" s="1153"/>
      <c r="H149" s="1157" t="s">
        <v>1160</v>
      </c>
      <c r="I149" s="168" t="s">
        <v>345</v>
      </c>
      <c r="J149" s="43" t="s">
        <v>1461</v>
      </c>
      <c r="K149" s="44">
        <f t="shared" si="84"/>
        <v>0</v>
      </c>
      <c r="L149" s="1290"/>
      <c r="M149" s="1290"/>
      <c r="N149" s="1297">
        <f t="shared" si="85"/>
        <v>0</v>
      </c>
      <c r="O149" s="1290"/>
      <c r="P149" s="1290"/>
      <c r="Q149" s="1297">
        <f t="shared" si="86"/>
        <v>0</v>
      </c>
      <c r="R149" s="1298"/>
      <c r="S149" s="1290"/>
      <c r="T149" s="1298"/>
      <c r="U149" s="1291">
        <f t="shared" si="87"/>
        <v>0</v>
      </c>
      <c r="V149" s="45">
        <f t="shared" si="88"/>
        <v>0</v>
      </c>
      <c r="W149" s="217"/>
      <c r="Z149" s="218"/>
      <c r="AA149" s="221"/>
      <c r="AB149" s="221"/>
      <c r="AC149" s="221"/>
      <c r="AD149" s="221"/>
      <c r="AE149" s="221"/>
      <c r="AF149" s="221"/>
      <c r="AG149" s="221"/>
      <c r="AH149" s="221"/>
      <c r="AI149" s="221"/>
      <c r="AJ149" s="221"/>
      <c r="AK149" s="219"/>
      <c r="AL149" s="220"/>
    </row>
    <row r="150" spans="2:38" ht="15.75" x14ac:dyDescent="0.2">
      <c r="B150" s="48"/>
      <c r="C150" s="1137"/>
      <c r="D150" s="1160"/>
      <c r="E150" s="1160"/>
      <c r="F150" s="1161"/>
      <c r="G150" s="1161"/>
      <c r="H150" s="1368" t="s">
        <v>1163</v>
      </c>
      <c r="I150" s="1143"/>
      <c r="J150" s="40"/>
      <c r="K150" s="41"/>
      <c r="L150" s="41"/>
      <c r="M150" s="41"/>
      <c r="N150" s="41"/>
      <c r="O150" s="41"/>
      <c r="P150" s="41"/>
      <c r="Q150" s="41"/>
      <c r="R150" s="41"/>
      <c r="S150" s="41"/>
      <c r="T150" s="41"/>
      <c r="U150" s="42"/>
      <c r="V150" s="42"/>
      <c r="W150" s="217"/>
      <c r="X150" s="47"/>
      <c r="Y150" s="47"/>
      <c r="Z150" s="218"/>
      <c r="AA150" s="221"/>
      <c r="AB150" s="221"/>
      <c r="AC150" s="221"/>
      <c r="AD150" s="221"/>
      <c r="AE150" s="221"/>
      <c r="AF150" s="221"/>
      <c r="AG150" s="221"/>
      <c r="AH150" s="221"/>
      <c r="AI150" s="221"/>
      <c r="AJ150" s="221"/>
      <c r="AK150" s="219"/>
      <c r="AL150" s="220"/>
    </row>
    <row r="151" spans="2:38" s="47" customFormat="1" ht="43.5" customHeight="1" outlineLevel="1" x14ac:dyDescent="0.2">
      <c r="B151" s="481" t="s">
        <v>1583</v>
      </c>
      <c r="C151" s="1136" t="str">
        <f>'Reference documents'!B27</f>
        <v>GRE.EEC.S.25.XX.S.00000.15.001.00</v>
      </c>
      <c r="D151" s="1151" t="s">
        <v>1164</v>
      </c>
      <c r="E151" s="1152"/>
      <c r="F151" s="1153"/>
      <c r="G151" s="1153"/>
      <c r="H151" s="1157" t="s">
        <v>1165</v>
      </c>
      <c r="I151" s="168" t="s">
        <v>345</v>
      </c>
      <c r="J151" s="43" t="s">
        <v>1461</v>
      </c>
      <c r="K151" s="1423">
        <v>780</v>
      </c>
      <c r="L151" s="1290">
        <v>0.40942167259627438</v>
      </c>
      <c r="M151" s="1290">
        <v>40</v>
      </c>
      <c r="N151" s="1297">
        <f t="shared" ref="N151:N156" si="89">L151*M151</f>
        <v>16.376866903850974</v>
      </c>
      <c r="O151" s="1290">
        <v>0.2</v>
      </c>
      <c r="P151" s="1290">
        <v>70</v>
      </c>
      <c r="Q151" s="1297">
        <f t="shared" ref="Q151:Q156" si="90">O151*P151</f>
        <v>14</v>
      </c>
      <c r="R151" s="1298"/>
      <c r="S151" s="1290">
        <v>20</v>
      </c>
      <c r="T151" s="1298"/>
      <c r="U151" s="1291">
        <f t="shared" ref="U151:U152" si="91">S151+Q151+N151</f>
        <v>50.376866903850974</v>
      </c>
      <c r="V151" s="45">
        <f t="shared" ref="V151:V156" si="92">K151*U151</f>
        <v>39293.956185003757</v>
      </c>
      <c r="W151" s="217"/>
      <c r="Z151" s="218"/>
      <c r="AA151" s="221"/>
      <c r="AB151" s="221"/>
      <c r="AC151" s="221"/>
      <c r="AD151" s="221"/>
      <c r="AE151" s="221"/>
      <c r="AF151" s="221"/>
      <c r="AG151" s="221"/>
      <c r="AH151" s="221"/>
      <c r="AI151" s="221"/>
      <c r="AJ151" s="221"/>
      <c r="AK151" s="219"/>
      <c r="AL151" s="220"/>
    </row>
    <row r="152" spans="2:38" s="47" customFormat="1" ht="43.5" customHeight="1" outlineLevel="1" x14ac:dyDescent="0.2">
      <c r="B152" s="481" t="s">
        <v>1583</v>
      </c>
      <c r="C152" s="1136" t="str">
        <f>'Reference documents'!B27</f>
        <v>GRE.EEC.S.25.XX.S.00000.15.001.00</v>
      </c>
      <c r="D152" s="1151" t="s">
        <v>1166</v>
      </c>
      <c r="E152" s="1152"/>
      <c r="F152" s="1153"/>
      <c r="G152" s="1153"/>
      <c r="H152" s="1157" t="s">
        <v>1167</v>
      </c>
      <c r="I152" s="168" t="s">
        <v>345</v>
      </c>
      <c r="J152" s="43" t="s">
        <v>1461</v>
      </c>
      <c r="K152" s="44">
        <f t="shared" ref="K152:K156" si="93">AL152</f>
        <v>0</v>
      </c>
      <c r="L152" s="1290"/>
      <c r="M152" s="1290"/>
      <c r="N152" s="1297">
        <f t="shared" si="89"/>
        <v>0</v>
      </c>
      <c r="O152" s="1290"/>
      <c r="P152" s="1290"/>
      <c r="Q152" s="1297">
        <f t="shared" si="90"/>
        <v>0</v>
      </c>
      <c r="R152" s="1298"/>
      <c r="S152" s="1290"/>
      <c r="T152" s="1298"/>
      <c r="U152" s="1291">
        <f t="shared" si="91"/>
        <v>0</v>
      </c>
      <c r="V152" s="45">
        <f t="shared" si="92"/>
        <v>0</v>
      </c>
      <c r="W152" s="217"/>
      <c r="Z152" s="218"/>
      <c r="AA152" s="221"/>
      <c r="AB152" s="221"/>
      <c r="AC152" s="221"/>
      <c r="AD152" s="221"/>
      <c r="AE152" s="221"/>
      <c r="AF152" s="221"/>
      <c r="AG152" s="221"/>
      <c r="AH152" s="221"/>
      <c r="AI152" s="221"/>
      <c r="AJ152" s="221"/>
      <c r="AK152" s="219"/>
      <c r="AL152" s="220"/>
    </row>
    <row r="153" spans="2:38" s="47" customFormat="1" ht="43.5" customHeight="1" outlineLevel="1" x14ac:dyDescent="0.2">
      <c r="B153" s="481" t="s">
        <v>1583</v>
      </c>
      <c r="C153" s="1136" t="str">
        <f>'Reference documents'!B27</f>
        <v>GRE.EEC.S.25.XX.S.00000.15.001.00</v>
      </c>
      <c r="D153" s="1151" t="s">
        <v>1168</v>
      </c>
      <c r="E153" s="1152"/>
      <c r="F153" s="1153"/>
      <c r="G153" s="1153"/>
      <c r="H153" s="1157" t="s">
        <v>1169</v>
      </c>
      <c r="I153" s="168" t="s">
        <v>345</v>
      </c>
      <c r="J153" s="43" t="s">
        <v>1461</v>
      </c>
      <c r="K153" s="44">
        <f t="shared" si="93"/>
        <v>0</v>
      </c>
      <c r="L153" s="1290"/>
      <c r="M153" s="1290"/>
      <c r="N153" s="1297">
        <f t="shared" si="89"/>
        <v>0</v>
      </c>
      <c r="O153" s="1290"/>
      <c r="P153" s="1290"/>
      <c r="Q153" s="1297">
        <f t="shared" si="90"/>
        <v>0</v>
      </c>
      <c r="R153" s="1298"/>
      <c r="S153" s="1290"/>
      <c r="T153" s="1298"/>
      <c r="U153" s="1291">
        <f t="shared" ref="U153:U156" si="94">S153+Q153+N153</f>
        <v>0</v>
      </c>
      <c r="V153" s="45">
        <f t="shared" si="92"/>
        <v>0</v>
      </c>
      <c r="W153" s="217"/>
      <c r="Z153" s="218"/>
      <c r="AA153" s="221"/>
      <c r="AB153" s="221"/>
      <c r="AC153" s="221"/>
      <c r="AD153" s="221"/>
      <c r="AE153" s="221"/>
      <c r="AF153" s="221"/>
      <c r="AG153" s="221"/>
      <c r="AH153" s="221"/>
      <c r="AI153" s="221"/>
      <c r="AJ153" s="221"/>
      <c r="AK153" s="219"/>
      <c r="AL153" s="220"/>
    </row>
    <row r="154" spans="2:38" s="47" customFormat="1" ht="43.5" customHeight="1" outlineLevel="1" x14ac:dyDescent="0.2">
      <c r="B154" s="481" t="s">
        <v>1583</v>
      </c>
      <c r="C154" s="1136" t="str">
        <f>'Reference documents'!B27</f>
        <v>GRE.EEC.S.25.XX.S.00000.15.001.00</v>
      </c>
      <c r="D154" s="1151" t="s">
        <v>1170</v>
      </c>
      <c r="E154" s="1152"/>
      <c r="F154" s="1153"/>
      <c r="G154" s="1153"/>
      <c r="H154" s="1157" t="s">
        <v>1171</v>
      </c>
      <c r="I154" s="168" t="s">
        <v>345</v>
      </c>
      <c r="J154" s="43" t="s">
        <v>1461</v>
      </c>
      <c r="K154" s="44">
        <f t="shared" si="93"/>
        <v>0</v>
      </c>
      <c r="L154" s="1290"/>
      <c r="M154" s="1290"/>
      <c r="N154" s="1297">
        <f t="shared" si="89"/>
        <v>0</v>
      </c>
      <c r="O154" s="1290"/>
      <c r="P154" s="1290"/>
      <c r="Q154" s="1297">
        <f t="shared" si="90"/>
        <v>0</v>
      </c>
      <c r="R154" s="1298"/>
      <c r="S154" s="1290"/>
      <c r="T154" s="1298"/>
      <c r="U154" s="1291">
        <f t="shared" si="94"/>
        <v>0</v>
      </c>
      <c r="V154" s="45">
        <f t="shared" si="92"/>
        <v>0</v>
      </c>
      <c r="W154" s="217"/>
      <c r="Z154" s="218"/>
      <c r="AA154" s="221"/>
      <c r="AB154" s="221"/>
      <c r="AC154" s="221"/>
      <c r="AD154" s="221"/>
      <c r="AE154" s="221"/>
      <c r="AF154" s="221"/>
      <c r="AG154" s="221"/>
      <c r="AH154" s="221"/>
      <c r="AI154" s="221"/>
      <c r="AJ154" s="221"/>
      <c r="AK154" s="219"/>
      <c r="AL154" s="220"/>
    </row>
    <row r="155" spans="2:38" s="47" customFormat="1" ht="43.5" customHeight="1" outlineLevel="1" x14ac:dyDescent="0.2">
      <c r="B155" s="481" t="s">
        <v>1583</v>
      </c>
      <c r="C155" s="1136" t="str">
        <f>'Reference documents'!B27</f>
        <v>GRE.EEC.S.25.XX.S.00000.15.001.00</v>
      </c>
      <c r="D155" s="1151" t="s">
        <v>1172</v>
      </c>
      <c r="E155" s="1152"/>
      <c r="F155" s="1153"/>
      <c r="G155" s="1153"/>
      <c r="H155" s="1157" t="s">
        <v>1173</v>
      </c>
      <c r="I155" s="168" t="s">
        <v>345</v>
      </c>
      <c r="J155" s="43" t="s">
        <v>1461</v>
      </c>
      <c r="K155" s="44">
        <f t="shared" si="93"/>
        <v>0</v>
      </c>
      <c r="L155" s="1290"/>
      <c r="M155" s="1290"/>
      <c r="N155" s="1297">
        <f t="shared" si="89"/>
        <v>0</v>
      </c>
      <c r="O155" s="1290"/>
      <c r="P155" s="1290"/>
      <c r="Q155" s="1297">
        <f t="shared" si="90"/>
        <v>0</v>
      </c>
      <c r="R155" s="1298"/>
      <c r="S155" s="1290"/>
      <c r="T155" s="1298"/>
      <c r="U155" s="1291">
        <f t="shared" si="94"/>
        <v>0</v>
      </c>
      <c r="V155" s="45">
        <f t="shared" si="92"/>
        <v>0</v>
      </c>
      <c r="W155" s="217"/>
      <c r="Z155" s="218"/>
      <c r="AA155" s="221"/>
      <c r="AB155" s="221"/>
      <c r="AC155" s="221"/>
      <c r="AD155" s="221"/>
      <c r="AE155" s="221"/>
      <c r="AF155" s="221"/>
      <c r="AG155" s="221"/>
      <c r="AH155" s="221"/>
      <c r="AI155" s="221"/>
      <c r="AJ155" s="221"/>
      <c r="AK155" s="219"/>
      <c r="AL155" s="220"/>
    </row>
    <row r="156" spans="2:38" s="47" customFormat="1" ht="43.5" customHeight="1" outlineLevel="1" x14ac:dyDescent="0.2">
      <c r="B156" s="481" t="s">
        <v>1583</v>
      </c>
      <c r="C156" s="1136" t="str">
        <f>'Reference documents'!B27</f>
        <v>GRE.EEC.S.25.XX.S.00000.15.001.00</v>
      </c>
      <c r="D156" s="1151" t="s">
        <v>1174</v>
      </c>
      <c r="E156" s="1152"/>
      <c r="F156" s="1153"/>
      <c r="G156" s="1153"/>
      <c r="H156" s="1157" t="s">
        <v>1175</v>
      </c>
      <c r="I156" s="168" t="s">
        <v>345</v>
      </c>
      <c r="J156" s="43" t="s">
        <v>1461</v>
      </c>
      <c r="K156" s="44">
        <f t="shared" si="93"/>
        <v>0</v>
      </c>
      <c r="L156" s="1290"/>
      <c r="M156" s="1290"/>
      <c r="N156" s="1297">
        <f t="shared" si="89"/>
        <v>0</v>
      </c>
      <c r="O156" s="1290"/>
      <c r="P156" s="1290"/>
      <c r="Q156" s="1297">
        <f t="shared" si="90"/>
        <v>0</v>
      </c>
      <c r="R156" s="1298"/>
      <c r="S156" s="1290"/>
      <c r="T156" s="1298"/>
      <c r="U156" s="1291">
        <f t="shared" si="94"/>
        <v>0</v>
      </c>
      <c r="V156" s="45">
        <f t="shared" si="92"/>
        <v>0</v>
      </c>
      <c r="W156" s="217"/>
      <c r="Z156" s="218"/>
      <c r="AA156" s="221"/>
      <c r="AB156" s="221"/>
      <c r="AC156" s="221"/>
      <c r="AD156" s="221"/>
      <c r="AE156" s="221"/>
      <c r="AF156" s="221"/>
      <c r="AG156" s="221"/>
      <c r="AH156" s="221"/>
      <c r="AI156" s="221"/>
      <c r="AJ156" s="221"/>
      <c r="AK156" s="219"/>
      <c r="AL156" s="220"/>
    </row>
    <row r="157" spans="2:38" ht="16.5" customHeight="1" x14ac:dyDescent="0.2">
      <c r="B157" s="48"/>
      <c r="C157" s="1137"/>
      <c r="D157" s="1160"/>
      <c r="E157" s="1160"/>
      <c r="F157" s="1161"/>
      <c r="G157" s="1161"/>
      <c r="H157" s="1368" t="s">
        <v>1178</v>
      </c>
      <c r="I157" s="1143"/>
      <c r="J157" s="40"/>
      <c r="K157" s="41"/>
      <c r="L157" s="41"/>
      <c r="M157" s="41"/>
      <c r="N157" s="41"/>
      <c r="O157" s="41"/>
      <c r="P157" s="41"/>
      <c r="Q157" s="41"/>
      <c r="R157" s="41"/>
      <c r="S157" s="41"/>
      <c r="T157" s="41"/>
      <c r="U157" s="42"/>
      <c r="V157" s="42"/>
      <c r="W157" s="217"/>
      <c r="X157" s="47"/>
      <c r="Y157" s="47"/>
      <c r="Z157" s="218"/>
      <c r="AA157" s="221"/>
      <c r="AB157" s="221"/>
      <c r="AC157" s="221"/>
      <c r="AD157" s="221"/>
      <c r="AE157" s="221"/>
      <c r="AF157" s="221"/>
      <c r="AG157" s="221"/>
      <c r="AH157" s="221"/>
      <c r="AI157" s="221"/>
      <c r="AJ157" s="221"/>
      <c r="AK157" s="219"/>
      <c r="AL157" s="220"/>
    </row>
    <row r="158" spans="2:38" s="47" customFormat="1" ht="43.5" customHeight="1" outlineLevel="1" x14ac:dyDescent="0.2">
      <c r="B158" s="481" t="s">
        <v>1583</v>
      </c>
      <c r="C158" s="1136" t="str">
        <f>'Reference documents'!B27</f>
        <v>GRE.EEC.S.25.XX.S.00000.15.001.00</v>
      </c>
      <c r="D158" s="1151" t="s">
        <v>1179</v>
      </c>
      <c r="E158" s="1152"/>
      <c r="F158" s="1153"/>
      <c r="G158" s="1153"/>
      <c r="H158" s="1157" t="s">
        <v>1180</v>
      </c>
      <c r="I158" s="168" t="s">
        <v>345</v>
      </c>
      <c r="J158" s="43" t="s">
        <v>1461</v>
      </c>
      <c r="K158" s="1423">
        <v>2438</v>
      </c>
      <c r="L158" s="1290">
        <v>0.48131212953212421</v>
      </c>
      <c r="M158" s="1290">
        <v>40</v>
      </c>
      <c r="N158" s="1297">
        <f t="shared" ref="N158:N171" si="95">L158*M158</f>
        <v>19.252485181284968</v>
      </c>
      <c r="O158" s="1290">
        <v>0.1</v>
      </c>
      <c r="P158" s="1290">
        <v>70</v>
      </c>
      <c r="Q158" s="1297">
        <f t="shared" ref="Q158:Q171" si="96">O158*P158</f>
        <v>7</v>
      </c>
      <c r="R158" s="1298"/>
      <c r="S158" s="1290">
        <v>8</v>
      </c>
      <c r="T158" s="1298"/>
      <c r="U158" s="1291">
        <f t="shared" ref="U158:U159" si="97">S158+Q158+N158</f>
        <v>34.252485181284968</v>
      </c>
      <c r="V158" s="45">
        <f t="shared" ref="V158:V171" si="98">K158*U158</f>
        <v>83507.558871972753</v>
      </c>
      <c r="W158" s="1451" t="s">
        <v>2612</v>
      </c>
      <c r="Z158" s="218"/>
      <c r="AA158" s="221"/>
      <c r="AB158" s="221"/>
      <c r="AC158" s="221"/>
      <c r="AD158" s="221"/>
      <c r="AE158" s="221"/>
      <c r="AF158" s="221"/>
      <c r="AG158" s="221"/>
      <c r="AH158" s="221"/>
      <c r="AI158" s="221"/>
      <c r="AJ158" s="221"/>
      <c r="AK158" s="219"/>
      <c r="AL158" s="220"/>
    </row>
    <row r="159" spans="2:38" s="47" customFormat="1" ht="43.5" customHeight="1" outlineLevel="1" x14ac:dyDescent="0.2">
      <c r="B159" s="481" t="s">
        <v>1583</v>
      </c>
      <c r="C159" s="1136" t="str">
        <f>'Reference documents'!B27</f>
        <v>GRE.EEC.S.25.XX.S.00000.15.001.00</v>
      </c>
      <c r="D159" s="1151" t="s">
        <v>1181</v>
      </c>
      <c r="E159" s="1152"/>
      <c r="F159" s="1153"/>
      <c r="G159" s="1153"/>
      <c r="H159" s="1157" t="s">
        <v>1182</v>
      </c>
      <c r="I159" s="168" t="s">
        <v>345</v>
      </c>
      <c r="J159" s="43" t="s">
        <v>1461</v>
      </c>
      <c r="K159" s="44">
        <f t="shared" ref="K159:K171" si="99">AL159</f>
        <v>0</v>
      </c>
      <c r="L159" s="1290"/>
      <c r="M159" s="1290"/>
      <c r="N159" s="1297">
        <f t="shared" si="95"/>
        <v>0</v>
      </c>
      <c r="O159" s="1290"/>
      <c r="P159" s="1290"/>
      <c r="Q159" s="1297">
        <f t="shared" si="96"/>
        <v>0</v>
      </c>
      <c r="R159" s="1298"/>
      <c r="S159" s="1290"/>
      <c r="T159" s="1298"/>
      <c r="U159" s="1291">
        <f t="shared" si="97"/>
        <v>0</v>
      </c>
      <c r="V159" s="45">
        <f t="shared" si="98"/>
        <v>0</v>
      </c>
      <c r="W159" s="217"/>
      <c r="Z159" s="218"/>
      <c r="AA159" s="221"/>
      <c r="AB159" s="221"/>
      <c r="AC159" s="221"/>
      <c r="AD159" s="221"/>
      <c r="AE159" s="221"/>
      <c r="AF159" s="221"/>
      <c r="AG159" s="221"/>
      <c r="AH159" s="221"/>
      <c r="AI159" s="221"/>
      <c r="AJ159" s="221"/>
      <c r="AK159" s="219"/>
      <c r="AL159" s="220"/>
    </row>
    <row r="160" spans="2:38" s="47" customFormat="1" ht="43.5" customHeight="1" outlineLevel="1" x14ac:dyDescent="0.2">
      <c r="B160" s="481" t="s">
        <v>1583</v>
      </c>
      <c r="C160" s="1136" t="str">
        <f>'Reference documents'!B27</f>
        <v>GRE.EEC.S.25.XX.S.00000.15.001.00</v>
      </c>
      <c r="D160" s="1151" t="s">
        <v>1183</v>
      </c>
      <c r="E160" s="1152"/>
      <c r="F160" s="1153"/>
      <c r="G160" s="1153"/>
      <c r="H160" s="1157" t="s">
        <v>1184</v>
      </c>
      <c r="I160" s="168" t="s">
        <v>345</v>
      </c>
      <c r="J160" s="43" t="s">
        <v>1461</v>
      </c>
      <c r="K160" s="44">
        <f t="shared" si="99"/>
        <v>0</v>
      </c>
      <c r="L160" s="1290"/>
      <c r="M160" s="1290"/>
      <c r="N160" s="1297">
        <f t="shared" si="95"/>
        <v>0</v>
      </c>
      <c r="O160" s="1290"/>
      <c r="P160" s="1290"/>
      <c r="Q160" s="1297">
        <f t="shared" si="96"/>
        <v>0</v>
      </c>
      <c r="R160" s="1298"/>
      <c r="S160" s="1290"/>
      <c r="T160" s="1298"/>
      <c r="U160" s="1291">
        <f t="shared" ref="U160:U171" si="100">S160+Q160+N160</f>
        <v>0</v>
      </c>
      <c r="V160" s="45">
        <f t="shared" si="98"/>
        <v>0</v>
      </c>
      <c r="W160" s="217"/>
      <c r="Z160" s="218"/>
      <c r="AA160" s="221"/>
      <c r="AB160" s="221"/>
      <c r="AC160" s="221"/>
      <c r="AD160" s="221"/>
      <c r="AE160" s="221"/>
      <c r="AF160" s="221"/>
      <c r="AG160" s="221"/>
      <c r="AH160" s="221"/>
      <c r="AI160" s="221"/>
      <c r="AJ160" s="221"/>
      <c r="AK160" s="219"/>
      <c r="AL160" s="220"/>
    </row>
    <row r="161" spans="2:38" s="47" customFormat="1" ht="43.5" customHeight="1" outlineLevel="1" x14ac:dyDescent="0.2">
      <c r="B161" s="481" t="s">
        <v>1583</v>
      </c>
      <c r="C161" s="1136" t="str">
        <f>'Reference documents'!B27</f>
        <v>GRE.EEC.S.25.XX.S.00000.15.001.00</v>
      </c>
      <c r="D161" s="1151" t="s">
        <v>1185</v>
      </c>
      <c r="E161" s="1152"/>
      <c r="F161" s="1153"/>
      <c r="G161" s="1153"/>
      <c r="H161" s="1157" t="s">
        <v>1186</v>
      </c>
      <c r="I161" s="168" t="s">
        <v>345</v>
      </c>
      <c r="J161" s="43" t="s">
        <v>1461</v>
      </c>
      <c r="K161" s="44">
        <f t="shared" si="99"/>
        <v>0</v>
      </c>
      <c r="L161" s="1290"/>
      <c r="M161" s="1290"/>
      <c r="N161" s="1297">
        <f t="shared" si="95"/>
        <v>0</v>
      </c>
      <c r="O161" s="1290"/>
      <c r="P161" s="1290"/>
      <c r="Q161" s="1297">
        <f t="shared" si="96"/>
        <v>0</v>
      </c>
      <c r="R161" s="1298"/>
      <c r="S161" s="1290"/>
      <c r="T161" s="1298"/>
      <c r="U161" s="1291">
        <f t="shared" si="100"/>
        <v>0</v>
      </c>
      <c r="V161" s="45">
        <f t="shared" si="98"/>
        <v>0</v>
      </c>
      <c r="W161" s="217"/>
      <c r="Z161" s="218"/>
      <c r="AA161" s="221"/>
      <c r="AB161" s="221"/>
      <c r="AC161" s="221"/>
      <c r="AD161" s="221"/>
      <c r="AE161" s="221"/>
      <c r="AF161" s="221"/>
      <c r="AG161" s="221"/>
      <c r="AH161" s="221"/>
      <c r="AI161" s="221"/>
      <c r="AJ161" s="221"/>
      <c r="AK161" s="219"/>
      <c r="AL161" s="220"/>
    </row>
    <row r="162" spans="2:38" s="47" customFormat="1" ht="43.5" customHeight="1" outlineLevel="1" x14ac:dyDescent="0.2">
      <c r="B162" s="481" t="s">
        <v>1583</v>
      </c>
      <c r="C162" s="1136" t="str">
        <f>'Reference documents'!B27</f>
        <v>GRE.EEC.S.25.XX.S.00000.15.001.00</v>
      </c>
      <c r="D162" s="1151" t="s">
        <v>1187</v>
      </c>
      <c r="E162" s="1152"/>
      <c r="F162" s="1153"/>
      <c r="G162" s="1153"/>
      <c r="H162" s="1157" t="s">
        <v>1188</v>
      </c>
      <c r="I162" s="168" t="s">
        <v>345</v>
      </c>
      <c r="J162" s="43" t="s">
        <v>1461</v>
      </c>
      <c r="K162" s="1423">
        <v>206</v>
      </c>
      <c r="L162" s="1290">
        <v>0.79777746431309249</v>
      </c>
      <c r="M162" s="1290">
        <v>40</v>
      </c>
      <c r="N162" s="1297">
        <f t="shared" si="95"/>
        <v>31.911098572523699</v>
      </c>
      <c r="O162" s="1290">
        <v>0.1</v>
      </c>
      <c r="P162" s="1290">
        <v>70</v>
      </c>
      <c r="Q162" s="1297">
        <f t="shared" si="96"/>
        <v>7</v>
      </c>
      <c r="R162" s="1298"/>
      <c r="S162" s="1290">
        <v>9</v>
      </c>
      <c r="T162" s="1298"/>
      <c r="U162" s="1291">
        <f t="shared" si="100"/>
        <v>47.911098572523699</v>
      </c>
      <c r="V162" s="45">
        <f t="shared" si="98"/>
        <v>9869.686305939882</v>
      </c>
      <c r="W162" s="1451" t="s">
        <v>2612</v>
      </c>
      <c r="Z162" s="218"/>
      <c r="AA162" s="221"/>
      <c r="AB162" s="221"/>
      <c r="AC162" s="221"/>
      <c r="AD162" s="221"/>
      <c r="AE162" s="221"/>
      <c r="AF162" s="221"/>
      <c r="AG162" s="221"/>
      <c r="AH162" s="221"/>
      <c r="AI162" s="221"/>
      <c r="AJ162" s="221"/>
      <c r="AK162" s="219"/>
      <c r="AL162" s="220"/>
    </row>
    <row r="163" spans="2:38" s="47" customFormat="1" ht="43.5" customHeight="1" outlineLevel="1" x14ac:dyDescent="0.2">
      <c r="B163" s="481" t="s">
        <v>1583</v>
      </c>
      <c r="C163" s="1136" t="str">
        <f>'Reference documents'!B27</f>
        <v>GRE.EEC.S.25.XX.S.00000.15.001.00</v>
      </c>
      <c r="D163" s="1151" t="s">
        <v>1189</v>
      </c>
      <c r="E163" s="1152"/>
      <c r="F163" s="1153"/>
      <c r="G163" s="1153"/>
      <c r="H163" s="1157" t="s">
        <v>1190</v>
      </c>
      <c r="I163" s="168" t="s">
        <v>345</v>
      </c>
      <c r="J163" s="43" t="s">
        <v>1461</v>
      </c>
      <c r="K163" s="44">
        <f t="shared" si="99"/>
        <v>0</v>
      </c>
      <c r="L163" s="1290"/>
      <c r="M163" s="1290"/>
      <c r="N163" s="1297">
        <f t="shared" si="95"/>
        <v>0</v>
      </c>
      <c r="O163" s="1290"/>
      <c r="P163" s="1290"/>
      <c r="Q163" s="1297">
        <f t="shared" si="96"/>
        <v>0</v>
      </c>
      <c r="R163" s="1298"/>
      <c r="S163" s="1290"/>
      <c r="T163" s="1298"/>
      <c r="U163" s="1291">
        <f t="shared" si="100"/>
        <v>0</v>
      </c>
      <c r="V163" s="45">
        <f t="shared" si="98"/>
        <v>0</v>
      </c>
      <c r="W163" s="217"/>
      <c r="Z163" s="218"/>
      <c r="AA163" s="221"/>
      <c r="AB163" s="221"/>
      <c r="AC163" s="221"/>
      <c r="AD163" s="221"/>
      <c r="AE163" s="221"/>
      <c r="AF163" s="221"/>
      <c r="AG163" s="221"/>
      <c r="AH163" s="221"/>
      <c r="AI163" s="221"/>
      <c r="AJ163" s="221"/>
      <c r="AK163" s="219"/>
      <c r="AL163" s="220"/>
    </row>
    <row r="164" spans="2:38" s="47" customFormat="1" ht="43.5" customHeight="1" outlineLevel="1" x14ac:dyDescent="0.2">
      <c r="B164" s="481" t="s">
        <v>1583</v>
      </c>
      <c r="C164" s="1136" t="str">
        <f>'Reference documents'!B27</f>
        <v>GRE.EEC.S.25.XX.S.00000.15.001.00</v>
      </c>
      <c r="D164" s="1151" t="s">
        <v>1191</v>
      </c>
      <c r="E164" s="1152"/>
      <c r="F164" s="1153"/>
      <c r="G164" s="1153"/>
      <c r="H164" s="1157" t="s">
        <v>1192</v>
      </c>
      <c r="I164" s="168" t="s">
        <v>345</v>
      </c>
      <c r="J164" s="43" t="s">
        <v>1461</v>
      </c>
      <c r="K164" s="44">
        <f t="shared" si="99"/>
        <v>0</v>
      </c>
      <c r="L164" s="1290"/>
      <c r="M164" s="1290"/>
      <c r="N164" s="1297">
        <f t="shared" si="95"/>
        <v>0</v>
      </c>
      <c r="O164" s="1290"/>
      <c r="P164" s="1290"/>
      <c r="Q164" s="1297">
        <f t="shared" si="96"/>
        <v>0</v>
      </c>
      <c r="R164" s="1298"/>
      <c r="S164" s="1290"/>
      <c r="T164" s="1298"/>
      <c r="U164" s="1291">
        <f t="shared" si="100"/>
        <v>0</v>
      </c>
      <c r="V164" s="45">
        <f t="shared" si="98"/>
        <v>0</v>
      </c>
      <c r="W164" s="217"/>
      <c r="Z164" s="218"/>
      <c r="AA164" s="221"/>
      <c r="AB164" s="221"/>
      <c r="AC164" s="221"/>
      <c r="AD164" s="221"/>
      <c r="AE164" s="221"/>
      <c r="AF164" s="221"/>
      <c r="AG164" s="221"/>
      <c r="AH164" s="221"/>
      <c r="AI164" s="221"/>
      <c r="AJ164" s="221"/>
      <c r="AK164" s="219"/>
      <c r="AL164" s="220"/>
    </row>
    <row r="165" spans="2:38" s="47" customFormat="1" ht="43.5" customHeight="1" outlineLevel="1" x14ac:dyDescent="0.2">
      <c r="B165" s="481" t="s">
        <v>1583</v>
      </c>
      <c r="C165" s="1136" t="str">
        <f>'Reference documents'!B27</f>
        <v>GRE.EEC.S.25.XX.S.00000.15.001.00</v>
      </c>
      <c r="D165" s="1151" t="s">
        <v>1193</v>
      </c>
      <c r="E165" s="1152"/>
      <c r="F165" s="1153"/>
      <c r="G165" s="1153"/>
      <c r="H165" s="1157" t="s">
        <v>1194</v>
      </c>
      <c r="I165" s="168" t="s">
        <v>345</v>
      </c>
      <c r="J165" s="43" t="s">
        <v>1461</v>
      </c>
      <c r="K165" s="44">
        <f t="shared" si="99"/>
        <v>0</v>
      </c>
      <c r="L165" s="1290"/>
      <c r="M165" s="1290"/>
      <c r="N165" s="1297">
        <f t="shared" si="95"/>
        <v>0</v>
      </c>
      <c r="O165" s="1290"/>
      <c r="P165" s="1290"/>
      <c r="Q165" s="1297">
        <f t="shared" si="96"/>
        <v>0</v>
      </c>
      <c r="R165" s="1298"/>
      <c r="S165" s="1290"/>
      <c r="T165" s="1298"/>
      <c r="U165" s="1291">
        <f t="shared" si="100"/>
        <v>0</v>
      </c>
      <c r="V165" s="45">
        <f t="shared" si="98"/>
        <v>0</v>
      </c>
      <c r="W165" s="217"/>
      <c r="Z165" s="218"/>
      <c r="AA165" s="221"/>
      <c r="AB165" s="221"/>
      <c r="AC165" s="221"/>
      <c r="AD165" s="221"/>
      <c r="AE165" s="221"/>
      <c r="AF165" s="221"/>
      <c r="AG165" s="221"/>
      <c r="AH165" s="221"/>
      <c r="AI165" s="221"/>
      <c r="AJ165" s="221"/>
      <c r="AK165" s="219"/>
      <c r="AL165" s="220"/>
    </row>
    <row r="166" spans="2:38" s="47" customFormat="1" ht="43.5" customHeight="1" outlineLevel="1" x14ac:dyDescent="0.2">
      <c r="B166" s="481" t="s">
        <v>1583</v>
      </c>
      <c r="C166" s="1136" t="str">
        <f>'Reference documents'!B27</f>
        <v>GRE.EEC.S.25.XX.S.00000.15.001.00</v>
      </c>
      <c r="D166" s="1151" t="s">
        <v>1195</v>
      </c>
      <c r="E166" s="1152"/>
      <c r="F166" s="1153"/>
      <c r="G166" s="1153"/>
      <c r="H166" s="1157" t="s">
        <v>1196</v>
      </c>
      <c r="I166" s="168" t="s">
        <v>345</v>
      </c>
      <c r="J166" s="43" t="s">
        <v>1461</v>
      </c>
      <c r="K166" s="44">
        <f t="shared" si="99"/>
        <v>0</v>
      </c>
      <c r="L166" s="1290"/>
      <c r="M166" s="1290"/>
      <c r="N166" s="1297">
        <f t="shared" si="95"/>
        <v>0</v>
      </c>
      <c r="O166" s="1290"/>
      <c r="P166" s="1290"/>
      <c r="Q166" s="1297">
        <f t="shared" si="96"/>
        <v>0</v>
      </c>
      <c r="R166" s="1298"/>
      <c r="S166" s="1290"/>
      <c r="T166" s="1298"/>
      <c r="U166" s="1291">
        <f t="shared" si="100"/>
        <v>0</v>
      </c>
      <c r="V166" s="45">
        <f t="shared" si="98"/>
        <v>0</v>
      </c>
      <c r="W166" s="217"/>
      <c r="Z166" s="218"/>
      <c r="AA166" s="221"/>
      <c r="AB166" s="221"/>
      <c r="AC166" s="221"/>
      <c r="AD166" s="221"/>
      <c r="AE166" s="221"/>
      <c r="AF166" s="221"/>
      <c r="AG166" s="221"/>
      <c r="AH166" s="221"/>
      <c r="AI166" s="221"/>
      <c r="AJ166" s="221"/>
      <c r="AK166" s="219"/>
      <c r="AL166" s="220"/>
    </row>
    <row r="167" spans="2:38" s="47" customFormat="1" ht="43.5" customHeight="1" outlineLevel="1" x14ac:dyDescent="0.2">
      <c r="B167" s="481" t="s">
        <v>1583</v>
      </c>
      <c r="C167" s="1136" t="str">
        <f>'Reference documents'!B27</f>
        <v>GRE.EEC.S.25.XX.S.00000.15.001.00</v>
      </c>
      <c r="D167" s="1151" t="s">
        <v>1197</v>
      </c>
      <c r="E167" s="1152"/>
      <c r="F167" s="1153"/>
      <c r="G167" s="1153"/>
      <c r="H167" s="1157" t="s">
        <v>1198</v>
      </c>
      <c r="I167" s="168" t="s">
        <v>345</v>
      </c>
      <c r="J167" s="43" t="s">
        <v>1461</v>
      </c>
      <c r="K167" s="44">
        <f t="shared" si="99"/>
        <v>0</v>
      </c>
      <c r="L167" s="1290"/>
      <c r="M167" s="1290"/>
      <c r="N167" s="1297">
        <f t="shared" si="95"/>
        <v>0</v>
      </c>
      <c r="O167" s="1290"/>
      <c r="P167" s="1290"/>
      <c r="Q167" s="1297">
        <f t="shared" si="96"/>
        <v>0</v>
      </c>
      <c r="R167" s="1298"/>
      <c r="S167" s="1290"/>
      <c r="T167" s="1298"/>
      <c r="U167" s="1291">
        <f t="shared" si="100"/>
        <v>0</v>
      </c>
      <c r="V167" s="45">
        <f t="shared" si="98"/>
        <v>0</v>
      </c>
      <c r="W167" s="217"/>
      <c r="Z167" s="218"/>
      <c r="AA167" s="221"/>
      <c r="AB167" s="221"/>
      <c r="AC167" s="221"/>
      <c r="AD167" s="221"/>
      <c r="AE167" s="221"/>
      <c r="AF167" s="221"/>
      <c r="AG167" s="221"/>
      <c r="AH167" s="221"/>
      <c r="AI167" s="221"/>
      <c r="AJ167" s="221"/>
      <c r="AK167" s="219"/>
      <c r="AL167" s="220"/>
    </row>
    <row r="168" spans="2:38" s="47" customFormat="1" ht="43.5" customHeight="1" outlineLevel="1" x14ac:dyDescent="0.2">
      <c r="B168" s="481" t="s">
        <v>1583</v>
      </c>
      <c r="C168" s="1136" t="str">
        <f>'Reference documents'!B27</f>
        <v>GRE.EEC.S.25.XX.S.00000.15.001.00</v>
      </c>
      <c r="D168" s="1151" t="s">
        <v>1199</v>
      </c>
      <c r="E168" s="1152"/>
      <c r="F168" s="1153"/>
      <c r="G168" s="1153"/>
      <c r="H168" s="1157" t="s">
        <v>1200</v>
      </c>
      <c r="I168" s="168" t="s">
        <v>345</v>
      </c>
      <c r="J168" s="43" t="s">
        <v>1461</v>
      </c>
      <c r="K168" s="44">
        <f t="shared" si="99"/>
        <v>0</v>
      </c>
      <c r="L168" s="1290"/>
      <c r="M168" s="1290"/>
      <c r="N168" s="1297">
        <f t="shared" si="95"/>
        <v>0</v>
      </c>
      <c r="O168" s="1290"/>
      <c r="P168" s="1290"/>
      <c r="Q168" s="1297">
        <f t="shared" si="96"/>
        <v>0</v>
      </c>
      <c r="R168" s="1298"/>
      <c r="S168" s="1290"/>
      <c r="T168" s="1298"/>
      <c r="U168" s="1291">
        <f t="shared" si="100"/>
        <v>0</v>
      </c>
      <c r="V168" s="45">
        <f t="shared" si="98"/>
        <v>0</v>
      </c>
      <c r="W168" s="217"/>
      <c r="Z168" s="218"/>
      <c r="AA168" s="221"/>
      <c r="AB168" s="221"/>
      <c r="AC168" s="221"/>
      <c r="AD168" s="221"/>
      <c r="AE168" s="221"/>
      <c r="AF168" s="221"/>
      <c r="AG168" s="221"/>
      <c r="AH168" s="221"/>
      <c r="AI168" s="221"/>
      <c r="AJ168" s="221"/>
      <c r="AK168" s="219"/>
      <c r="AL168" s="220"/>
    </row>
    <row r="169" spans="2:38" s="47" customFormat="1" ht="43.5" customHeight="1" outlineLevel="1" x14ac:dyDescent="0.2">
      <c r="B169" s="481" t="s">
        <v>1583</v>
      </c>
      <c r="C169" s="1136" t="str">
        <f>'Reference documents'!B27</f>
        <v>GRE.EEC.S.25.XX.S.00000.15.001.00</v>
      </c>
      <c r="D169" s="1151" t="s">
        <v>1201</v>
      </c>
      <c r="E169" s="1152"/>
      <c r="F169" s="1153"/>
      <c r="G169" s="1153"/>
      <c r="H169" s="1157" t="s">
        <v>1202</v>
      </c>
      <c r="I169" s="168" t="s">
        <v>345</v>
      </c>
      <c r="J169" s="43" t="s">
        <v>1461</v>
      </c>
      <c r="K169" s="44">
        <f t="shared" si="99"/>
        <v>0</v>
      </c>
      <c r="L169" s="1290"/>
      <c r="M169" s="1290"/>
      <c r="N169" s="1297">
        <f t="shared" si="95"/>
        <v>0</v>
      </c>
      <c r="O169" s="1290"/>
      <c r="P169" s="1290"/>
      <c r="Q169" s="1297">
        <f t="shared" si="96"/>
        <v>0</v>
      </c>
      <c r="R169" s="1298"/>
      <c r="S169" s="1290"/>
      <c r="T169" s="1298"/>
      <c r="U169" s="1291">
        <f t="shared" si="100"/>
        <v>0</v>
      </c>
      <c r="V169" s="45">
        <f t="shared" si="98"/>
        <v>0</v>
      </c>
      <c r="W169" s="217"/>
      <c r="Z169" s="218"/>
      <c r="AA169" s="221"/>
      <c r="AB169" s="221"/>
      <c r="AC169" s="221"/>
      <c r="AD169" s="221"/>
      <c r="AE169" s="221"/>
      <c r="AF169" s="221"/>
      <c r="AG169" s="221"/>
      <c r="AH169" s="221"/>
      <c r="AI169" s="221"/>
      <c r="AJ169" s="221"/>
      <c r="AK169" s="219"/>
      <c r="AL169" s="220"/>
    </row>
    <row r="170" spans="2:38" s="47" customFormat="1" ht="43.5" customHeight="1" outlineLevel="1" x14ac:dyDescent="0.2">
      <c r="B170" s="481" t="s">
        <v>1583</v>
      </c>
      <c r="C170" s="1136" t="str">
        <f>'Reference documents'!B27</f>
        <v>GRE.EEC.S.25.XX.S.00000.15.001.00</v>
      </c>
      <c r="D170" s="1151" t="s">
        <v>1203</v>
      </c>
      <c r="E170" s="1152"/>
      <c r="F170" s="1153"/>
      <c r="G170" s="1153"/>
      <c r="H170" s="1157" t="s">
        <v>1204</v>
      </c>
      <c r="I170" s="168" t="s">
        <v>345</v>
      </c>
      <c r="J170" s="43" t="s">
        <v>1461</v>
      </c>
      <c r="K170" s="44">
        <f t="shared" si="99"/>
        <v>0</v>
      </c>
      <c r="L170" s="1290"/>
      <c r="M170" s="1290"/>
      <c r="N170" s="1297">
        <f t="shared" si="95"/>
        <v>0</v>
      </c>
      <c r="O170" s="1290"/>
      <c r="P170" s="1290"/>
      <c r="Q170" s="1297">
        <f t="shared" si="96"/>
        <v>0</v>
      </c>
      <c r="R170" s="1298"/>
      <c r="S170" s="1290"/>
      <c r="T170" s="1298"/>
      <c r="U170" s="1291">
        <f t="shared" si="100"/>
        <v>0</v>
      </c>
      <c r="V170" s="45">
        <f t="shared" si="98"/>
        <v>0</v>
      </c>
      <c r="W170" s="217"/>
      <c r="Z170" s="218"/>
      <c r="AA170" s="221"/>
      <c r="AB170" s="221"/>
      <c r="AC170" s="221"/>
      <c r="AD170" s="221"/>
      <c r="AE170" s="221"/>
      <c r="AF170" s="221"/>
      <c r="AG170" s="221"/>
      <c r="AH170" s="221"/>
      <c r="AI170" s="221"/>
      <c r="AJ170" s="221"/>
      <c r="AK170" s="219"/>
      <c r="AL170" s="220"/>
    </row>
    <row r="171" spans="2:38" s="47" customFormat="1" ht="43.5" customHeight="1" outlineLevel="1" x14ac:dyDescent="0.2">
      <c r="B171" s="481" t="s">
        <v>1583</v>
      </c>
      <c r="C171" s="1136" t="str">
        <f>'Reference documents'!B27</f>
        <v>GRE.EEC.S.25.XX.S.00000.15.001.00</v>
      </c>
      <c r="D171" s="1151" t="s">
        <v>1205</v>
      </c>
      <c r="E171" s="1152"/>
      <c r="F171" s="1153"/>
      <c r="G171" s="1153"/>
      <c r="H171" s="1157" t="s">
        <v>1206</v>
      </c>
      <c r="I171" s="168" t="s">
        <v>345</v>
      </c>
      <c r="J171" s="43" t="s">
        <v>1461</v>
      </c>
      <c r="K171" s="44">
        <f t="shared" si="99"/>
        <v>0</v>
      </c>
      <c r="L171" s="1290"/>
      <c r="M171" s="1290"/>
      <c r="N171" s="1297">
        <f t="shared" si="95"/>
        <v>0</v>
      </c>
      <c r="O171" s="1290"/>
      <c r="P171" s="1290"/>
      <c r="Q171" s="1297">
        <f t="shared" si="96"/>
        <v>0</v>
      </c>
      <c r="R171" s="1298"/>
      <c r="S171" s="1290"/>
      <c r="T171" s="1298"/>
      <c r="U171" s="1291">
        <f t="shared" si="100"/>
        <v>0</v>
      </c>
      <c r="V171" s="45">
        <f t="shared" si="98"/>
        <v>0</v>
      </c>
      <c r="W171" s="217"/>
      <c r="Z171" s="218"/>
      <c r="AA171" s="221"/>
      <c r="AB171" s="221"/>
      <c r="AC171" s="221"/>
      <c r="AD171" s="221"/>
      <c r="AE171" s="221"/>
      <c r="AF171" s="221"/>
      <c r="AG171" s="221"/>
      <c r="AH171" s="221"/>
      <c r="AI171" s="221"/>
      <c r="AJ171" s="221"/>
      <c r="AK171" s="219"/>
      <c r="AL171" s="220"/>
    </row>
    <row r="172" spans="2:38" ht="18" customHeight="1" x14ac:dyDescent="0.2">
      <c r="B172" s="48"/>
      <c r="C172" s="1137"/>
      <c r="D172" s="1160"/>
      <c r="E172" s="1160"/>
      <c r="F172" s="1161"/>
      <c r="G172" s="1161"/>
      <c r="H172" s="1368" t="s">
        <v>1214</v>
      </c>
      <c r="I172" s="1143"/>
      <c r="J172" s="40"/>
      <c r="K172" s="41"/>
      <c r="L172" s="41"/>
      <c r="M172" s="41"/>
      <c r="N172" s="41"/>
      <c r="O172" s="41"/>
      <c r="P172" s="41"/>
      <c r="Q172" s="41"/>
      <c r="R172" s="41"/>
      <c r="S172" s="41"/>
      <c r="T172" s="41"/>
      <c r="U172" s="42"/>
      <c r="V172" s="42"/>
      <c r="W172" s="217"/>
      <c r="X172" s="47"/>
      <c r="Y172" s="47"/>
      <c r="Z172" s="218"/>
      <c r="AA172" s="221"/>
      <c r="AB172" s="221"/>
      <c r="AC172" s="221"/>
      <c r="AD172" s="221"/>
      <c r="AE172" s="221"/>
      <c r="AF172" s="221"/>
      <c r="AG172" s="221"/>
      <c r="AH172" s="221"/>
      <c r="AI172" s="221"/>
      <c r="AJ172" s="221"/>
      <c r="AK172" s="219"/>
      <c r="AL172" s="220"/>
    </row>
    <row r="173" spans="2:38" s="47" customFormat="1" ht="43.5" customHeight="1" outlineLevel="1" x14ac:dyDescent="0.2">
      <c r="B173" s="481" t="s">
        <v>1583</v>
      </c>
      <c r="C173" s="1136" t="str">
        <f>'Reference documents'!B27</f>
        <v>GRE.EEC.S.25.XX.S.00000.15.001.00</v>
      </c>
      <c r="D173" s="1151" t="s">
        <v>1215</v>
      </c>
      <c r="E173" s="1152"/>
      <c r="F173" s="1153"/>
      <c r="G173" s="1153"/>
      <c r="H173" s="1157" t="s">
        <v>1216</v>
      </c>
      <c r="I173" s="168" t="s">
        <v>1450</v>
      </c>
      <c r="J173" s="43" t="s">
        <v>1451</v>
      </c>
      <c r="K173" s="44">
        <f t="shared" ref="K173:K177" si="101">AL173</f>
        <v>0</v>
      </c>
      <c r="L173" s="1290"/>
      <c r="M173" s="1290"/>
      <c r="N173" s="1297">
        <f t="shared" ref="N173:N177" si="102">L173*M173</f>
        <v>0</v>
      </c>
      <c r="O173" s="1290"/>
      <c r="P173" s="1290"/>
      <c r="Q173" s="1297">
        <f t="shared" ref="Q173:Q177" si="103">O173*P173</f>
        <v>0</v>
      </c>
      <c r="R173" s="1298"/>
      <c r="S173" s="1290"/>
      <c r="T173" s="1298"/>
      <c r="U173" s="1291">
        <f t="shared" ref="U173:U177" si="104">S173+Q173+N173</f>
        <v>0</v>
      </c>
      <c r="V173" s="45">
        <f>K173*U173</f>
        <v>0</v>
      </c>
      <c r="W173" s="217"/>
      <c r="Z173" s="218"/>
      <c r="AA173" s="221"/>
      <c r="AB173" s="221"/>
      <c r="AC173" s="221"/>
      <c r="AD173" s="221"/>
      <c r="AE173" s="221"/>
      <c r="AF173" s="221"/>
      <c r="AG173" s="221"/>
      <c r="AH173" s="221"/>
      <c r="AI173" s="221"/>
      <c r="AJ173" s="221"/>
      <c r="AK173" s="219"/>
      <c r="AL173" s="220"/>
    </row>
    <row r="174" spans="2:38" s="47" customFormat="1" ht="43.5" customHeight="1" outlineLevel="1" x14ac:dyDescent="0.2">
      <c r="B174" s="481" t="s">
        <v>1583</v>
      </c>
      <c r="C174" s="1136" t="str">
        <f>'Reference documents'!B27</f>
        <v>GRE.EEC.S.25.XX.S.00000.15.001.00</v>
      </c>
      <c r="D174" s="1151" t="s">
        <v>1217</v>
      </c>
      <c r="E174" s="1152"/>
      <c r="F174" s="1153"/>
      <c r="G174" s="1153"/>
      <c r="H174" s="1157" t="s">
        <v>1218</v>
      </c>
      <c r="I174" s="168" t="s">
        <v>1450</v>
      </c>
      <c r="J174" s="43" t="s">
        <v>1451</v>
      </c>
      <c r="K174" s="44">
        <f t="shared" si="101"/>
        <v>0</v>
      </c>
      <c r="L174" s="1290"/>
      <c r="M174" s="1290"/>
      <c r="N174" s="1297">
        <f t="shared" si="102"/>
        <v>0</v>
      </c>
      <c r="O174" s="1290"/>
      <c r="P174" s="1290"/>
      <c r="Q174" s="1297">
        <f t="shared" si="103"/>
        <v>0</v>
      </c>
      <c r="R174" s="1298"/>
      <c r="S174" s="1290"/>
      <c r="T174" s="1298"/>
      <c r="U174" s="1291">
        <f t="shared" si="104"/>
        <v>0</v>
      </c>
      <c r="V174" s="45">
        <f>K174*U174</f>
        <v>0</v>
      </c>
      <c r="W174" s="217"/>
      <c r="Z174" s="218"/>
      <c r="AA174" s="221"/>
      <c r="AB174" s="221"/>
      <c r="AC174" s="221"/>
      <c r="AD174" s="221"/>
      <c r="AE174" s="221"/>
      <c r="AF174" s="221"/>
      <c r="AG174" s="221"/>
      <c r="AH174" s="221"/>
      <c r="AI174" s="221"/>
      <c r="AJ174" s="221"/>
      <c r="AK174" s="219"/>
      <c r="AL174" s="220"/>
    </row>
    <row r="175" spans="2:38" s="47" customFormat="1" ht="43.5" customHeight="1" outlineLevel="1" x14ac:dyDescent="0.2">
      <c r="B175" s="481" t="s">
        <v>1583</v>
      </c>
      <c r="C175" s="1136" t="str">
        <f>'Reference documents'!B27</f>
        <v>GRE.EEC.S.25.XX.S.00000.15.001.00</v>
      </c>
      <c r="D175" s="1151" t="s">
        <v>1219</v>
      </c>
      <c r="E175" s="1152"/>
      <c r="F175" s="1153"/>
      <c r="G175" s="1153"/>
      <c r="H175" s="1157" t="s">
        <v>1220</v>
      </c>
      <c r="I175" s="168" t="s">
        <v>1450</v>
      </c>
      <c r="J175" s="43" t="s">
        <v>1451</v>
      </c>
      <c r="K175" s="44">
        <f t="shared" si="101"/>
        <v>0</v>
      </c>
      <c r="L175" s="1290"/>
      <c r="M175" s="1290"/>
      <c r="N175" s="1297">
        <f t="shared" si="102"/>
        <v>0</v>
      </c>
      <c r="O175" s="1290"/>
      <c r="P175" s="1290"/>
      <c r="Q175" s="1297">
        <f t="shared" si="103"/>
        <v>0</v>
      </c>
      <c r="R175" s="1298"/>
      <c r="S175" s="1290"/>
      <c r="T175" s="1298"/>
      <c r="U175" s="1291">
        <f t="shared" si="104"/>
        <v>0</v>
      </c>
      <c r="V175" s="45">
        <f>K175*U175</f>
        <v>0</v>
      </c>
      <c r="W175" s="217"/>
      <c r="Z175" s="218"/>
      <c r="AA175" s="221"/>
      <c r="AB175" s="221"/>
      <c r="AC175" s="221"/>
      <c r="AD175" s="221"/>
      <c r="AE175" s="221"/>
      <c r="AF175" s="221"/>
      <c r="AG175" s="221"/>
      <c r="AH175" s="221"/>
      <c r="AI175" s="221"/>
      <c r="AJ175" s="221"/>
      <c r="AK175" s="219"/>
      <c r="AL175" s="220"/>
    </row>
    <row r="176" spans="2:38" s="47" customFormat="1" ht="43.5" customHeight="1" outlineLevel="1" x14ac:dyDescent="0.2">
      <c r="B176" s="481" t="s">
        <v>1583</v>
      </c>
      <c r="C176" s="1136" t="str">
        <f>'Reference documents'!B27</f>
        <v>GRE.EEC.S.25.XX.S.00000.15.001.00</v>
      </c>
      <c r="D176" s="1151" t="s">
        <v>1221</v>
      </c>
      <c r="E176" s="1152"/>
      <c r="F176" s="1153"/>
      <c r="G176" s="1153"/>
      <c r="H176" s="1157" t="s">
        <v>1222</v>
      </c>
      <c r="I176" s="168" t="s">
        <v>1450</v>
      </c>
      <c r="J176" s="43" t="s">
        <v>1451</v>
      </c>
      <c r="K176" s="44">
        <f t="shared" si="101"/>
        <v>0</v>
      </c>
      <c r="L176" s="1290"/>
      <c r="M176" s="1290"/>
      <c r="N176" s="1297">
        <f t="shared" si="102"/>
        <v>0</v>
      </c>
      <c r="O176" s="1290"/>
      <c r="P176" s="1290"/>
      <c r="Q176" s="1297">
        <f t="shared" si="103"/>
        <v>0</v>
      </c>
      <c r="R176" s="1298"/>
      <c r="S176" s="1290"/>
      <c r="T176" s="1298"/>
      <c r="U176" s="1291">
        <f t="shared" si="104"/>
        <v>0</v>
      </c>
      <c r="V176" s="45">
        <f>K176*U176</f>
        <v>0</v>
      </c>
      <c r="W176" s="217"/>
      <c r="Z176" s="218"/>
      <c r="AA176" s="221"/>
      <c r="AB176" s="221"/>
      <c r="AC176" s="221"/>
      <c r="AD176" s="221"/>
      <c r="AE176" s="221"/>
      <c r="AF176" s="221"/>
      <c r="AG176" s="221"/>
      <c r="AH176" s="221"/>
      <c r="AI176" s="221"/>
      <c r="AJ176" s="221"/>
      <c r="AK176" s="219"/>
      <c r="AL176" s="220"/>
    </row>
    <row r="177" spans="2:38" s="47" customFormat="1" ht="43.5" customHeight="1" outlineLevel="1" x14ac:dyDescent="0.2">
      <c r="B177" s="481" t="s">
        <v>1583</v>
      </c>
      <c r="C177" s="1136" t="str">
        <f>'Reference documents'!B27</f>
        <v>GRE.EEC.S.25.XX.S.00000.15.001.00</v>
      </c>
      <c r="D177" s="1151" t="s">
        <v>1223</v>
      </c>
      <c r="E177" s="1152"/>
      <c r="F177" s="1153"/>
      <c r="G177" s="1153"/>
      <c r="H177" s="1157" t="s">
        <v>1224</v>
      </c>
      <c r="I177" s="168" t="s">
        <v>1450</v>
      </c>
      <c r="J177" s="43" t="s">
        <v>1451</v>
      </c>
      <c r="K177" s="44">
        <f t="shared" si="101"/>
        <v>0</v>
      </c>
      <c r="L177" s="1290"/>
      <c r="M177" s="1290"/>
      <c r="N177" s="1297">
        <f t="shared" si="102"/>
        <v>0</v>
      </c>
      <c r="O177" s="1290"/>
      <c r="P177" s="1290"/>
      <c r="Q177" s="1297">
        <f t="shared" si="103"/>
        <v>0</v>
      </c>
      <c r="R177" s="1298"/>
      <c r="S177" s="1290"/>
      <c r="T177" s="1298"/>
      <c r="U177" s="1291">
        <f t="shared" si="104"/>
        <v>0</v>
      </c>
      <c r="V177" s="45">
        <f>K177*U177</f>
        <v>0</v>
      </c>
      <c r="W177" s="217"/>
      <c r="Z177" s="218"/>
      <c r="AA177" s="221"/>
      <c r="AB177" s="221"/>
      <c r="AC177" s="221"/>
      <c r="AD177" s="221"/>
      <c r="AE177" s="221"/>
      <c r="AF177" s="221"/>
      <c r="AG177" s="221"/>
      <c r="AH177" s="221"/>
      <c r="AI177" s="221"/>
      <c r="AJ177" s="221"/>
      <c r="AK177" s="219"/>
      <c r="AL177" s="220"/>
    </row>
    <row r="178" spans="2:38" ht="17.25" customHeight="1" x14ac:dyDescent="0.2">
      <c r="B178" s="1144"/>
      <c r="C178" s="1145"/>
      <c r="D178" s="1160"/>
      <c r="E178" s="1160"/>
      <c r="F178" s="1161"/>
      <c r="G178" s="1161"/>
      <c r="H178" s="1368" t="s">
        <v>1585</v>
      </c>
      <c r="I178" s="1146"/>
      <c r="J178" s="40"/>
      <c r="K178" s="41"/>
      <c r="L178" s="41"/>
      <c r="M178" s="41"/>
      <c r="N178" s="41"/>
      <c r="O178" s="41"/>
      <c r="P178" s="41"/>
      <c r="Q178" s="41"/>
      <c r="R178" s="41"/>
      <c r="S178" s="41"/>
      <c r="T178" s="41"/>
      <c r="U178" s="42"/>
      <c r="V178" s="42"/>
      <c r="W178" s="217"/>
      <c r="X178" s="47"/>
      <c r="Y178" s="47"/>
      <c r="Z178" s="218"/>
      <c r="AA178" s="221"/>
      <c r="AB178" s="221"/>
      <c r="AC178" s="221"/>
      <c r="AD178" s="221"/>
      <c r="AE178" s="221"/>
      <c r="AF178" s="221"/>
      <c r="AG178" s="221"/>
      <c r="AH178" s="221"/>
      <c r="AI178" s="221"/>
      <c r="AJ178" s="221"/>
      <c r="AK178" s="219"/>
      <c r="AL178" s="220"/>
    </row>
    <row r="179" spans="2:38" s="47" customFormat="1" ht="43.5" customHeight="1" outlineLevel="1" x14ac:dyDescent="0.2">
      <c r="B179" s="1149" t="s">
        <v>1583</v>
      </c>
      <c r="C179" s="1150" t="str">
        <f>'Reference documents'!B27</f>
        <v>GRE.EEC.S.25.XX.S.00000.15.001.00</v>
      </c>
      <c r="D179" s="1154" t="s">
        <v>1586</v>
      </c>
      <c r="E179" s="1155"/>
      <c r="F179" s="1156"/>
      <c r="G179" s="1156"/>
      <c r="H179" s="1369" t="s">
        <v>1587</v>
      </c>
      <c r="I179" s="1152" t="s">
        <v>1450</v>
      </c>
      <c r="J179" s="168" t="s">
        <v>1451</v>
      </c>
      <c r="K179" s="44">
        <f t="shared" ref="K179:K183" si="105">AL179</f>
        <v>0</v>
      </c>
      <c r="L179" s="1290"/>
      <c r="M179" s="1290"/>
      <c r="N179" s="1297">
        <f t="shared" ref="N179:N183" si="106">L179*M179</f>
        <v>0</v>
      </c>
      <c r="O179" s="1290"/>
      <c r="P179" s="1290"/>
      <c r="Q179" s="1297">
        <f t="shared" ref="Q179:Q183" si="107">O179*P179</f>
        <v>0</v>
      </c>
      <c r="R179" s="1298"/>
      <c r="S179" s="1290"/>
      <c r="T179" s="1298"/>
      <c r="U179" s="1291">
        <f t="shared" ref="U179:U183" si="108">S179+Q179+N179</f>
        <v>0</v>
      </c>
      <c r="V179" s="45">
        <f>K179*U179</f>
        <v>0</v>
      </c>
      <c r="W179" s="217"/>
      <c r="Z179" s="218"/>
      <c r="AA179" s="221"/>
      <c r="AB179" s="221"/>
      <c r="AC179" s="221"/>
      <c r="AD179" s="221"/>
      <c r="AE179" s="221"/>
      <c r="AF179" s="221"/>
      <c r="AG179" s="221"/>
      <c r="AH179" s="221"/>
      <c r="AI179" s="221"/>
      <c r="AJ179" s="221"/>
      <c r="AK179" s="219"/>
      <c r="AL179" s="220"/>
    </row>
    <row r="180" spans="2:38" s="47" customFormat="1" ht="43.5" customHeight="1" outlineLevel="1" x14ac:dyDescent="0.2">
      <c r="B180" s="1149" t="s">
        <v>1583</v>
      </c>
      <c r="C180" s="1150" t="str">
        <f>'Reference documents'!B27</f>
        <v>GRE.EEC.S.25.XX.S.00000.15.001.00</v>
      </c>
      <c r="D180" s="1151" t="s">
        <v>1588</v>
      </c>
      <c r="E180" s="1152"/>
      <c r="F180" s="1153"/>
      <c r="G180" s="1153"/>
      <c r="H180" s="1175" t="s">
        <v>1589</v>
      </c>
      <c r="I180" s="1152" t="s">
        <v>1450</v>
      </c>
      <c r="J180" s="168" t="s">
        <v>1451</v>
      </c>
      <c r="K180" s="44">
        <f t="shared" si="105"/>
        <v>0</v>
      </c>
      <c r="L180" s="1290"/>
      <c r="M180" s="1290"/>
      <c r="N180" s="1297">
        <f t="shared" si="106"/>
        <v>0</v>
      </c>
      <c r="O180" s="1290"/>
      <c r="P180" s="1290"/>
      <c r="Q180" s="1297">
        <f t="shared" si="107"/>
        <v>0</v>
      </c>
      <c r="R180" s="1298"/>
      <c r="S180" s="1290"/>
      <c r="T180" s="1298"/>
      <c r="U180" s="1291">
        <f t="shared" si="108"/>
        <v>0</v>
      </c>
      <c r="V180" s="45">
        <f>K180*U180</f>
        <v>0</v>
      </c>
      <c r="W180" s="217"/>
      <c r="Z180" s="218"/>
      <c r="AA180" s="221"/>
      <c r="AB180" s="221"/>
      <c r="AC180" s="221"/>
      <c r="AD180" s="221"/>
      <c r="AE180" s="221"/>
      <c r="AF180" s="221"/>
      <c r="AG180" s="221"/>
      <c r="AH180" s="221"/>
      <c r="AI180" s="221"/>
      <c r="AJ180" s="221"/>
      <c r="AK180" s="219"/>
      <c r="AL180" s="220"/>
    </row>
    <row r="181" spans="2:38" s="47" customFormat="1" ht="43.5" customHeight="1" outlineLevel="1" x14ac:dyDescent="0.2">
      <c r="B181" s="1149" t="s">
        <v>1583</v>
      </c>
      <c r="C181" s="1150" t="str">
        <f>'Reference documents'!B27</f>
        <v>GRE.EEC.S.25.XX.S.00000.15.001.00</v>
      </c>
      <c r="D181" s="1151" t="s">
        <v>1590</v>
      </c>
      <c r="E181" s="1152"/>
      <c r="F181" s="1153"/>
      <c r="G181" s="1153"/>
      <c r="H181" s="1175" t="s">
        <v>1591</v>
      </c>
      <c r="I181" s="1152" t="s">
        <v>1450</v>
      </c>
      <c r="J181" s="168" t="s">
        <v>1451</v>
      </c>
      <c r="K181" s="44">
        <f t="shared" si="105"/>
        <v>0</v>
      </c>
      <c r="L181" s="1290"/>
      <c r="M181" s="1290"/>
      <c r="N181" s="1297">
        <f t="shared" si="106"/>
        <v>0</v>
      </c>
      <c r="O181" s="1290"/>
      <c r="P181" s="1290"/>
      <c r="Q181" s="1297">
        <f t="shared" si="107"/>
        <v>0</v>
      </c>
      <c r="R181" s="1298"/>
      <c r="S181" s="1290"/>
      <c r="T181" s="1298"/>
      <c r="U181" s="1291">
        <f t="shared" si="108"/>
        <v>0</v>
      </c>
      <c r="V181" s="45">
        <f>K181*U181</f>
        <v>0</v>
      </c>
      <c r="W181" s="217"/>
      <c r="Z181" s="218"/>
      <c r="AA181" s="221"/>
      <c r="AB181" s="221"/>
      <c r="AC181" s="221"/>
      <c r="AD181" s="221"/>
      <c r="AE181" s="221"/>
      <c r="AF181" s="221"/>
      <c r="AG181" s="221"/>
      <c r="AH181" s="221"/>
      <c r="AI181" s="221"/>
      <c r="AJ181" s="221"/>
      <c r="AK181" s="219"/>
      <c r="AL181" s="220"/>
    </row>
    <row r="182" spans="2:38" s="47" customFormat="1" ht="43.5" customHeight="1" outlineLevel="1" x14ac:dyDescent="0.2">
      <c r="B182" s="1149" t="s">
        <v>1583</v>
      </c>
      <c r="C182" s="1150" t="str">
        <f>'Reference documents'!B27</f>
        <v>GRE.EEC.S.25.XX.S.00000.15.001.00</v>
      </c>
      <c r="D182" s="1151" t="s">
        <v>1592</v>
      </c>
      <c r="E182" s="1152"/>
      <c r="F182" s="1153"/>
      <c r="G182" s="1153"/>
      <c r="H182" s="1175" t="s">
        <v>1593</v>
      </c>
      <c r="I182" s="1152" t="s">
        <v>1450</v>
      </c>
      <c r="J182" s="168" t="s">
        <v>1451</v>
      </c>
      <c r="K182" s="44">
        <f t="shared" si="105"/>
        <v>0</v>
      </c>
      <c r="L182" s="1290"/>
      <c r="M182" s="1290"/>
      <c r="N182" s="1297">
        <f t="shared" si="106"/>
        <v>0</v>
      </c>
      <c r="O182" s="1290"/>
      <c r="P182" s="1290"/>
      <c r="Q182" s="1297">
        <f t="shared" si="107"/>
        <v>0</v>
      </c>
      <c r="R182" s="1298"/>
      <c r="S182" s="1290"/>
      <c r="T182" s="1298"/>
      <c r="U182" s="1291">
        <f t="shared" si="108"/>
        <v>0</v>
      </c>
      <c r="V182" s="45">
        <f>K182*U182</f>
        <v>0</v>
      </c>
      <c r="W182" s="217"/>
      <c r="Z182" s="218"/>
      <c r="AA182" s="221"/>
      <c r="AB182" s="221"/>
      <c r="AC182" s="221"/>
      <c r="AD182" s="221"/>
      <c r="AE182" s="221"/>
      <c r="AF182" s="221"/>
      <c r="AG182" s="221"/>
      <c r="AH182" s="221"/>
      <c r="AI182" s="221"/>
      <c r="AJ182" s="221"/>
      <c r="AK182" s="219"/>
      <c r="AL182" s="220"/>
    </row>
    <row r="183" spans="2:38" s="47" customFormat="1" ht="43.5" customHeight="1" outlineLevel="1" x14ac:dyDescent="0.2">
      <c r="B183" s="1149" t="s">
        <v>1583</v>
      </c>
      <c r="C183" s="1150" t="str">
        <f>'Reference documents'!B27</f>
        <v>GRE.EEC.S.25.XX.S.00000.15.001.00</v>
      </c>
      <c r="D183" s="1151" t="s">
        <v>1594</v>
      </c>
      <c r="E183" s="1152"/>
      <c r="F183" s="1153"/>
      <c r="G183" s="1153"/>
      <c r="H183" s="1175" t="s">
        <v>1595</v>
      </c>
      <c r="I183" s="1152" t="s">
        <v>1450</v>
      </c>
      <c r="J183" s="168" t="s">
        <v>1451</v>
      </c>
      <c r="K183" s="44">
        <f t="shared" si="105"/>
        <v>0</v>
      </c>
      <c r="L183" s="1290"/>
      <c r="M183" s="1290"/>
      <c r="N183" s="1297">
        <f t="shared" si="106"/>
        <v>0</v>
      </c>
      <c r="O183" s="1290"/>
      <c r="P183" s="1290"/>
      <c r="Q183" s="1297">
        <f t="shared" si="107"/>
        <v>0</v>
      </c>
      <c r="R183" s="1298"/>
      <c r="S183" s="1290"/>
      <c r="T183" s="1298"/>
      <c r="U183" s="1291">
        <f t="shared" si="108"/>
        <v>0</v>
      </c>
      <c r="V183" s="45">
        <f>K183*U183</f>
        <v>0</v>
      </c>
      <c r="W183" s="217"/>
      <c r="Z183" s="218"/>
      <c r="AA183" s="221"/>
      <c r="AB183" s="221"/>
      <c r="AC183" s="221"/>
      <c r="AD183" s="221"/>
      <c r="AE183" s="221"/>
      <c r="AF183" s="221"/>
      <c r="AG183" s="221"/>
      <c r="AH183" s="221"/>
      <c r="AI183" s="221"/>
      <c r="AJ183" s="221"/>
      <c r="AK183" s="219"/>
      <c r="AL183" s="220"/>
    </row>
    <row r="184" spans="2:38" ht="20.25" customHeight="1" x14ac:dyDescent="0.2">
      <c r="B184" s="1144"/>
      <c r="C184" s="1145"/>
      <c r="D184" s="1160"/>
      <c r="E184" s="1160"/>
      <c r="F184" s="1161"/>
      <c r="G184" s="1161"/>
      <c r="H184" s="1368" t="s">
        <v>1596</v>
      </c>
      <c r="I184" s="1146"/>
      <c r="J184" s="40"/>
      <c r="K184" s="41"/>
      <c r="L184" s="41"/>
      <c r="M184" s="41"/>
      <c r="N184" s="41"/>
      <c r="O184" s="41"/>
      <c r="P184" s="41"/>
      <c r="Q184" s="41"/>
      <c r="R184" s="41"/>
      <c r="S184" s="41"/>
      <c r="T184" s="41"/>
      <c r="U184" s="42"/>
      <c r="V184" s="42"/>
      <c r="W184" s="217"/>
      <c r="X184" s="47"/>
      <c r="Y184" s="47"/>
      <c r="Z184" s="218"/>
      <c r="AA184" s="221"/>
      <c r="AB184" s="221"/>
      <c r="AC184" s="221"/>
      <c r="AD184" s="221"/>
      <c r="AE184" s="221"/>
      <c r="AF184" s="221"/>
      <c r="AG184" s="221"/>
      <c r="AH184" s="221"/>
      <c r="AI184" s="221"/>
      <c r="AJ184" s="221"/>
      <c r="AK184" s="219"/>
      <c r="AL184" s="220"/>
    </row>
    <row r="185" spans="2:38" ht="43.5" customHeight="1" x14ac:dyDescent="0.2">
      <c r="B185" s="1149" t="s">
        <v>1583</v>
      </c>
      <c r="C185" s="1150" t="str">
        <f>'Reference documents'!B27</f>
        <v>GRE.EEC.S.25.XX.S.00000.15.001.00</v>
      </c>
      <c r="D185" s="900" t="s">
        <v>838</v>
      </c>
      <c r="E185" s="1155"/>
      <c r="F185" s="1156"/>
      <c r="G185" s="1156"/>
      <c r="H185" s="1370" t="s">
        <v>1597</v>
      </c>
      <c r="I185" s="1152" t="s">
        <v>345</v>
      </c>
      <c r="J185" s="168" t="s">
        <v>1461</v>
      </c>
      <c r="K185" s="44">
        <f t="shared" ref="K185:K187" si="109">AL185</f>
        <v>0</v>
      </c>
      <c r="L185" s="1290"/>
      <c r="M185" s="1290"/>
      <c r="N185" s="1297">
        <f t="shared" ref="N185:N188" si="110">L185*M185</f>
        <v>0</v>
      </c>
      <c r="O185" s="1290"/>
      <c r="P185" s="1290"/>
      <c r="Q185" s="1297">
        <f t="shared" ref="Q185:Q188" si="111">O185*P185</f>
        <v>0</v>
      </c>
      <c r="R185" s="1298"/>
      <c r="S185" s="1290"/>
      <c r="T185" s="1298"/>
      <c r="U185" s="1291">
        <f t="shared" ref="U185:U188" si="112">S185+Q185+N185</f>
        <v>0</v>
      </c>
      <c r="V185" s="45">
        <f>K185*U185</f>
        <v>0</v>
      </c>
      <c r="W185" s="217"/>
      <c r="X185" s="47"/>
      <c r="Y185" s="47"/>
      <c r="Z185" s="1225"/>
      <c r="AA185" s="1226"/>
      <c r="AB185" s="1226"/>
      <c r="AC185" s="1226"/>
      <c r="AD185" s="1226"/>
      <c r="AE185" s="1226"/>
      <c r="AF185" s="1226"/>
      <c r="AG185" s="1226"/>
      <c r="AH185" s="1226"/>
      <c r="AI185" s="1226"/>
      <c r="AJ185" s="1226"/>
      <c r="AK185" s="1227"/>
      <c r="AL185" s="1228"/>
    </row>
    <row r="186" spans="2:38" ht="43.5" customHeight="1" x14ac:dyDescent="0.2">
      <c r="B186" s="1149" t="s">
        <v>1583</v>
      </c>
      <c r="C186" s="1150" t="str">
        <f>'Reference documents'!B27</f>
        <v>GRE.EEC.S.25.XX.S.00000.15.001.00</v>
      </c>
      <c r="D186" s="900" t="s">
        <v>841</v>
      </c>
      <c r="E186" s="1223"/>
      <c r="F186" s="1224"/>
      <c r="G186" s="1224"/>
      <c r="H186" s="1370" t="s">
        <v>842</v>
      </c>
      <c r="I186" s="1152" t="s">
        <v>345</v>
      </c>
      <c r="J186" s="168" t="s">
        <v>1461</v>
      </c>
      <c r="K186" s="44">
        <f t="shared" si="109"/>
        <v>0</v>
      </c>
      <c r="L186" s="1290"/>
      <c r="M186" s="1290"/>
      <c r="N186" s="1297">
        <f t="shared" si="110"/>
        <v>0</v>
      </c>
      <c r="O186" s="1290"/>
      <c r="P186" s="1290"/>
      <c r="Q186" s="1297">
        <f t="shared" si="111"/>
        <v>0</v>
      </c>
      <c r="R186" s="1298"/>
      <c r="S186" s="1290"/>
      <c r="T186" s="1298"/>
      <c r="U186" s="1291">
        <f t="shared" si="112"/>
        <v>0</v>
      </c>
      <c r="V186" s="45">
        <f>K186*U186</f>
        <v>0</v>
      </c>
      <c r="W186" s="217"/>
      <c r="X186" s="47"/>
      <c r="Y186" s="47"/>
      <c r="Z186" s="1225"/>
      <c r="AA186" s="1226"/>
      <c r="AB186" s="1226"/>
      <c r="AC186" s="1226"/>
      <c r="AD186" s="1226"/>
      <c r="AE186" s="1226"/>
      <c r="AF186" s="1226"/>
      <c r="AG186" s="1226"/>
      <c r="AH186" s="1226"/>
      <c r="AI186" s="1226"/>
      <c r="AJ186" s="1226"/>
      <c r="AK186" s="1227"/>
      <c r="AL186" s="1228"/>
    </row>
    <row r="187" spans="2:38" ht="43.5" customHeight="1" x14ac:dyDescent="0.2">
      <c r="B187" s="1149" t="s">
        <v>1583</v>
      </c>
      <c r="C187" s="1150" t="str">
        <f>'Reference documents'!B27</f>
        <v>GRE.EEC.S.25.XX.S.00000.15.001.00</v>
      </c>
      <c r="D187" s="900" t="s">
        <v>843</v>
      </c>
      <c r="E187" s="1223"/>
      <c r="F187" s="1224"/>
      <c r="G187" s="1224"/>
      <c r="H187" s="1370" t="s">
        <v>844</v>
      </c>
      <c r="I187" s="1152" t="s">
        <v>345</v>
      </c>
      <c r="J187" s="168" t="s">
        <v>1461</v>
      </c>
      <c r="K187" s="44">
        <f t="shared" si="109"/>
        <v>0</v>
      </c>
      <c r="L187" s="1290"/>
      <c r="M187" s="1290"/>
      <c r="N187" s="1297">
        <f t="shared" si="110"/>
        <v>0</v>
      </c>
      <c r="O187" s="1290"/>
      <c r="P187" s="1290"/>
      <c r="Q187" s="1297">
        <f t="shared" si="111"/>
        <v>0</v>
      </c>
      <c r="R187" s="1298"/>
      <c r="S187" s="1290"/>
      <c r="T187" s="1298"/>
      <c r="U187" s="1291">
        <f t="shared" si="112"/>
        <v>0</v>
      </c>
      <c r="V187" s="45">
        <f>K187*U187</f>
        <v>0</v>
      </c>
      <c r="W187" s="217"/>
      <c r="X187" s="47"/>
      <c r="Y187" s="47"/>
      <c r="Z187" s="1225"/>
      <c r="AA187" s="1226"/>
      <c r="AB187" s="1226"/>
      <c r="AC187" s="1226"/>
      <c r="AD187" s="1226"/>
      <c r="AE187" s="1226"/>
      <c r="AF187" s="1226"/>
      <c r="AG187" s="1226"/>
      <c r="AH187" s="1226"/>
      <c r="AI187" s="1226"/>
      <c r="AJ187" s="1226"/>
      <c r="AK187" s="1227"/>
      <c r="AL187" s="1228"/>
    </row>
    <row r="188" spans="2:38" ht="43.5" customHeight="1" x14ac:dyDescent="0.2">
      <c r="B188" s="1149" t="s">
        <v>1583</v>
      </c>
      <c r="C188" s="1150" t="str">
        <f>'Reference documents'!B27</f>
        <v>GRE.EEC.S.25.XX.S.00000.15.001.00</v>
      </c>
      <c r="D188" s="900" t="s">
        <v>845</v>
      </c>
      <c r="E188" s="1155"/>
      <c r="F188" s="1156"/>
      <c r="G188" s="1156"/>
      <c r="H188" s="1370" t="s">
        <v>846</v>
      </c>
      <c r="I188" s="1152" t="s">
        <v>345</v>
      </c>
      <c r="J188" s="168" t="s">
        <v>1461</v>
      </c>
      <c r="K188" s="44"/>
      <c r="L188" s="1290"/>
      <c r="M188" s="1290"/>
      <c r="N188" s="1297">
        <f t="shared" si="110"/>
        <v>0</v>
      </c>
      <c r="O188" s="1290"/>
      <c r="P188" s="1290"/>
      <c r="Q188" s="1297">
        <f t="shared" si="111"/>
        <v>0</v>
      </c>
      <c r="R188" s="1298"/>
      <c r="S188" s="1290"/>
      <c r="T188" s="1298"/>
      <c r="U188" s="1291">
        <f t="shared" si="112"/>
        <v>0</v>
      </c>
      <c r="V188" s="45">
        <f>K188*U188</f>
        <v>0</v>
      </c>
      <c r="W188" s="217"/>
      <c r="X188" s="47"/>
      <c r="Y188" s="47"/>
      <c r="Z188" s="218"/>
      <c r="AA188" s="221"/>
      <c r="AB188" s="221"/>
      <c r="AC188" s="221"/>
      <c r="AD188" s="221"/>
      <c r="AE188" s="221"/>
      <c r="AF188" s="221"/>
      <c r="AG188" s="221"/>
      <c r="AH188" s="221"/>
      <c r="AI188" s="221"/>
      <c r="AJ188" s="221"/>
      <c r="AK188" s="219"/>
      <c r="AL188" s="220">
        <f>SUM(Z188:AK188)</f>
        <v>0</v>
      </c>
    </row>
    <row r="189" spans="2:38" s="47" customFormat="1" ht="15.75" x14ac:dyDescent="0.2">
      <c r="B189" s="1147"/>
      <c r="C189" s="1148"/>
      <c r="D189" s="832"/>
      <c r="E189" s="832"/>
      <c r="F189" s="332"/>
      <c r="G189" s="333"/>
      <c r="H189" s="1142" t="s">
        <v>1598</v>
      </c>
      <c r="I189" s="832"/>
      <c r="J189" s="53"/>
      <c r="K189" s="54"/>
      <c r="L189" s="54"/>
      <c r="M189" s="54"/>
      <c r="N189" s="54"/>
      <c r="O189" s="54"/>
      <c r="P189" s="54"/>
      <c r="Q189" s="54"/>
      <c r="R189" s="54"/>
      <c r="S189" s="54"/>
      <c r="T189" s="54"/>
      <c r="U189" s="55"/>
      <c r="V189" s="1378">
        <f>SUM(V130:V188)</f>
        <v>162502.81902753413</v>
      </c>
      <c r="W189" s="224"/>
      <c r="Z189" s="234"/>
      <c r="AA189" s="235"/>
      <c r="AB189" s="235"/>
      <c r="AC189" s="235"/>
      <c r="AD189" s="235"/>
      <c r="AE189" s="235"/>
      <c r="AF189" s="235"/>
      <c r="AG189" s="235"/>
      <c r="AH189" s="235"/>
      <c r="AI189" s="235"/>
      <c r="AJ189" s="235"/>
      <c r="AK189" s="226"/>
      <c r="AL189" s="227"/>
    </row>
    <row r="190" spans="2:38" s="47" customFormat="1" ht="5.25" customHeight="1" x14ac:dyDescent="0.2">
      <c r="B190" s="236"/>
      <c r="C190" s="237"/>
      <c r="D190" s="200"/>
      <c r="E190" s="833"/>
      <c r="F190" s="334"/>
      <c r="G190" s="335"/>
      <c r="H190" s="199"/>
      <c r="I190" s="200"/>
      <c r="J190" s="200"/>
      <c r="K190" s="57"/>
      <c r="L190" s="57"/>
      <c r="M190" s="57"/>
      <c r="N190" s="57"/>
      <c r="O190" s="57"/>
      <c r="P190" s="57"/>
      <c r="Q190" s="57"/>
      <c r="R190" s="57"/>
      <c r="S190" s="57"/>
      <c r="T190" s="57"/>
      <c r="U190" s="201"/>
      <c r="V190" s="202"/>
      <c r="W190" s="217"/>
      <c r="Z190" s="238"/>
      <c r="AA190" s="239"/>
      <c r="AB190" s="239"/>
      <c r="AC190" s="239"/>
      <c r="AD190" s="239"/>
      <c r="AE190" s="239"/>
      <c r="AF190" s="239"/>
      <c r="AG190" s="239"/>
      <c r="AH190" s="239"/>
      <c r="AI190" s="239"/>
      <c r="AJ190" s="239"/>
      <c r="AK190" s="230"/>
      <c r="AL190" s="231"/>
    </row>
    <row r="191" spans="2:38" ht="15.75" x14ac:dyDescent="0.2">
      <c r="B191" s="63"/>
      <c r="C191" s="167"/>
      <c r="D191" s="35"/>
      <c r="E191" s="821"/>
      <c r="F191" s="326"/>
      <c r="G191" s="327"/>
      <c r="H191" s="1371" t="s">
        <v>1599</v>
      </c>
      <c r="I191" s="35" t="s">
        <v>207</v>
      </c>
      <c r="J191" s="35" t="s">
        <v>207</v>
      </c>
      <c r="K191" s="36" t="s">
        <v>207</v>
      </c>
      <c r="L191" s="36"/>
      <c r="M191" s="36"/>
      <c r="N191" s="36"/>
      <c r="O191" s="36"/>
      <c r="P191" s="36"/>
      <c r="Q191" s="36"/>
      <c r="R191" s="36"/>
      <c r="S191" s="36"/>
      <c r="T191" s="36"/>
      <c r="U191" s="37"/>
      <c r="V191" s="38"/>
      <c r="W191" s="206"/>
      <c r="Z191" s="207"/>
      <c r="AA191" s="210"/>
      <c r="AB191" s="210"/>
      <c r="AC191" s="210"/>
      <c r="AD191" s="210"/>
      <c r="AE191" s="210"/>
      <c r="AF191" s="210"/>
      <c r="AG191" s="210"/>
      <c r="AH191" s="210"/>
      <c r="AI191" s="210"/>
      <c r="AJ191" s="210"/>
      <c r="AK191" s="208"/>
      <c r="AL191" s="209"/>
    </row>
    <row r="192" spans="2:38" ht="25.5" customHeight="1" outlineLevel="1" x14ac:dyDescent="0.2">
      <c r="B192" s="1171" t="s">
        <v>1600</v>
      </c>
      <c r="C192" s="1172" t="str">
        <f>'Reference documents'!B27</f>
        <v>GRE.EEC.S.25.XX.S.00000.15.001.00</v>
      </c>
      <c r="D192" s="43" t="s">
        <v>1601</v>
      </c>
      <c r="E192" s="1173" t="s">
        <v>155</v>
      </c>
      <c r="F192" s="1174"/>
      <c r="G192" s="58"/>
      <c r="H192" s="1175" t="s">
        <v>1602</v>
      </c>
      <c r="I192" s="43" t="s">
        <v>1379</v>
      </c>
      <c r="J192" s="43" t="s">
        <v>1380</v>
      </c>
      <c r="K192" s="44">
        <v>0</v>
      </c>
      <c r="L192" s="1290"/>
      <c r="M192" s="1290"/>
      <c r="N192" s="1297">
        <f>L192*M192</f>
        <v>0</v>
      </c>
      <c r="O192" s="1290"/>
      <c r="P192" s="1290"/>
      <c r="Q192" s="1297">
        <f>O192*P192</f>
        <v>0</v>
      </c>
      <c r="R192" s="1298"/>
      <c r="S192" s="1290"/>
      <c r="T192" s="1298"/>
      <c r="U192" s="1291">
        <f>S192+Q192+N192</f>
        <v>0</v>
      </c>
      <c r="V192" s="45">
        <f>K192*U192</f>
        <v>0</v>
      </c>
      <c r="W192" s="217"/>
      <c r="Z192" s="218"/>
      <c r="AA192" s="221"/>
      <c r="AB192" s="221"/>
      <c r="AC192" s="221"/>
      <c r="AD192" s="221"/>
      <c r="AE192" s="221"/>
      <c r="AF192" s="221"/>
      <c r="AG192" s="221"/>
      <c r="AH192" s="221"/>
      <c r="AI192" s="221"/>
      <c r="AJ192" s="221"/>
      <c r="AK192" s="219"/>
      <c r="AL192" s="220"/>
    </row>
    <row r="193" spans="3:38" outlineLevel="1" x14ac:dyDescent="0.2"/>
    <row r="194" spans="3:38" outlineLevel="1" x14ac:dyDescent="0.2"/>
    <row r="195" spans="3:38" ht="15" customHeight="1" outlineLevel="1" x14ac:dyDescent="0.2"/>
    <row r="196" spans="3:38" ht="12.75" customHeight="1" outlineLevel="1" x14ac:dyDescent="0.2"/>
    <row r="197" spans="3:38" ht="25.5" outlineLevel="1" x14ac:dyDescent="0.2">
      <c r="C197" s="480" t="str">
        <f>'Reference documents'!B27</f>
        <v>GRE.EEC.S.25.XX.S.00000.15.001.00</v>
      </c>
      <c r="D197" s="43"/>
      <c r="E197" s="829"/>
      <c r="F197" s="434"/>
      <c r="G197" s="435"/>
      <c r="H197" s="1365" t="s">
        <v>1603</v>
      </c>
      <c r="I197" s="43"/>
      <c r="J197" s="43"/>
      <c r="K197" s="44">
        <f>AL197</f>
        <v>0</v>
      </c>
      <c r="L197" s="1290"/>
      <c r="M197" s="1290"/>
      <c r="N197" s="1297">
        <f>L197*M197</f>
        <v>0</v>
      </c>
      <c r="O197" s="1290"/>
      <c r="P197" s="1290"/>
      <c r="Q197" s="1297">
        <f>O197*P197</f>
        <v>0</v>
      </c>
      <c r="R197" s="1298"/>
      <c r="S197" s="1290"/>
      <c r="T197" s="1298"/>
      <c r="U197" s="1291">
        <f>S197+Q197+N197</f>
        <v>0</v>
      </c>
      <c r="V197" s="45">
        <f>K197*U197</f>
        <v>0</v>
      </c>
      <c r="W197" s="217"/>
      <c r="Z197" s="218"/>
      <c r="AA197" s="221"/>
      <c r="AB197" s="221"/>
      <c r="AC197" s="221"/>
      <c r="AD197" s="221"/>
      <c r="AE197" s="221"/>
      <c r="AF197" s="221"/>
      <c r="AG197" s="221"/>
      <c r="AH197" s="221"/>
      <c r="AI197" s="221"/>
      <c r="AJ197" s="221"/>
      <c r="AK197" s="219"/>
      <c r="AL197" s="220">
        <f>SUMPRODUCT($Z$4:$AK$4,Z197:AK197)</f>
        <v>0</v>
      </c>
    </row>
    <row r="198" spans="3:38" s="47" customFormat="1" ht="16.5" thickBot="1" x14ac:dyDescent="0.25">
      <c r="C198" s="169"/>
      <c r="D198" s="65"/>
      <c r="E198" s="839"/>
      <c r="F198" s="341"/>
      <c r="G198" s="342"/>
      <c r="H198" s="66" t="s">
        <v>1604</v>
      </c>
      <c r="I198" s="67"/>
      <c r="J198" s="67"/>
      <c r="K198" s="68"/>
      <c r="L198" s="68"/>
      <c r="M198" s="68"/>
      <c r="N198" s="68"/>
      <c r="O198" s="68"/>
      <c r="P198" s="68"/>
      <c r="Q198" s="68"/>
      <c r="R198" s="68"/>
      <c r="S198" s="68"/>
      <c r="T198" s="68"/>
      <c r="U198" s="69"/>
      <c r="V198" s="1377">
        <f>SUM(V192:V197)</f>
        <v>0</v>
      </c>
      <c r="W198" s="249"/>
      <c r="Z198" s="250"/>
      <c r="AA198" s="253"/>
      <c r="AB198" s="253"/>
      <c r="AC198" s="253"/>
      <c r="AD198" s="253"/>
      <c r="AE198" s="253"/>
      <c r="AF198" s="253"/>
      <c r="AG198" s="253"/>
      <c r="AH198" s="253"/>
      <c r="AI198" s="253"/>
      <c r="AJ198" s="253"/>
      <c r="AK198" s="251"/>
      <c r="AL198" s="252"/>
    </row>
    <row r="199" spans="3:38" s="47" customFormat="1" ht="5.25" customHeight="1" x14ac:dyDescent="0.2">
      <c r="C199" s="70"/>
      <c r="D199" s="70"/>
      <c r="E199" s="70"/>
      <c r="F199" s="71"/>
      <c r="G199" s="71"/>
      <c r="H199" s="71"/>
      <c r="I199" s="70"/>
      <c r="J199" s="70"/>
      <c r="K199" s="72"/>
      <c r="L199" s="72"/>
      <c r="M199" s="72"/>
      <c r="N199" s="72"/>
      <c r="O199" s="72"/>
      <c r="P199" s="72"/>
      <c r="Q199" s="72"/>
      <c r="R199" s="72"/>
      <c r="S199" s="72"/>
      <c r="T199" s="72"/>
      <c r="U199" s="73"/>
      <c r="V199" s="74"/>
      <c r="W199" s="75"/>
    </row>
    <row r="200" spans="3:38" s="78" customFormat="1" ht="16.5" thickBot="1" x14ac:dyDescent="0.25">
      <c r="C200" s="76"/>
      <c r="D200" s="76"/>
      <c r="E200" s="76"/>
      <c r="F200" s="321"/>
      <c r="G200" s="321"/>
      <c r="H200" s="1372" t="s">
        <v>1605</v>
      </c>
      <c r="I200" s="76"/>
      <c r="J200" s="76"/>
      <c r="K200" s="76"/>
      <c r="L200" s="76"/>
      <c r="M200" s="76"/>
      <c r="N200" s="76"/>
      <c r="O200" s="76"/>
      <c r="P200" s="76"/>
      <c r="Q200" s="76"/>
      <c r="R200" s="76"/>
      <c r="S200" s="76"/>
      <c r="T200" s="76"/>
      <c r="U200" s="76"/>
      <c r="V200" s="1425">
        <f>+V31+V72+V103+V108+V126+V198+V189</f>
        <v>973826.97272593633</v>
      </c>
      <c r="W200" s="77"/>
    </row>
    <row r="205" spans="3:38" x14ac:dyDescent="0.2">
      <c r="H205" s="1373" t="s">
        <v>695</v>
      </c>
    </row>
  </sheetData>
  <autoFilter ref="B8:AL198" xr:uid="{7056D248-2C3B-4D64-895E-21B758E19FEA}">
    <filterColumn colId="10" showButton="0"/>
    <filterColumn colId="11" showButton="0"/>
    <filterColumn colId="13" showButton="0"/>
    <filterColumn colId="14" showButton="0"/>
    <filterColumn colId="15" showButton="0"/>
    <filterColumn colId="17" showButton="0"/>
  </autoFilter>
  <mergeCells count="5">
    <mergeCell ref="L8:N8"/>
    <mergeCell ref="O8:R8"/>
    <mergeCell ref="S8:T8"/>
    <mergeCell ref="B6:W6"/>
    <mergeCell ref="Z6:AL6"/>
  </mergeCells>
  <dataValidations count="1">
    <dataValidation type="decimal" operator="greaterThanOrEqual" allowBlank="1" showInputMessage="1" showErrorMessage="1" sqref="S15:S23 O15:P23 L15:M23 S12:S13 O12:P13 L12:M13 S25:S30 O25:P30 L25:M30 S35:S38 O35:P38 L35:M38 S40:S46 O40:P46 L40:M46 S48:S52 O48:P52 L48:M52 S54:S63 O54:P63 L54:M63 S65:S71 O65:P71 L65:M71 S76:S78 O76:P78 L76:M78 S80:S84 O80:P84 L80:M84 S86:S90 O86:P90 L86:M90 S92:S102 O92:P102 L92:M102 S107 O107:P107 L107:M107 S112:S118 O112:P118 L112:M118 S120:S125 O120:P125 L120:M125 S130:S131 O130:P131 L130:M131 S133:S149 O133:P149 L133:M149 S151:S156 O151:P156 L151:M156 S158:S171 O158:P171 L158:M171 S173:S177 O173:P177 L173:M177 S179:S183 O179:P183 L179:M183 S185:S188 O185:P188 L185:M188 S192 O192:P192 L192:M192 S197 O197:P197 L197:M197" xr:uid="{778B02A3-E2CE-403D-A014-1800E8BDA097}">
      <formula1>0</formula1>
    </dataValidation>
  </dataValidations>
  <pageMargins left="0.75" right="0.75" top="1" bottom="1" header="0" footer="0"/>
  <pageSetup paperSize="9" scale="16" orientation="portrait" r:id="rId1"/>
  <headerFooter alignWithMargins="0">
    <oddHeader>&amp;C&amp;"Arial"&amp;8&amp;K000000 INTERNAL&amp;1#_x000D_</oddHeader>
  </headerFooter>
  <drawing r:id="rId2"/>
  <legacyDrawing r:id="rId3"/>
  <mc:AlternateContent xmlns:mc="http://schemas.openxmlformats.org/markup-compatibility/2006">
    <mc:Choice Requires="x14">
      <controls>
        <mc:AlternateContent xmlns:mc="http://schemas.openxmlformats.org/markup-compatibility/2006">
          <mc:Choice Requires="x14">
            <control shapeId="41985" r:id="rId4" name="Check Box 1">
              <controlPr defaultSize="0" autoFill="0" autoLine="0" autoPict="0">
                <anchor moveWithCells="1">
                  <from>
                    <xdr:col>25</xdr:col>
                    <xdr:colOff>0</xdr:colOff>
                    <xdr:row>0</xdr:row>
                    <xdr:rowOff>47625</xdr:rowOff>
                  </from>
                  <to>
                    <xdr:col>37</xdr:col>
                    <xdr:colOff>257175</xdr:colOff>
                    <xdr:row>3</xdr:row>
                    <xdr:rowOff>47625</xdr:rowOff>
                  </to>
                </anchor>
              </controlPr>
            </control>
          </mc:Choice>
        </mc:AlternateContent>
        <mc:AlternateContent xmlns:mc="http://schemas.openxmlformats.org/markup-compatibility/2006">
          <mc:Choice Requires="x14">
            <control shapeId="41987" r:id="rId5" name="Check Box 3">
              <controlPr defaultSize="0" autoFill="0" autoLine="0" autoPict="0">
                <anchor moveWithCells="1">
                  <from>
                    <xdr:col>25</xdr:col>
                    <xdr:colOff>276225</xdr:colOff>
                    <xdr:row>0</xdr:row>
                    <xdr:rowOff>47625</xdr:rowOff>
                  </from>
                  <to>
                    <xdr:col>37</xdr:col>
                    <xdr:colOff>257175</xdr:colOff>
                    <xdr:row>3</xdr:row>
                    <xdr:rowOff>47625</xdr:rowOff>
                  </to>
                </anchor>
              </controlPr>
            </control>
          </mc:Choice>
        </mc:AlternateContent>
        <mc:AlternateContent xmlns:mc="http://schemas.openxmlformats.org/markup-compatibility/2006">
          <mc:Choice Requires="x14">
            <control shapeId="41988" r:id="rId6" name="Check Box 4">
              <controlPr defaultSize="0" autoFill="0" autoLine="0" autoPict="0">
                <anchor moveWithCells="1">
                  <from>
                    <xdr:col>26</xdr:col>
                    <xdr:colOff>276225</xdr:colOff>
                    <xdr:row>0</xdr:row>
                    <xdr:rowOff>47625</xdr:rowOff>
                  </from>
                  <to>
                    <xdr:col>37</xdr:col>
                    <xdr:colOff>257175</xdr:colOff>
                    <xdr:row>3</xdr:row>
                    <xdr:rowOff>47625</xdr:rowOff>
                  </to>
                </anchor>
              </controlPr>
            </control>
          </mc:Choice>
        </mc:AlternateContent>
        <mc:AlternateContent xmlns:mc="http://schemas.openxmlformats.org/markup-compatibility/2006">
          <mc:Choice Requires="x14">
            <control shapeId="41989" r:id="rId7" name="Check Box 5">
              <controlPr defaultSize="0" autoFill="0" autoLine="0" autoPict="0">
                <anchor moveWithCells="1">
                  <from>
                    <xdr:col>27</xdr:col>
                    <xdr:colOff>276225</xdr:colOff>
                    <xdr:row>0</xdr:row>
                    <xdr:rowOff>47625</xdr:rowOff>
                  </from>
                  <to>
                    <xdr:col>37</xdr:col>
                    <xdr:colOff>257175</xdr:colOff>
                    <xdr:row>3</xdr:row>
                    <xdr:rowOff>47625</xdr:rowOff>
                  </to>
                </anchor>
              </controlPr>
            </control>
          </mc:Choice>
        </mc:AlternateContent>
        <mc:AlternateContent xmlns:mc="http://schemas.openxmlformats.org/markup-compatibility/2006">
          <mc:Choice Requires="x14">
            <control shapeId="41990" r:id="rId8" name="Check Box 6">
              <controlPr defaultSize="0" autoFill="0" autoLine="0" autoPict="0">
                <anchor moveWithCells="1">
                  <from>
                    <xdr:col>28</xdr:col>
                    <xdr:colOff>276225</xdr:colOff>
                    <xdr:row>0</xdr:row>
                    <xdr:rowOff>47625</xdr:rowOff>
                  </from>
                  <to>
                    <xdr:col>37</xdr:col>
                    <xdr:colOff>257175</xdr:colOff>
                    <xdr:row>3</xdr:row>
                    <xdr:rowOff>47625</xdr:rowOff>
                  </to>
                </anchor>
              </controlPr>
            </control>
          </mc:Choice>
        </mc:AlternateContent>
        <mc:AlternateContent xmlns:mc="http://schemas.openxmlformats.org/markup-compatibility/2006">
          <mc:Choice Requires="x14">
            <control shapeId="41991" r:id="rId9" name="Check Box 7">
              <controlPr defaultSize="0" autoFill="0" autoLine="0" autoPict="0">
                <anchor moveWithCells="1">
                  <from>
                    <xdr:col>29</xdr:col>
                    <xdr:colOff>0</xdr:colOff>
                    <xdr:row>0</xdr:row>
                    <xdr:rowOff>47625</xdr:rowOff>
                  </from>
                  <to>
                    <xdr:col>37</xdr:col>
                    <xdr:colOff>257175</xdr:colOff>
                    <xdr:row>3</xdr:row>
                    <xdr:rowOff>47625</xdr:rowOff>
                  </to>
                </anchor>
              </controlPr>
            </control>
          </mc:Choice>
        </mc:AlternateContent>
        <mc:AlternateContent xmlns:mc="http://schemas.openxmlformats.org/markup-compatibility/2006">
          <mc:Choice Requires="x14">
            <control shapeId="41992" r:id="rId10" name="Check Box 8">
              <controlPr defaultSize="0" autoFill="0" autoLine="0" autoPict="0">
                <anchor moveWithCells="1">
                  <from>
                    <xdr:col>29</xdr:col>
                    <xdr:colOff>0</xdr:colOff>
                    <xdr:row>0</xdr:row>
                    <xdr:rowOff>47625</xdr:rowOff>
                  </from>
                  <to>
                    <xdr:col>37</xdr:col>
                    <xdr:colOff>257175</xdr:colOff>
                    <xdr:row>3</xdr:row>
                    <xdr:rowOff>47625</xdr:rowOff>
                  </to>
                </anchor>
              </controlPr>
            </control>
          </mc:Choice>
        </mc:AlternateContent>
        <mc:AlternateContent xmlns:mc="http://schemas.openxmlformats.org/markup-compatibility/2006">
          <mc:Choice Requires="x14">
            <control shapeId="41993" r:id="rId11" name="Check Box 9">
              <controlPr defaultSize="0" autoFill="0" autoLine="0" autoPict="0">
                <anchor moveWithCells="1">
                  <from>
                    <xdr:col>29</xdr:col>
                    <xdr:colOff>276225</xdr:colOff>
                    <xdr:row>0</xdr:row>
                    <xdr:rowOff>47625</xdr:rowOff>
                  </from>
                  <to>
                    <xdr:col>37</xdr:col>
                    <xdr:colOff>266700</xdr:colOff>
                    <xdr:row>3</xdr:row>
                    <xdr:rowOff>47625</xdr:rowOff>
                  </to>
                </anchor>
              </controlPr>
            </control>
          </mc:Choice>
        </mc:AlternateContent>
        <mc:AlternateContent xmlns:mc="http://schemas.openxmlformats.org/markup-compatibility/2006">
          <mc:Choice Requires="x14">
            <control shapeId="41994" r:id="rId12" name="Check Box 10">
              <controlPr defaultSize="0" autoFill="0" autoLine="0" autoPict="0">
                <anchor moveWithCells="1">
                  <from>
                    <xdr:col>30</xdr:col>
                    <xdr:colOff>276225</xdr:colOff>
                    <xdr:row>0</xdr:row>
                    <xdr:rowOff>47625</xdr:rowOff>
                  </from>
                  <to>
                    <xdr:col>37</xdr:col>
                    <xdr:colOff>257175</xdr:colOff>
                    <xdr:row>3</xdr:row>
                    <xdr:rowOff>47625</xdr:rowOff>
                  </to>
                </anchor>
              </controlPr>
            </control>
          </mc:Choice>
        </mc:AlternateContent>
        <mc:AlternateContent xmlns:mc="http://schemas.openxmlformats.org/markup-compatibility/2006">
          <mc:Choice Requires="x14">
            <control shapeId="41995" r:id="rId13" name="Check Box 11">
              <controlPr defaultSize="0" autoFill="0" autoLine="0" autoPict="0">
                <anchor moveWithCells="1">
                  <from>
                    <xdr:col>31</xdr:col>
                    <xdr:colOff>276225</xdr:colOff>
                    <xdr:row>0</xdr:row>
                    <xdr:rowOff>47625</xdr:rowOff>
                  </from>
                  <to>
                    <xdr:col>37</xdr:col>
                    <xdr:colOff>295275</xdr:colOff>
                    <xdr:row>3</xdr:row>
                    <xdr:rowOff>47625</xdr:rowOff>
                  </to>
                </anchor>
              </controlPr>
            </control>
          </mc:Choice>
        </mc:AlternateContent>
        <mc:AlternateContent xmlns:mc="http://schemas.openxmlformats.org/markup-compatibility/2006">
          <mc:Choice Requires="x14">
            <control shapeId="41996" r:id="rId14" name="Check Box 12">
              <controlPr defaultSize="0" autoFill="0" autoLine="0" autoPict="0">
                <anchor moveWithCells="1">
                  <from>
                    <xdr:col>32</xdr:col>
                    <xdr:colOff>276225</xdr:colOff>
                    <xdr:row>0</xdr:row>
                    <xdr:rowOff>47625</xdr:rowOff>
                  </from>
                  <to>
                    <xdr:col>37</xdr:col>
                    <xdr:colOff>295275</xdr:colOff>
                    <xdr:row>3</xdr:row>
                    <xdr:rowOff>47625</xdr:rowOff>
                  </to>
                </anchor>
              </controlPr>
            </control>
          </mc:Choice>
        </mc:AlternateContent>
        <mc:AlternateContent xmlns:mc="http://schemas.openxmlformats.org/markup-compatibility/2006">
          <mc:Choice Requires="x14">
            <control shapeId="41997" r:id="rId15" name="Check Box 13">
              <controlPr defaultSize="0" autoFill="0" autoLine="0" autoPict="0">
                <anchor moveWithCells="1">
                  <from>
                    <xdr:col>33</xdr:col>
                    <xdr:colOff>276225</xdr:colOff>
                    <xdr:row>0</xdr:row>
                    <xdr:rowOff>47625</xdr:rowOff>
                  </from>
                  <to>
                    <xdr:col>37</xdr:col>
                    <xdr:colOff>257175</xdr:colOff>
                    <xdr:row>3</xdr:row>
                    <xdr:rowOff>47625</xdr:rowOff>
                  </to>
                </anchor>
              </controlPr>
            </control>
          </mc:Choice>
        </mc:AlternateContent>
        <mc:AlternateContent xmlns:mc="http://schemas.openxmlformats.org/markup-compatibility/2006">
          <mc:Choice Requires="x14">
            <control shapeId="41998" r:id="rId16" name="Check Box 14">
              <controlPr defaultSize="0" autoFill="0" autoLine="0" autoPict="0">
                <anchor moveWithCells="1">
                  <from>
                    <xdr:col>34</xdr:col>
                    <xdr:colOff>276225</xdr:colOff>
                    <xdr:row>0</xdr:row>
                    <xdr:rowOff>47625</xdr:rowOff>
                  </from>
                  <to>
                    <xdr:col>37</xdr:col>
                    <xdr:colOff>257175</xdr:colOff>
                    <xdr:row>3</xdr:row>
                    <xdr:rowOff>47625</xdr:rowOff>
                  </to>
                </anchor>
              </controlPr>
            </control>
          </mc:Choice>
        </mc:AlternateContent>
        <mc:AlternateContent xmlns:mc="http://schemas.openxmlformats.org/markup-compatibility/2006">
          <mc:Choice Requires="x14">
            <control shapeId="41999" r:id="rId17" name="Check Box 15">
              <controlPr defaultSize="0" autoFill="0" autoLine="0" autoPict="0">
                <anchor moveWithCells="1">
                  <from>
                    <xdr:col>35</xdr:col>
                    <xdr:colOff>276225</xdr:colOff>
                    <xdr:row>0</xdr:row>
                    <xdr:rowOff>47625</xdr:rowOff>
                  </from>
                  <to>
                    <xdr:col>37</xdr:col>
                    <xdr:colOff>257175</xdr:colOff>
                    <xdr:row>3</xdr:row>
                    <xdr:rowOff>47625</xdr:rowOff>
                  </to>
                </anchor>
              </controlPr>
            </control>
          </mc:Choice>
        </mc:AlternateContent>
        <mc:AlternateContent xmlns:mc="http://schemas.openxmlformats.org/markup-compatibility/2006">
          <mc:Choice Requires="x14">
            <control shapeId="42000" r:id="rId18" name="Check Box 16">
              <controlPr defaultSize="0" autoFill="0" autoLine="0" autoPict="0">
                <anchor moveWithCells="1">
                  <from>
                    <xdr:col>36</xdr:col>
                    <xdr:colOff>276225</xdr:colOff>
                    <xdr:row>0</xdr:row>
                    <xdr:rowOff>47625</xdr:rowOff>
                  </from>
                  <to>
                    <xdr:col>37</xdr:col>
                    <xdr:colOff>257175</xdr:colOff>
                    <xdr:row>3</xdr:row>
                    <xdr:rowOff>47625</xdr:rowOff>
                  </to>
                </anchor>
              </controlPr>
            </control>
          </mc:Choice>
        </mc:AlternateContent>
        <mc:AlternateContent xmlns:mc="http://schemas.openxmlformats.org/markup-compatibility/2006">
          <mc:Choice Requires="x14">
            <control shapeId="42001" r:id="rId19" name="Check Box 17">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02" r:id="rId20" name="Check Box 18">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03" r:id="rId21" name="Check Box 19">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04" r:id="rId22" name="Check Box 20">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05" r:id="rId23" name="Check Box 21">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06" r:id="rId24" name="Check Box 22">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07" r:id="rId25" name="Check Box 23">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08" r:id="rId26" name="Check Box 24">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09" r:id="rId27" name="Check Box 25">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10" r:id="rId28" name="Check Box 26">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11" r:id="rId29" name="Check Box 27">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12" r:id="rId30" name="Check Box 28">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13" r:id="rId31" name="Check Box 29">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14" r:id="rId32" name="Check Box 30">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15" r:id="rId33" name="Check Box 31">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16" r:id="rId34" name="Check Box 32">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17" r:id="rId35" name="Check Box 33">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18" r:id="rId36" name="Check Box 34">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19" r:id="rId37" name="Check Box 35">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20" r:id="rId38" name="Check Box 36">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21" r:id="rId39" name="Check Box 37">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22" r:id="rId40" name="Check Box 38">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23" r:id="rId41" name="Check Box 39">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24" r:id="rId42" name="Check Box 40">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25" r:id="rId43" name="Check Box 41">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26" r:id="rId44" name="Check Box 42">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27" r:id="rId45" name="Check Box 43">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28" r:id="rId46" name="Check Box 44">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29" r:id="rId47" name="Check Box 45">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30" r:id="rId48" name="Check Box 46">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31" r:id="rId49" name="Check Box 47">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32" r:id="rId50" name="Check Box 48">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33" r:id="rId51" name="Check Box 49">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34" r:id="rId52" name="Check Box 50">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35" r:id="rId53" name="Check Box 51">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36" r:id="rId54" name="Check Box 52">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37" r:id="rId55" name="Check Box 53">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38" r:id="rId56" name="Check Box 54">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39" r:id="rId57" name="Check Box 55">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40" r:id="rId58" name="Check Box 56">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41" r:id="rId59" name="Check Box 57">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42" r:id="rId60" name="Check Box 58">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43" r:id="rId61" name="Check Box 59">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44" r:id="rId62" name="Check Box 60">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45" r:id="rId63" name="Check Box 61">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46" r:id="rId64" name="Check Box 62">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47" r:id="rId65" name="Check Box 63">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48" r:id="rId66" name="Check Box 64">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49" r:id="rId67" name="Check Box 65">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50" r:id="rId68" name="Check Box 66">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51" r:id="rId69" name="Check Box 67">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52" r:id="rId70" name="Check Box 68">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53" r:id="rId71" name="Check Box 69">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54" r:id="rId72" name="Check Box 70">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55" r:id="rId73" name="Check Box 71">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mc:AlternateContent xmlns:mc="http://schemas.openxmlformats.org/markup-compatibility/2006">
          <mc:Choice Requires="x14">
            <control shapeId="42056" r:id="rId74" name="Check Box 72">
              <controlPr defaultSize="0" autoFill="0" autoLine="0" autoPict="0">
                <anchor moveWithCells="1">
                  <from>
                    <xdr:col>39</xdr:col>
                    <xdr:colOff>0</xdr:colOff>
                    <xdr:row>0</xdr:row>
                    <xdr:rowOff>47625</xdr:rowOff>
                  </from>
                  <to>
                    <xdr:col>39</xdr:col>
                    <xdr:colOff>257175</xdr:colOff>
                    <xdr:row>3</xdr:row>
                    <xdr:rowOff>47625</xdr:rowOff>
                  </to>
                </anchor>
              </controlPr>
            </control>
          </mc:Choice>
        </mc:AlternateContent>
      </controls>
    </mc:Choice>
  </mc:AlternateConten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A1382-11F7-45DB-8DFA-E929DBA1C75A}">
  <sheetPr>
    <tabColor rgb="FF00B050"/>
  </sheetPr>
  <dimension ref="B3:U112"/>
  <sheetViews>
    <sheetView showGridLines="0" topLeftCell="D1" zoomScale="70" zoomScaleNormal="70" zoomScaleSheetLayoutView="85" workbookViewId="0">
      <pane xSplit="5" ySplit="8" topLeftCell="I73" activePane="bottomRight" state="frozen"/>
      <selection activeCell="G29" sqref="G29"/>
      <selection pane="topRight" activeCell="G29" sqref="G29"/>
      <selection pane="bottomLeft" activeCell="G29" sqref="G29"/>
      <selection pane="bottomRight" activeCell="G29" sqref="G29"/>
    </sheetView>
  </sheetViews>
  <sheetFormatPr defaultColWidth="11.5703125" defaultRowHeight="12.75" outlineLevelRow="1" x14ac:dyDescent="0.2"/>
  <cols>
    <col min="1" max="1" width="2.5703125" style="135" customWidth="1"/>
    <col min="2" max="2" width="15.5703125" style="149" customWidth="1"/>
    <col min="3" max="3" width="31.42578125" style="149" customWidth="1"/>
    <col min="4" max="4" width="15.5703125" style="149" customWidth="1"/>
    <col min="5" max="5" width="100.5703125" style="135" customWidth="1"/>
    <col min="6" max="6" width="33.140625" style="135" customWidth="1"/>
    <col min="7" max="7" width="8.5703125" style="149" customWidth="1"/>
    <col min="8" max="8" width="8.5703125" style="149" hidden="1" customWidth="1"/>
    <col min="9" max="18" width="16.7109375" style="149" customWidth="1"/>
    <col min="19" max="19" width="15.5703125" style="149" customWidth="1"/>
    <col min="20" max="20" width="20.5703125" style="149" customWidth="1"/>
    <col min="21" max="21" width="30.5703125" style="105" customWidth="1"/>
    <col min="22" max="23" width="2.5703125" style="135" customWidth="1"/>
    <col min="24" max="16384" width="11.5703125" style="135"/>
  </cols>
  <sheetData>
    <row r="3" spans="2:21" x14ac:dyDescent="0.2">
      <c r="T3" s="149">
        <f>+SUBTOTAL(9,T13:T105)</f>
        <v>1022447.0162225312</v>
      </c>
    </row>
    <row r="5" spans="2:21" ht="17.649999999999999" customHeight="1" x14ac:dyDescent="0.2">
      <c r="B5" s="1658" t="s">
        <v>1606</v>
      </c>
      <c r="C5" s="1659"/>
      <c r="D5" s="1659"/>
      <c r="E5" s="1659"/>
      <c r="F5" s="1659"/>
      <c r="G5" s="1659"/>
      <c r="H5" s="1659"/>
      <c r="I5" s="1659"/>
      <c r="J5" s="1659"/>
      <c r="K5" s="1659"/>
      <c r="L5" s="1659"/>
      <c r="M5" s="1659"/>
      <c r="N5" s="1659"/>
      <c r="O5" s="1659"/>
      <c r="P5" s="1659"/>
      <c r="Q5" s="1659"/>
      <c r="R5" s="1659"/>
      <c r="S5" s="1659"/>
      <c r="T5" s="1659"/>
      <c r="U5" s="1660"/>
    </row>
    <row r="6" spans="2:21" ht="5.25" customHeight="1" thickBot="1" x14ac:dyDescent="0.25">
      <c r="B6" s="472"/>
      <c r="C6" s="14"/>
      <c r="D6" s="15"/>
      <c r="E6" s="473"/>
      <c r="F6" s="473"/>
      <c r="G6" s="16"/>
      <c r="H6" s="16"/>
      <c r="I6" s="17"/>
      <c r="J6" s="17"/>
      <c r="K6" s="17"/>
      <c r="L6" s="17"/>
      <c r="M6" s="17"/>
      <c r="N6" s="17"/>
      <c r="O6" s="17"/>
      <c r="P6" s="17"/>
      <c r="Q6" s="17"/>
      <c r="R6" s="17"/>
      <c r="S6" s="17"/>
      <c r="T6" s="17"/>
      <c r="U6" s="474"/>
    </row>
    <row r="7" spans="2:21" s="93" customFormat="1" ht="25.5" x14ac:dyDescent="0.25">
      <c r="B7" s="190" t="s">
        <v>135</v>
      </c>
      <c r="C7" s="191" t="s">
        <v>1353</v>
      </c>
      <c r="D7" s="191" t="s">
        <v>1354</v>
      </c>
      <c r="E7" s="192" t="s">
        <v>187</v>
      </c>
      <c r="F7" s="192" t="s">
        <v>139</v>
      </c>
      <c r="G7" s="193" t="s">
        <v>1356</v>
      </c>
      <c r="H7" s="193" t="s">
        <v>1357</v>
      </c>
      <c r="I7" s="193" t="s">
        <v>1358</v>
      </c>
      <c r="J7" s="1528" t="s">
        <v>142</v>
      </c>
      <c r="K7" s="1528"/>
      <c r="L7" s="1528"/>
      <c r="M7" s="1528" t="s">
        <v>143</v>
      </c>
      <c r="N7" s="1528"/>
      <c r="O7" s="1528"/>
      <c r="P7" s="1528"/>
      <c r="Q7" s="1528" t="s">
        <v>144</v>
      </c>
      <c r="R7" s="1528"/>
      <c r="S7" s="193" t="s">
        <v>1359</v>
      </c>
      <c r="T7" s="193" t="s">
        <v>1607</v>
      </c>
      <c r="U7" s="194" t="s">
        <v>1361</v>
      </c>
    </row>
    <row r="8" spans="2:21" s="347" customFormat="1" ht="27.95" customHeight="1" x14ac:dyDescent="0.2">
      <c r="B8" s="475"/>
      <c r="C8" s="343"/>
      <c r="D8" s="229"/>
      <c r="E8" s="199"/>
      <c r="F8" s="199"/>
      <c r="G8" s="200"/>
      <c r="H8" s="200"/>
      <c r="I8" s="344"/>
      <c r="J8" s="983" t="s">
        <v>148</v>
      </c>
      <c r="K8" s="983" t="s">
        <v>149</v>
      </c>
      <c r="L8" s="983" t="s">
        <v>150</v>
      </c>
      <c r="M8" s="983" t="s">
        <v>148</v>
      </c>
      <c r="N8" s="983" t="s">
        <v>149</v>
      </c>
      <c r="O8" s="983" t="s">
        <v>150</v>
      </c>
      <c r="P8" s="983" t="s">
        <v>151</v>
      </c>
      <c r="Q8" s="983" t="s">
        <v>150</v>
      </c>
      <c r="R8" s="983" t="s">
        <v>152</v>
      </c>
      <c r="S8" s="201"/>
      <c r="T8" s="345"/>
      <c r="U8" s="346"/>
    </row>
    <row r="9" spans="2:21" s="136" customFormat="1" ht="14.25" collapsed="1" x14ac:dyDescent="0.2">
      <c r="B9" s="476"/>
      <c r="C9" s="348"/>
      <c r="D9" s="349"/>
      <c r="E9" s="350" t="s">
        <v>1374</v>
      </c>
      <c r="F9" s="350"/>
      <c r="G9" s="349" t="s">
        <v>207</v>
      </c>
      <c r="H9" s="349" t="s">
        <v>207</v>
      </c>
      <c r="I9" s="350"/>
      <c r="J9" s="36"/>
      <c r="K9" s="36"/>
      <c r="L9" s="36"/>
      <c r="M9" s="36"/>
      <c r="N9" s="36"/>
      <c r="O9" s="36"/>
      <c r="P9" s="36"/>
      <c r="Q9" s="36"/>
      <c r="R9" s="36"/>
      <c r="S9" s="37"/>
      <c r="T9" s="352"/>
      <c r="U9" s="353"/>
    </row>
    <row r="10" spans="2:21" x14ac:dyDescent="0.2">
      <c r="B10" s="477"/>
      <c r="C10" s="354"/>
      <c r="D10" s="355"/>
      <c r="E10" s="222" t="s">
        <v>1375</v>
      </c>
      <c r="F10" s="222"/>
      <c r="G10" s="356" t="s">
        <v>207</v>
      </c>
      <c r="H10" s="356" t="s">
        <v>207</v>
      </c>
      <c r="I10" s="357"/>
      <c r="J10" s="41"/>
      <c r="K10" s="41"/>
      <c r="L10" s="41"/>
      <c r="M10" s="41"/>
      <c r="N10" s="41"/>
      <c r="O10" s="41"/>
      <c r="P10" s="41"/>
      <c r="Q10" s="41"/>
      <c r="R10" s="41"/>
      <c r="S10" s="42"/>
      <c r="T10" s="358"/>
      <c r="U10" s="359"/>
    </row>
    <row r="11" spans="2:21" s="127" customFormat="1" ht="43.5" customHeight="1" outlineLevel="1" x14ac:dyDescent="0.2">
      <c r="B11" s="365" t="s">
        <v>1376</v>
      </c>
      <c r="C11" s="360" t="s">
        <v>1608</v>
      </c>
      <c r="D11" s="361" t="s">
        <v>1377</v>
      </c>
      <c r="E11" s="362" t="s">
        <v>1378</v>
      </c>
      <c r="F11" s="902" t="s">
        <v>191</v>
      </c>
      <c r="G11" s="361" t="s">
        <v>1379</v>
      </c>
      <c r="H11" s="361" t="s">
        <v>1380</v>
      </c>
      <c r="I11" s="44">
        <v>0</v>
      </c>
      <c r="J11" s="1290"/>
      <c r="K11" s="1290"/>
      <c r="L11" s="1297">
        <f>J11*K11</f>
        <v>0</v>
      </c>
      <c r="M11" s="1290"/>
      <c r="N11" s="1290"/>
      <c r="O11" s="1297">
        <f>M11*N11</f>
        <v>0</v>
      </c>
      <c r="P11" s="1298"/>
      <c r="Q11" s="1290"/>
      <c r="R11" s="1298"/>
      <c r="S11" s="1291">
        <f>Q11+O11+L11</f>
        <v>0</v>
      </c>
      <c r="T11" s="363">
        <f>I11*S11</f>
        <v>0</v>
      </c>
      <c r="U11" s="364"/>
    </row>
    <row r="12" spans="2:21" x14ac:dyDescent="0.2">
      <c r="B12" s="477"/>
      <c r="C12" s="354"/>
      <c r="D12" s="355"/>
      <c r="E12" s="222" t="s">
        <v>1387</v>
      </c>
      <c r="F12" s="222"/>
      <c r="G12" s="356" t="s">
        <v>207</v>
      </c>
      <c r="H12" s="356" t="s">
        <v>207</v>
      </c>
      <c r="I12" s="357"/>
      <c r="J12" s="357"/>
      <c r="K12" s="357"/>
      <c r="L12" s="357"/>
      <c r="M12" s="357"/>
      <c r="N12" s="357"/>
      <c r="O12" s="357"/>
      <c r="P12" s="357"/>
      <c r="Q12" s="357"/>
      <c r="R12" s="357"/>
      <c r="S12" s="358"/>
      <c r="T12" s="358"/>
      <c r="U12" s="359"/>
    </row>
    <row r="13" spans="2:21" s="127" customFormat="1" ht="43.5" customHeight="1" outlineLevel="1" x14ac:dyDescent="0.2">
      <c r="B13" s="365" t="s">
        <v>1376</v>
      </c>
      <c r="C13" s="360" t="s">
        <v>1608</v>
      </c>
      <c r="D13" s="361" t="s">
        <v>1388</v>
      </c>
      <c r="E13" s="362" t="s">
        <v>1389</v>
      </c>
      <c r="F13" s="902" t="s">
        <v>160</v>
      </c>
      <c r="G13" s="361" t="s">
        <v>1379</v>
      </c>
      <c r="H13" s="361" t="s">
        <v>1380</v>
      </c>
      <c r="I13" s="44">
        <v>4500</v>
      </c>
      <c r="J13" s="1290">
        <v>8.7629286097359843E-2</v>
      </c>
      <c r="K13" s="1290">
        <v>40</v>
      </c>
      <c r="L13" s="1297">
        <f t="shared" ref="L13:L23" si="0">J13*K13</f>
        <v>3.5051714438943939</v>
      </c>
      <c r="M13" s="1290">
        <v>0.02</v>
      </c>
      <c r="N13" s="1290">
        <v>70</v>
      </c>
      <c r="O13" s="1297">
        <f t="shared" ref="O13:O23" si="1">M13*N13</f>
        <v>1.4000000000000001</v>
      </c>
      <c r="P13" s="1298"/>
      <c r="Q13" s="1290"/>
      <c r="R13" s="1298"/>
      <c r="S13" s="1291">
        <f t="shared" ref="S13:S22" si="2">Q13+O13+L13</f>
        <v>4.9051714438943943</v>
      </c>
      <c r="T13" s="363">
        <f t="shared" ref="T13:T23" si="3">I13*S13</f>
        <v>22073.271497524773</v>
      </c>
      <c r="U13" s="366" t="s">
        <v>1609</v>
      </c>
    </row>
    <row r="14" spans="2:21" s="127" customFormat="1" ht="43.5" customHeight="1" outlineLevel="1" x14ac:dyDescent="0.2">
      <c r="B14" s="365" t="s">
        <v>1376</v>
      </c>
      <c r="C14" s="360" t="s">
        <v>1608</v>
      </c>
      <c r="D14" s="361" t="s">
        <v>1382</v>
      </c>
      <c r="E14" s="367" t="s">
        <v>1610</v>
      </c>
      <c r="F14" s="902" t="s">
        <v>160</v>
      </c>
      <c r="G14" s="361" t="s">
        <v>1384</v>
      </c>
      <c r="H14" s="361" t="s">
        <v>1385</v>
      </c>
      <c r="I14" s="44">
        <v>1800</v>
      </c>
      <c r="J14" s="1290">
        <v>0.25011485847084758</v>
      </c>
      <c r="K14" s="1290">
        <v>40</v>
      </c>
      <c r="L14" s="1297">
        <f t="shared" si="0"/>
        <v>10.004594338833904</v>
      </c>
      <c r="M14" s="1290">
        <v>0.1</v>
      </c>
      <c r="N14" s="1290">
        <v>70</v>
      </c>
      <c r="O14" s="1297">
        <f t="shared" si="1"/>
        <v>7</v>
      </c>
      <c r="P14" s="1298"/>
      <c r="Q14" s="1290"/>
      <c r="R14" s="1298"/>
      <c r="S14" s="1291">
        <f t="shared" si="2"/>
        <v>17.004594338833904</v>
      </c>
      <c r="T14" s="363">
        <f t="shared" si="3"/>
        <v>30608.269809901027</v>
      </c>
      <c r="U14" s="366" t="s">
        <v>1609</v>
      </c>
    </row>
    <row r="15" spans="2:21" s="127" customFormat="1" ht="43.5" customHeight="1" outlineLevel="1" x14ac:dyDescent="0.2">
      <c r="B15" s="365" t="s">
        <v>1376</v>
      </c>
      <c r="C15" s="360" t="s">
        <v>1608</v>
      </c>
      <c r="D15" s="361" t="s">
        <v>1611</v>
      </c>
      <c r="E15" s="367" t="s">
        <v>1612</v>
      </c>
      <c r="F15" s="902" t="s">
        <v>191</v>
      </c>
      <c r="G15" s="361" t="s">
        <v>1384</v>
      </c>
      <c r="H15" s="361" t="s">
        <v>1385</v>
      </c>
      <c r="I15" s="44">
        <v>0</v>
      </c>
      <c r="J15" s="1290"/>
      <c r="K15" s="1290"/>
      <c r="L15" s="1297">
        <f t="shared" si="0"/>
        <v>0</v>
      </c>
      <c r="M15" s="1290"/>
      <c r="N15" s="1290"/>
      <c r="O15" s="1297">
        <f t="shared" si="1"/>
        <v>0</v>
      </c>
      <c r="P15" s="1298"/>
      <c r="Q15" s="1290"/>
      <c r="R15" s="1298"/>
      <c r="S15" s="1291">
        <f t="shared" si="2"/>
        <v>0</v>
      </c>
      <c r="T15" s="363">
        <f t="shared" si="3"/>
        <v>0</v>
      </c>
      <c r="U15" s="366"/>
    </row>
    <row r="16" spans="2:21" s="127" customFormat="1" ht="43.5" customHeight="1" outlineLevel="1" x14ac:dyDescent="0.2">
      <c r="B16" s="365" t="s">
        <v>1376</v>
      </c>
      <c r="C16" s="360" t="s">
        <v>1608</v>
      </c>
      <c r="D16" s="361" t="s">
        <v>1391</v>
      </c>
      <c r="E16" s="367" t="s">
        <v>1613</v>
      </c>
      <c r="F16" s="1426" t="s">
        <v>167</v>
      </c>
      <c r="G16" s="361" t="s">
        <v>1393</v>
      </c>
      <c r="H16" s="361" t="s">
        <v>1385</v>
      </c>
      <c r="I16" s="1431">
        <v>1260</v>
      </c>
      <c r="J16" s="1290">
        <v>0.31066085811331162</v>
      </c>
      <c r="K16" s="1290">
        <v>40</v>
      </c>
      <c r="L16" s="1297">
        <f t="shared" si="0"/>
        <v>12.426434324532465</v>
      </c>
      <c r="M16" s="1290"/>
      <c r="N16" s="1290">
        <v>70</v>
      </c>
      <c r="O16" s="1297">
        <f t="shared" si="1"/>
        <v>0</v>
      </c>
      <c r="P16" s="1298"/>
      <c r="Q16" s="1290"/>
      <c r="R16" s="1298"/>
      <c r="S16" s="1291">
        <f t="shared" si="2"/>
        <v>12.426434324532465</v>
      </c>
      <c r="T16" s="368">
        <f t="shared" si="3"/>
        <v>15657.307248910907</v>
      </c>
      <c r="U16" s="1433" t="s">
        <v>2601</v>
      </c>
    </row>
    <row r="17" spans="2:21" s="127" customFormat="1" ht="43.5" customHeight="1" outlineLevel="1" x14ac:dyDescent="0.2">
      <c r="B17" s="365" t="s">
        <v>1376</v>
      </c>
      <c r="C17" s="360" t="s">
        <v>1608</v>
      </c>
      <c r="D17" s="361" t="s">
        <v>1395</v>
      </c>
      <c r="E17" s="367" t="s">
        <v>1396</v>
      </c>
      <c r="F17" s="902" t="s">
        <v>191</v>
      </c>
      <c r="G17" s="361" t="s">
        <v>1393</v>
      </c>
      <c r="H17" s="361" t="s">
        <v>1385</v>
      </c>
      <c r="I17" s="44">
        <v>0</v>
      </c>
      <c r="J17" s="1290"/>
      <c r="K17" s="1290"/>
      <c r="L17" s="1297">
        <f t="shared" si="0"/>
        <v>0</v>
      </c>
      <c r="M17" s="1290"/>
      <c r="N17" s="1290"/>
      <c r="O17" s="1297">
        <f t="shared" si="1"/>
        <v>0</v>
      </c>
      <c r="P17" s="1298"/>
      <c r="Q17" s="1290"/>
      <c r="R17" s="1298"/>
      <c r="S17" s="1291">
        <f t="shared" si="2"/>
        <v>0</v>
      </c>
      <c r="T17" s="368">
        <f t="shared" si="3"/>
        <v>0</v>
      </c>
      <c r="U17" s="369"/>
    </row>
    <row r="18" spans="2:21" s="127" customFormat="1" ht="43.5" customHeight="1" outlineLevel="1" x14ac:dyDescent="0.2">
      <c r="B18" s="365" t="s">
        <v>1376</v>
      </c>
      <c r="C18" s="360" t="s">
        <v>1608</v>
      </c>
      <c r="D18" s="361" t="s">
        <v>1397</v>
      </c>
      <c r="E18" s="367" t="s">
        <v>1398</v>
      </c>
      <c r="F18" s="902" t="s">
        <v>191</v>
      </c>
      <c r="G18" s="361" t="s">
        <v>1393</v>
      </c>
      <c r="H18" s="361" t="s">
        <v>1385</v>
      </c>
      <c r="I18" s="44">
        <v>0</v>
      </c>
      <c r="J18" s="1290"/>
      <c r="K18" s="1290"/>
      <c r="L18" s="1297">
        <f t="shared" si="0"/>
        <v>0</v>
      </c>
      <c r="M18" s="1290"/>
      <c r="N18" s="1290"/>
      <c r="O18" s="1297">
        <f t="shared" si="1"/>
        <v>0</v>
      </c>
      <c r="P18" s="1298"/>
      <c r="Q18" s="1290"/>
      <c r="R18" s="1298"/>
      <c r="S18" s="1291">
        <f t="shared" si="2"/>
        <v>0</v>
      </c>
      <c r="T18" s="368">
        <f t="shared" si="3"/>
        <v>0</v>
      </c>
      <c r="U18" s="369"/>
    </row>
    <row r="19" spans="2:21" s="127" customFormat="1" ht="43.5" customHeight="1" outlineLevel="1" x14ac:dyDescent="0.2">
      <c r="B19" s="365" t="s">
        <v>1376</v>
      </c>
      <c r="C19" s="360" t="s">
        <v>1608</v>
      </c>
      <c r="D19" s="361" t="s">
        <v>1399</v>
      </c>
      <c r="E19" s="367" t="s">
        <v>1400</v>
      </c>
      <c r="F19" s="902" t="s">
        <v>160</v>
      </c>
      <c r="G19" s="361" t="s">
        <v>1379</v>
      </c>
      <c r="H19" s="361" t="s">
        <v>1380</v>
      </c>
      <c r="I19" s="44">
        <v>4500</v>
      </c>
      <c r="J19" s="1290">
        <v>4.7406880257425836E-2</v>
      </c>
      <c r="K19" s="1290">
        <v>40</v>
      </c>
      <c r="L19" s="1297">
        <f t="shared" si="0"/>
        <v>1.8962752102970335</v>
      </c>
      <c r="M19" s="1290">
        <v>0.02</v>
      </c>
      <c r="N19" s="1290">
        <v>70</v>
      </c>
      <c r="O19" s="1297">
        <f t="shared" si="1"/>
        <v>1.4000000000000001</v>
      </c>
      <c r="P19" s="1298"/>
      <c r="Q19" s="1290"/>
      <c r="R19" s="1298"/>
      <c r="S19" s="1291">
        <f t="shared" si="2"/>
        <v>3.2962752102970336</v>
      </c>
      <c r="T19" s="363">
        <f t="shared" si="3"/>
        <v>14833.238446336651</v>
      </c>
      <c r="U19" s="366" t="s">
        <v>1609</v>
      </c>
    </row>
    <row r="20" spans="2:21" s="127" customFormat="1" ht="43.5" customHeight="1" outlineLevel="1" x14ac:dyDescent="0.2">
      <c r="B20" s="365" t="s">
        <v>1376</v>
      </c>
      <c r="C20" s="360" t="s">
        <v>1608</v>
      </c>
      <c r="D20" s="361" t="s">
        <v>1401</v>
      </c>
      <c r="E20" s="367" t="s">
        <v>1472</v>
      </c>
      <c r="F20" s="1426" t="s">
        <v>167</v>
      </c>
      <c r="G20" s="361" t="s">
        <v>1393</v>
      </c>
      <c r="H20" s="361" t="s">
        <v>1385</v>
      </c>
      <c r="I20" s="1431">
        <v>600</v>
      </c>
      <c r="J20" s="1290">
        <v>0.19390800071507175</v>
      </c>
      <c r="K20" s="1290">
        <v>40</v>
      </c>
      <c r="L20" s="1297">
        <f t="shared" si="0"/>
        <v>7.75632002860287</v>
      </c>
      <c r="M20" s="1290">
        <v>0.02</v>
      </c>
      <c r="N20" s="1290">
        <v>70</v>
      </c>
      <c r="O20" s="1297">
        <f t="shared" si="1"/>
        <v>1.4000000000000001</v>
      </c>
      <c r="P20" s="1298"/>
      <c r="Q20" s="1290"/>
      <c r="R20" s="1298"/>
      <c r="S20" s="1291">
        <f t="shared" si="2"/>
        <v>9.1563200286028703</v>
      </c>
      <c r="T20" s="363">
        <f t="shared" si="3"/>
        <v>5493.7920171617225</v>
      </c>
      <c r="U20" s="1433" t="s">
        <v>2601</v>
      </c>
    </row>
    <row r="21" spans="2:21" s="127" customFormat="1" ht="43.5" customHeight="1" outlineLevel="1" x14ac:dyDescent="0.2">
      <c r="B21" s="365" t="s">
        <v>1376</v>
      </c>
      <c r="C21" s="360" t="s">
        <v>1608</v>
      </c>
      <c r="D21" s="361" t="s">
        <v>1404</v>
      </c>
      <c r="E21" s="367" t="s">
        <v>1405</v>
      </c>
      <c r="F21" s="902" t="s">
        <v>160</v>
      </c>
      <c r="G21" s="361" t="s">
        <v>1393</v>
      </c>
      <c r="H21" s="361" t="s">
        <v>1385</v>
      </c>
      <c r="I21" s="44">
        <v>1000</v>
      </c>
      <c r="J21" s="1290">
        <v>0.17143657469747087</v>
      </c>
      <c r="K21" s="1290">
        <v>40</v>
      </c>
      <c r="L21" s="1297">
        <f t="shared" si="0"/>
        <v>6.8574629878988347</v>
      </c>
      <c r="M21" s="1290">
        <v>0.5</v>
      </c>
      <c r="N21" s="1290">
        <v>70</v>
      </c>
      <c r="O21" s="1297">
        <f t="shared" si="1"/>
        <v>35</v>
      </c>
      <c r="P21" s="1298"/>
      <c r="Q21" s="1290"/>
      <c r="R21" s="1298"/>
      <c r="S21" s="1291">
        <f t="shared" si="2"/>
        <v>41.857462987898835</v>
      </c>
      <c r="T21" s="363">
        <f t="shared" si="3"/>
        <v>41857.462987898834</v>
      </c>
      <c r="U21" s="366" t="s">
        <v>1609</v>
      </c>
    </row>
    <row r="22" spans="2:21" s="127" customFormat="1" ht="43.5" customHeight="1" outlineLevel="1" x14ac:dyDescent="0.2">
      <c r="B22" s="365" t="s">
        <v>1376</v>
      </c>
      <c r="C22" s="360" t="s">
        <v>1608</v>
      </c>
      <c r="D22" s="361" t="s">
        <v>1406</v>
      </c>
      <c r="E22" s="367" t="s">
        <v>1407</v>
      </c>
      <c r="F22" s="1426" t="s">
        <v>167</v>
      </c>
      <c r="G22" s="361" t="s">
        <v>1393</v>
      </c>
      <c r="H22" s="361" t="s">
        <v>1385</v>
      </c>
      <c r="I22" s="1431">
        <v>660</v>
      </c>
      <c r="J22" s="1290">
        <v>0.71853428877887882</v>
      </c>
      <c r="K22" s="1290">
        <v>40</v>
      </c>
      <c r="L22" s="1297">
        <f t="shared" si="0"/>
        <v>28.741371551155154</v>
      </c>
      <c r="M22" s="1290">
        <v>0.15</v>
      </c>
      <c r="N22" s="1290">
        <v>70</v>
      </c>
      <c r="O22" s="1297">
        <f t="shared" si="1"/>
        <v>10.5</v>
      </c>
      <c r="P22" s="1298"/>
      <c r="Q22" s="1290"/>
      <c r="R22" s="1298"/>
      <c r="S22" s="1291">
        <f t="shared" si="2"/>
        <v>39.241371551155154</v>
      </c>
      <c r="T22" s="368">
        <f t="shared" si="3"/>
        <v>25899.305223762403</v>
      </c>
      <c r="U22" s="1433" t="s">
        <v>2601</v>
      </c>
    </row>
    <row r="23" spans="2:21" s="127" customFormat="1" ht="43.5" customHeight="1" outlineLevel="1" x14ac:dyDescent="0.2">
      <c r="B23" s="365" t="s">
        <v>1376</v>
      </c>
      <c r="C23" s="360" t="s">
        <v>1608</v>
      </c>
      <c r="D23" s="361" t="s">
        <v>1408</v>
      </c>
      <c r="E23" s="367" t="s">
        <v>1409</v>
      </c>
      <c r="F23" s="902" t="s">
        <v>191</v>
      </c>
      <c r="G23" s="361" t="s">
        <v>1393</v>
      </c>
      <c r="H23" s="361" t="s">
        <v>1385</v>
      </c>
      <c r="I23" s="44">
        <v>0</v>
      </c>
      <c r="J23" s="1290"/>
      <c r="K23" s="1290"/>
      <c r="L23" s="1297">
        <f t="shared" si="0"/>
        <v>0</v>
      </c>
      <c r="M23" s="1290"/>
      <c r="N23" s="1290"/>
      <c r="O23" s="1297">
        <f t="shared" si="1"/>
        <v>0</v>
      </c>
      <c r="P23" s="1298"/>
      <c r="Q23" s="1290"/>
      <c r="R23" s="1298"/>
      <c r="S23" s="1291">
        <f t="shared" ref="S23" si="4">Q23+O23+L23</f>
        <v>0</v>
      </c>
      <c r="T23" s="368">
        <f t="shared" si="3"/>
        <v>0</v>
      </c>
      <c r="U23" s="369"/>
    </row>
    <row r="24" spans="2:21" x14ac:dyDescent="0.2">
      <c r="B24" s="477"/>
      <c r="C24" s="354"/>
      <c r="D24" s="355"/>
      <c r="E24" s="222" t="s">
        <v>1410</v>
      </c>
      <c r="F24" s="222"/>
      <c r="G24" s="356" t="s">
        <v>207</v>
      </c>
      <c r="H24" s="356" t="s">
        <v>207</v>
      </c>
      <c r="I24" s="357"/>
      <c r="J24" s="357"/>
      <c r="K24" s="357"/>
      <c r="L24" s="357"/>
      <c r="M24" s="357"/>
      <c r="N24" s="357"/>
      <c r="O24" s="357"/>
      <c r="P24" s="357"/>
      <c r="Q24" s="357"/>
      <c r="R24" s="357"/>
      <c r="S24" s="358"/>
      <c r="T24" s="358"/>
      <c r="U24" s="359"/>
    </row>
    <row r="25" spans="2:21" s="127" customFormat="1" ht="43.5" customHeight="1" outlineLevel="1" x14ac:dyDescent="0.2">
      <c r="B25" s="365" t="s">
        <v>1376</v>
      </c>
      <c r="C25" s="360" t="s">
        <v>1608</v>
      </c>
      <c r="D25" s="361" t="s">
        <v>1411</v>
      </c>
      <c r="E25" s="367" t="s">
        <v>1412</v>
      </c>
      <c r="F25" s="902" t="s">
        <v>160</v>
      </c>
      <c r="G25" s="361" t="s">
        <v>1393</v>
      </c>
      <c r="H25" s="361" t="s">
        <v>1385</v>
      </c>
      <c r="I25" s="44">
        <v>2460</v>
      </c>
      <c r="J25" s="1290">
        <v>0.22227000178767931</v>
      </c>
      <c r="K25" s="1290">
        <v>40</v>
      </c>
      <c r="L25" s="1297">
        <f t="shared" ref="L25:L31" si="5">J25*K25</f>
        <v>8.8908000715071722</v>
      </c>
      <c r="M25" s="1290">
        <v>0.2</v>
      </c>
      <c r="N25" s="1290">
        <v>70</v>
      </c>
      <c r="O25" s="1297">
        <f t="shared" ref="O25:O31" si="6">M25*N25</f>
        <v>14</v>
      </c>
      <c r="P25" s="1298"/>
      <c r="Q25" s="1290">
        <v>42.511485847084757</v>
      </c>
      <c r="R25" s="1298"/>
      <c r="S25" s="1291">
        <f t="shared" ref="S25:S26" si="7">Q25+O25+L25</f>
        <v>65.402285918591929</v>
      </c>
      <c r="T25" s="363">
        <f t="shared" ref="T25:T31" si="8">I25*S25</f>
        <v>160889.62335973614</v>
      </c>
      <c r="U25" s="366" t="s">
        <v>1609</v>
      </c>
    </row>
    <row r="26" spans="2:21" s="127" customFormat="1" ht="43.5" customHeight="1" outlineLevel="1" x14ac:dyDescent="0.2">
      <c r="B26" s="365" t="s">
        <v>1376</v>
      </c>
      <c r="C26" s="360" t="s">
        <v>1608</v>
      </c>
      <c r="D26" s="361" t="s">
        <v>1413</v>
      </c>
      <c r="E26" s="367" t="s">
        <v>1414</v>
      </c>
      <c r="F26" s="902" t="s">
        <v>160</v>
      </c>
      <c r="G26" s="361" t="s">
        <v>1393</v>
      </c>
      <c r="H26" s="361" t="s">
        <v>1385</v>
      </c>
      <c r="I26" s="44">
        <v>720</v>
      </c>
      <c r="J26" s="1290">
        <v>0.34153140325357684</v>
      </c>
      <c r="K26" s="1290">
        <v>40</v>
      </c>
      <c r="L26" s="1297">
        <f t="shared" si="5"/>
        <v>13.661256130143073</v>
      </c>
      <c r="M26" s="1290">
        <v>0.4</v>
      </c>
      <c r="N26" s="1290">
        <v>70</v>
      </c>
      <c r="O26" s="1297">
        <f t="shared" si="6"/>
        <v>28</v>
      </c>
      <c r="P26" s="1298"/>
      <c r="Q26" s="1290">
        <v>77.370904241694248</v>
      </c>
      <c r="R26" s="1298"/>
      <c r="S26" s="1291">
        <f t="shared" si="7"/>
        <v>119.03216037183732</v>
      </c>
      <c r="T26" s="363">
        <f t="shared" si="8"/>
        <v>85703.155467722871</v>
      </c>
      <c r="U26" s="366" t="s">
        <v>1609</v>
      </c>
    </row>
    <row r="27" spans="2:21" ht="43.5" customHeight="1" outlineLevel="1" x14ac:dyDescent="0.2">
      <c r="B27" s="365" t="s">
        <v>1376</v>
      </c>
      <c r="C27" s="360" t="s">
        <v>1608</v>
      </c>
      <c r="D27" s="370" t="s">
        <v>1415</v>
      </c>
      <c r="E27" s="371" t="s">
        <v>1416</v>
      </c>
      <c r="F27" s="902" t="s">
        <v>191</v>
      </c>
      <c r="G27" s="372" t="s">
        <v>1393</v>
      </c>
      <c r="H27" s="372" t="s">
        <v>1385</v>
      </c>
      <c r="I27" s="44">
        <v>0</v>
      </c>
      <c r="J27" s="1290"/>
      <c r="K27" s="1290"/>
      <c r="L27" s="1297">
        <f t="shared" si="5"/>
        <v>0</v>
      </c>
      <c r="M27" s="1290"/>
      <c r="N27" s="1290"/>
      <c r="O27" s="1297">
        <f t="shared" si="6"/>
        <v>0</v>
      </c>
      <c r="P27" s="1298"/>
      <c r="Q27" s="1290"/>
      <c r="R27" s="1298"/>
      <c r="S27" s="1291">
        <v>0</v>
      </c>
      <c r="T27" s="368">
        <f t="shared" si="8"/>
        <v>0</v>
      </c>
      <c r="U27" s="369"/>
    </row>
    <row r="28" spans="2:21" ht="43.5" customHeight="1" outlineLevel="1" x14ac:dyDescent="0.2">
      <c r="B28" s="365" t="s">
        <v>1376</v>
      </c>
      <c r="C28" s="360" t="s">
        <v>1608</v>
      </c>
      <c r="D28" s="370" t="s">
        <v>1417</v>
      </c>
      <c r="E28" s="373" t="s">
        <v>1614</v>
      </c>
      <c r="F28" s="902" t="s">
        <v>160</v>
      </c>
      <c r="G28" s="361" t="s">
        <v>1379</v>
      </c>
      <c r="H28" s="361" t="s">
        <v>1380</v>
      </c>
      <c r="I28" s="44">
        <v>6950</v>
      </c>
      <c r="J28" s="1290">
        <v>4.5258572194719716E-2</v>
      </c>
      <c r="K28" s="1290">
        <v>40</v>
      </c>
      <c r="L28" s="1297">
        <f t="shared" si="5"/>
        <v>1.8103428877887886</v>
      </c>
      <c r="M28" s="1290"/>
      <c r="N28" s="1290"/>
      <c r="O28" s="1297">
        <f t="shared" si="6"/>
        <v>0</v>
      </c>
      <c r="P28" s="1298"/>
      <c r="Q28" s="1290">
        <v>8</v>
      </c>
      <c r="R28" s="1298"/>
      <c r="S28" s="1291">
        <f t="shared" ref="S28:S29" si="9">Q28+O28+L28</f>
        <v>9.8103428877887886</v>
      </c>
      <c r="T28" s="363">
        <f t="shared" si="8"/>
        <v>68181.883070132084</v>
      </c>
      <c r="U28" s="366" t="s">
        <v>1609</v>
      </c>
    </row>
    <row r="29" spans="2:21" ht="43.5" customHeight="1" outlineLevel="1" x14ac:dyDescent="0.2">
      <c r="B29" s="365" t="s">
        <v>1376</v>
      </c>
      <c r="C29" s="360" t="s">
        <v>1608</v>
      </c>
      <c r="D29" s="370" t="s">
        <v>1615</v>
      </c>
      <c r="E29" s="373" t="s">
        <v>1420</v>
      </c>
      <c r="F29" s="902" t="s">
        <v>191</v>
      </c>
      <c r="G29" s="361" t="s">
        <v>1393</v>
      </c>
      <c r="H29" s="361" t="s">
        <v>1385</v>
      </c>
      <c r="I29" s="44">
        <v>0</v>
      </c>
      <c r="J29" s="1290"/>
      <c r="K29" s="1290"/>
      <c r="L29" s="1297">
        <f t="shared" si="5"/>
        <v>0</v>
      </c>
      <c r="M29" s="1290"/>
      <c r="N29" s="1290"/>
      <c r="O29" s="1297">
        <f t="shared" si="6"/>
        <v>0</v>
      </c>
      <c r="P29" s="1298"/>
      <c r="Q29" s="1290"/>
      <c r="R29" s="1298"/>
      <c r="S29" s="1291">
        <f t="shared" si="9"/>
        <v>0</v>
      </c>
      <c r="T29" s="363">
        <f t="shared" si="8"/>
        <v>0</v>
      </c>
      <c r="U29" s="366"/>
    </row>
    <row r="30" spans="2:21" ht="43.5" customHeight="1" outlineLevel="1" x14ac:dyDescent="0.2">
      <c r="B30" s="365" t="s">
        <v>1376</v>
      </c>
      <c r="C30" s="360" t="s">
        <v>1608</v>
      </c>
      <c r="D30" s="370" t="s">
        <v>1616</v>
      </c>
      <c r="E30" s="373" t="s">
        <v>1617</v>
      </c>
      <c r="F30" s="902" t="s">
        <v>191</v>
      </c>
      <c r="G30" s="361" t="s">
        <v>1393</v>
      </c>
      <c r="H30" s="361" t="s">
        <v>1385</v>
      </c>
      <c r="I30" s="44">
        <v>0</v>
      </c>
      <c r="J30" s="1290"/>
      <c r="K30" s="1290"/>
      <c r="L30" s="1297">
        <f t="shared" si="5"/>
        <v>0</v>
      </c>
      <c r="M30" s="1290"/>
      <c r="N30" s="1290"/>
      <c r="O30" s="1297">
        <f t="shared" si="6"/>
        <v>0</v>
      </c>
      <c r="P30" s="1298"/>
      <c r="Q30" s="1290"/>
      <c r="R30" s="1298"/>
      <c r="S30" s="1291">
        <f t="shared" ref="S30:S31" si="10">Q30+O30+L30</f>
        <v>0</v>
      </c>
      <c r="T30" s="363">
        <f t="shared" si="8"/>
        <v>0</v>
      </c>
      <c r="U30" s="366"/>
    </row>
    <row r="31" spans="2:21" ht="43.5" customHeight="1" outlineLevel="1" x14ac:dyDescent="0.2">
      <c r="B31" s="365" t="s">
        <v>1376</v>
      </c>
      <c r="C31" s="360" t="s">
        <v>1608</v>
      </c>
      <c r="D31" s="370" t="s">
        <v>1421</v>
      </c>
      <c r="E31" s="373" t="s">
        <v>1618</v>
      </c>
      <c r="F31" s="902" t="s">
        <v>191</v>
      </c>
      <c r="G31" s="361" t="s">
        <v>1393</v>
      </c>
      <c r="H31" s="361" t="s">
        <v>1385</v>
      </c>
      <c r="I31" s="44">
        <v>0</v>
      </c>
      <c r="J31" s="1290"/>
      <c r="K31" s="1290"/>
      <c r="L31" s="1297">
        <f t="shared" si="5"/>
        <v>0</v>
      </c>
      <c r="M31" s="1290"/>
      <c r="N31" s="1290"/>
      <c r="O31" s="1297">
        <f t="shared" si="6"/>
        <v>0</v>
      </c>
      <c r="P31" s="1298"/>
      <c r="Q31" s="1290"/>
      <c r="R31" s="1298"/>
      <c r="S31" s="1291">
        <f t="shared" si="10"/>
        <v>0</v>
      </c>
      <c r="T31" s="363">
        <f t="shared" si="8"/>
        <v>0</v>
      </c>
      <c r="U31" s="366"/>
    </row>
    <row r="32" spans="2:21" s="377" customFormat="1" ht="14.45" customHeight="1" thickBot="1" x14ac:dyDescent="0.3">
      <c r="B32" s="478"/>
      <c r="C32" s="374"/>
      <c r="D32" s="51" t="s">
        <v>207</v>
      </c>
      <c r="E32" s="1655" t="s">
        <v>1619</v>
      </c>
      <c r="F32" s="52"/>
      <c r="G32" s="53"/>
      <c r="H32" s="53"/>
      <c r="I32" s="375"/>
      <c r="J32" s="375"/>
      <c r="K32" s="375"/>
      <c r="L32" s="375"/>
      <c r="M32" s="375"/>
      <c r="N32" s="375"/>
      <c r="O32" s="375"/>
      <c r="P32" s="375"/>
      <c r="Q32" s="1652" t="s">
        <v>154</v>
      </c>
      <c r="R32" s="1653"/>
      <c r="S32" s="1654"/>
      <c r="T32" s="393">
        <f>SUMIF(F11:F31,"Mandatory",T11:T31)</f>
        <v>424146.90463925235</v>
      </c>
      <c r="U32" s="376"/>
    </row>
    <row r="33" spans="2:21" s="377" customFormat="1" ht="14.45" customHeight="1" x14ac:dyDescent="0.25">
      <c r="B33" s="1441"/>
      <c r="C33" s="1441"/>
      <c r="D33" s="1442"/>
      <c r="E33" s="1657"/>
      <c r="F33" s="1443"/>
      <c r="G33" s="1444"/>
      <c r="H33" s="1444"/>
      <c r="I33" s="1445"/>
      <c r="J33" s="1445"/>
      <c r="K33" s="1445"/>
      <c r="L33" s="1445"/>
      <c r="M33" s="1445"/>
      <c r="N33" s="1445"/>
      <c r="O33" s="1445"/>
      <c r="P33" s="1445"/>
      <c r="Q33" s="1651" t="s">
        <v>156</v>
      </c>
      <c r="R33" s="1651"/>
      <c r="S33" s="1651"/>
      <c r="T33" s="1446">
        <f>SUMIF(F11:F31,"Optional",T11:T31)</f>
        <v>47050.404489835033</v>
      </c>
      <c r="U33" s="1447"/>
    </row>
    <row r="35" spans="2:21" s="136" customFormat="1" ht="14.25" collapsed="1" x14ac:dyDescent="0.2">
      <c r="B35" s="476"/>
      <c r="C35" s="348"/>
      <c r="D35" s="349"/>
      <c r="E35" s="350" t="s">
        <v>1425</v>
      </c>
      <c r="F35" s="350"/>
      <c r="G35" s="349" t="s">
        <v>207</v>
      </c>
      <c r="H35" s="349" t="s">
        <v>207</v>
      </c>
      <c r="I35" s="350"/>
      <c r="J35" s="350"/>
      <c r="K35" s="350"/>
      <c r="L35" s="350"/>
      <c r="M35" s="350"/>
      <c r="N35" s="350"/>
      <c r="O35" s="350"/>
      <c r="P35" s="350"/>
      <c r="Q35" s="350"/>
      <c r="R35" s="350"/>
      <c r="S35" s="351"/>
      <c r="T35" s="352"/>
    </row>
    <row r="36" spans="2:21" x14ac:dyDescent="0.2">
      <c r="B36" s="477"/>
      <c r="C36" s="354"/>
      <c r="D36" s="355"/>
      <c r="E36" s="222" t="s">
        <v>1439</v>
      </c>
      <c r="F36" s="222"/>
      <c r="G36" s="356" t="s">
        <v>207</v>
      </c>
      <c r="H36" s="356" t="s">
        <v>207</v>
      </c>
      <c r="I36" s="357"/>
      <c r="J36" s="357"/>
      <c r="K36" s="357"/>
      <c r="L36" s="357"/>
      <c r="M36" s="357"/>
      <c r="N36" s="357"/>
      <c r="O36" s="357"/>
      <c r="P36" s="357"/>
      <c r="Q36" s="357"/>
      <c r="R36" s="357"/>
      <c r="S36" s="358"/>
      <c r="T36" s="358"/>
    </row>
    <row r="37" spans="2:21" s="380" customFormat="1" ht="43.5" customHeight="1" outlineLevel="1" x14ac:dyDescent="0.25">
      <c r="B37" s="365" t="s">
        <v>1427</v>
      </c>
      <c r="C37" s="360" t="s">
        <v>1608</v>
      </c>
      <c r="D37" s="361" t="s">
        <v>1440</v>
      </c>
      <c r="E37" s="373" t="s">
        <v>1441</v>
      </c>
      <c r="F37" s="902" t="s">
        <v>191</v>
      </c>
      <c r="G37" s="361" t="s">
        <v>1393</v>
      </c>
      <c r="H37" s="361" t="s">
        <v>1385</v>
      </c>
      <c r="I37" s="44">
        <v>0</v>
      </c>
      <c r="J37" s="1290"/>
      <c r="K37" s="1290"/>
      <c r="L37" s="1297">
        <f t="shared" ref="L37:L43" si="11">J37*K37</f>
        <v>0</v>
      </c>
      <c r="M37" s="1290"/>
      <c r="N37" s="1290"/>
      <c r="O37" s="1297">
        <f t="shared" ref="O37:O43" si="12">M37*N37</f>
        <v>0</v>
      </c>
      <c r="P37" s="1298"/>
      <c r="Q37" s="1290"/>
      <c r="R37" s="1298"/>
      <c r="S37" s="1291">
        <f t="shared" ref="S37:S43" si="13">Q37+O37+L37</f>
        <v>0</v>
      </c>
      <c r="T37" s="363">
        <f t="shared" ref="T37:T43" si="14">I37*S37</f>
        <v>0</v>
      </c>
    </row>
    <row r="38" spans="2:21" s="380" customFormat="1" ht="43.5" customHeight="1" outlineLevel="1" x14ac:dyDescent="0.25">
      <c r="B38" s="365" t="s">
        <v>1427</v>
      </c>
      <c r="C38" s="360" t="s">
        <v>1608</v>
      </c>
      <c r="D38" s="361" t="s">
        <v>1620</v>
      </c>
      <c r="E38" s="373" t="s">
        <v>1444</v>
      </c>
      <c r="F38" s="902" t="s">
        <v>191</v>
      </c>
      <c r="G38" s="361" t="s">
        <v>1379</v>
      </c>
      <c r="H38" s="361" t="s">
        <v>1380</v>
      </c>
      <c r="I38" s="44">
        <v>0</v>
      </c>
      <c r="J38" s="1290"/>
      <c r="K38" s="1290"/>
      <c r="L38" s="1297">
        <f t="shared" si="11"/>
        <v>0</v>
      </c>
      <c r="M38" s="1290"/>
      <c r="N38" s="1290"/>
      <c r="O38" s="1297">
        <f t="shared" si="12"/>
        <v>0</v>
      </c>
      <c r="P38" s="1298"/>
      <c r="Q38" s="1290"/>
      <c r="R38" s="1298"/>
      <c r="S38" s="1291">
        <f t="shared" si="13"/>
        <v>0</v>
      </c>
      <c r="T38" s="363">
        <f t="shared" si="14"/>
        <v>0</v>
      </c>
    </row>
    <row r="39" spans="2:21" s="380" customFormat="1" ht="43.5" customHeight="1" outlineLevel="1" x14ac:dyDescent="0.25">
      <c r="B39" s="365" t="s">
        <v>1427</v>
      </c>
      <c r="C39" s="360" t="s">
        <v>1608</v>
      </c>
      <c r="D39" s="361" t="s">
        <v>1621</v>
      </c>
      <c r="E39" s="373" t="s">
        <v>1447</v>
      </c>
      <c r="F39" s="902" t="s">
        <v>191</v>
      </c>
      <c r="G39" s="361" t="s">
        <v>1379</v>
      </c>
      <c r="H39" s="361" t="s">
        <v>1380</v>
      </c>
      <c r="I39" s="44">
        <v>0</v>
      </c>
      <c r="J39" s="1290"/>
      <c r="K39" s="1290"/>
      <c r="L39" s="1297">
        <f t="shared" si="11"/>
        <v>0</v>
      </c>
      <c r="M39" s="1290"/>
      <c r="N39" s="1290"/>
      <c r="O39" s="1297">
        <f t="shared" si="12"/>
        <v>0</v>
      </c>
      <c r="P39" s="1298"/>
      <c r="Q39" s="1290"/>
      <c r="R39" s="1298"/>
      <c r="S39" s="1291">
        <f t="shared" si="13"/>
        <v>0</v>
      </c>
      <c r="T39" s="363">
        <f t="shared" si="14"/>
        <v>0</v>
      </c>
    </row>
    <row r="40" spans="2:21" s="380" customFormat="1" ht="43.5" customHeight="1" outlineLevel="1" x14ac:dyDescent="0.25">
      <c r="B40" s="365" t="s">
        <v>1427</v>
      </c>
      <c r="C40" s="360" t="s">
        <v>1608</v>
      </c>
      <c r="D40" s="361" t="s">
        <v>1448</v>
      </c>
      <c r="E40" s="373" t="s">
        <v>1449</v>
      </c>
      <c r="F40" s="902" t="s">
        <v>191</v>
      </c>
      <c r="G40" s="361" t="s">
        <v>1450</v>
      </c>
      <c r="H40" s="361" t="s">
        <v>1451</v>
      </c>
      <c r="I40" s="44">
        <v>0</v>
      </c>
      <c r="J40" s="1290"/>
      <c r="K40" s="1290"/>
      <c r="L40" s="1297">
        <f t="shared" si="11"/>
        <v>0</v>
      </c>
      <c r="M40" s="1290"/>
      <c r="N40" s="1290"/>
      <c r="O40" s="1297">
        <f t="shared" si="12"/>
        <v>0</v>
      </c>
      <c r="P40" s="1298"/>
      <c r="Q40" s="1290"/>
      <c r="R40" s="1298"/>
      <c r="S40" s="1291">
        <f t="shared" si="13"/>
        <v>0</v>
      </c>
      <c r="T40" s="363">
        <f t="shared" si="14"/>
        <v>0</v>
      </c>
    </row>
    <row r="41" spans="2:21" s="380" customFormat="1" ht="43.5" customHeight="1" outlineLevel="1" x14ac:dyDescent="0.25">
      <c r="B41" s="365" t="s">
        <v>1427</v>
      </c>
      <c r="C41" s="360" t="s">
        <v>1608</v>
      </c>
      <c r="D41" s="361" t="s">
        <v>1452</v>
      </c>
      <c r="E41" s="373" t="s">
        <v>1453</v>
      </c>
      <c r="F41" s="902" t="s">
        <v>160</v>
      </c>
      <c r="G41" s="361" t="s">
        <v>1450</v>
      </c>
      <c r="H41" s="361" t="s">
        <v>1451</v>
      </c>
      <c r="I41" s="44">
        <v>10</v>
      </c>
      <c r="J41" s="1290">
        <v>1.7255714796479822</v>
      </c>
      <c r="K41" s="1290">
        <v>40</v>
      </c>
      <c r="L41" s="1297">
        <f t="shared" si="11"/>
        <v>69.022859185919287</v>
      </c>
      <c r="M41" s="1290">
        <v>0.5</v>
      </c>
      <c r="N41" s="1290">
        <v>70</v>
      </c>
      <c r="O41" s="1297">
        <f t="shared" si="12"/>
        <v>35</v>
      </c>
      <c r="P41" s="1298"/>
      <c r="Q41" s="1290">
        <v>550</v>
      </c>
      <c r="R41" s="1298"/>
      <c r="S41" s="1291">
        <f t="shared" si="13"/>
        <v>654.02285918591929</v>
      </c>
      <c r="T41" s="363">
        <f t="shared" si="14"/>
        <v>6540.2285918591933</v>
      </c>
    </row>
    <row r="42" spans="2:21" s="380" customFormat="1" ht="43.5" customHeight="1" outlineLevel="1" x14ac:dyDescent="0.25">
      <c r="B42" s="365" t="s">
        <v>1427</v>
      </c>
      <c r="C42" s="360" t="s">
        <v>1608</v>
      </c>
      <c r="D42" s="361" t="s">
        <v>1454</v>
      </c>
      <c r="E42" s="371" t="s">
        <v>1455</v>
      </c>
      <c r="F42" s="902" t="s">
        <v>191</v>
      </c>
      <c r="G42" s="372" t="s">
        <v>1450</v>
      </c>
      <c r="H42" s="372" t="s">
        <v>1451</v>
      </c>
      <c r="I42" s="44">
        <v>0</v>
      </c>
      <c r="J42" s="1290"/>
      <c r="K42" s="1290"/>
      <c r="L42" s="1297">
        <f t="shared" si="11"/>
        <v>0</v>
      </c>
      <c r="M42" s="1290"/>
      <c r="N42" s="1290"/>
      <c r="O42" s="1297">
        <f t="shared" si="12"/>
        <v>0</v>
      </c>
      <c r="P42" s="1298"/>
      <c r="Q42" s="1290"/>
      <c r="R42" s="1298"/>
      <c r="S42" s="1291">
        <f t="shared" si="13"/>
        <v>0</v>
      </c>
      <c r="T42" s="363">
        <f t="shared" si="14"/>
        <v>0</v>
      </c>
    </row>
    <row r="43" spans="2:21" s="380" customFormat="1" ht="43.5" customHeight="1" outlineLevel="1" x14ac:dyDescent="0.25">
      <c r="B43" s="365" t="s">
        <v>1427</v>
      </c>
      <c r="C43" s="360" t="s">
        <v>1608</v>
      </c>
      <c r="D43" s="361" t="s">
        <v>1456</v>
      </c>
      <c r="E43" s="371" t="s">
        <v>1457</v>
      </c>
      <c r="F43" s="902" t="s">
        <v>191</v>
      </c>
      <c r="G43" s="372" t="s">
        <v>1450</v>
      </c>
      <c r="H43" s="372" t="s">
        <v>1451</v>
      </c>
      <c r="I43" s="44">
        <v>0</v>
      </c>
      <c r="J43" s="1290"/>
      <c r="K43" s="1290"/>
      <c r="L43" s="1297">
        <f t="shared" si="11"/>
        <v>0</v>
      </c>
      <c r="M43" s="1290"/>
      <c r="N43" s="1290"/>
      <c r="O43" s="1297">
        <f t="shared" si="12"/>
        <v>0</v>
      </c>
      <c r="P43" s="1298"/>
      <c r="Q43" s="1290"/>
      <c r="R43" s="1298"/>
      <c r="S43" s="1291">
        <f t="shared" si="13"/>
        <v>0</v>
      </c>
      <c r="T43" s="363">
        <f t="shared" si="14"/>
        <v>0</v>
      </c>
    </row>
    <row r="44" spans="2:21" x14ac:dyDescent="0.2">
      <c r="B44" s="477"/>
      <c r="C44" s="354"/>
      <c r="D44" s="355"/>
      <c r="E44" s="222" t="s">
        <v>1458</v>
      </c>
      <c r="F44" s="222"/>
      <c r="G44" s="356" t="s">
        <v>207</v>
      </c>
      <c r="H44" s="356" t="s">
        <v>207</v>
      </c>
      <c r="I44" s="357"/>
      <c r="J44" s="357"/>
      <c r="K44" s="357"/>
      <c r="L44" s="357"/>
      <c r="M44" s="357"/>
      <c r="N44" s="357"/>
      <c r="O44" s="357"/>
      <c r="P44" s="357"/>
      <c r="Q44" s="357"/>
      <c r="R44" s="357"/>
      <c r="S44" s="358"/>
      <c r="T44" s="358"/>
    </row>
    <row r="45" spans="2:21" ht="43.5" customHeight="1" outlineLevel="1" x14ac:dyDescent="0.2">
      <c r="B45" s="365" t="s">
        <v>1427</v>
      </c>
      <c r="C45" s="360" t="s">
        <v>1608</v>
      </c>
      <c r="D45" s="370" t="s">
        <v>1459</v>
      </c>
      <c r="E45" s="373" t="s">
        <v>1622</v>
      </c>
      <c r="F45" s="902" t="s">
        <v>160</v>
      </c>
      <c r="G45" s="361" t="s">
        <v>345</v>
      </c>
      <c r="H45" s="361" t="s">
        <v>1461</v>
      </c>
      <c r="I45" s="44">
        <v>50</v>
      </c>
      <c r="J45" s="1290">
        <v>0.66522859185919292</v>
      </c>
      <c r="K45" s="1290">
        <v>40</v>
      </c>
      <c r="L45" s="1297">
        <f t="shared" ref="L45:L49" si="15">J45*K45</f>
        <v>26.609143674367715</v>
      </c>
      <c r="M45" s="1290">
        <v>0.5</v>
      </c>
      <c r="N45" s="1290">
        <v>70</v>
      </c>
      <c r="O45" s="1297">
        <f t="shared" ref="O45:O49" si="16">M45*N45</f>
        <v>35</v>
      </c>
      <c r="P45" s="1298"/>
      <c r="Q45" s="1290">
        <v>200</v>
      </c>
      <c r="R45" s="1298"/>
      <c r="S45" s="1291">
        <f t="shared" ref="S45:S46" si="17">Q45+O45+L45</f>
        <v>261.60914367436771</v>
      </c>
      <c r="T45" s="363">
        <f>I45*S45</f>
        <v>13080.457183718387</v>
      </c>
    </row>
    <row r="46" spans="2:21" ht="43.5" customHeight="1" outlineLevel="1" x14ac:dyDescent="0.2">
      <c r="B46" s="365" t="s">
        <v>1427</v>
      </c>
      <c r="C46" s="360" t="s">
        <v>1608</v>
      </c>
      <c r="D46" s="370" t="s">
        <v>1463</v>
      </c>
      <c r="E46" s="373" t="s">
        <v>1623</v>
      </c>
      <c r="F46" s="902" t="s">
        <v>160</v>
      </c>
      <c r="G46" s="361" t="s">
        <v>345</v>
      </c>
      <c r="H46" s="361" t="s">
        <v>1461</v>
      </c>
      <c r="I46" s="44">
        <v>20</v>
      </c>
      <c r="J46" s="1290">
        <v>0.62528573982399105</v>
      </c>
      <c r="K46" s="1290">
        <v>40</v>
      </c>
      <c r="L46" s="1297">
        <f t="shared" si="15"/>
        <v>25.011429592959644</v>
      </c>
      <c r="M46" s="1290">
        <v>0.6</v>
      </c>
      <c r="N46" s="1290">
        <v>70</v>
      </c>
      <c r="O46" s="1297">
        <f t="shared" si="16"/>
        <v>42</v>
      </c>
      <c r="P46" s="1298"/>
      <c r="Q46" s="1290">
        <v>260</v>
      </c>
      <c r="R46" s="1298"/>
      <c r="S46" s="1291">
        <f t="shared" si="17"/>
        <v>327.01142959295964</v>
      </c>
      <c r="T46" s="363">
        <f>I46*S46</f>
        <v>6540.2285918591933</v>
      </c>
    </row>
    <row r="47" spans="2:21" ht="43.5" customHeight="1" outlineLevel="1" x14ac:dyDescent="0.2">
      <c r="B47" s="365" t="s">
        <v>1427</v>
      </c>
      <c r="C47" s="360" t="s">
        <v>1608</v>
      </c>
      <c r="D47" s="370" t="s">
        <v>1465</v>
      </c>
      <c r="E47" s="373" t="s">
        <v>1624</v>
      </c>
      <c r="F47" s="902" t="s">
        <v>191</v>
      </c>
      <c r="G47" s="361" t="s">
        <v>345</v>
      </c>
      <c r="H47" s="361" t="s">
        <v>1461</v>
      </c>
      <c r="I47" s="44">
        <v>0</v>
      </c>
      <c r="J47" s="1290"/>
      <c r="K47" s="1290"/>
      <c r="L47" s="1297">
        <f t="shared" si="15"/>
        <v>0</v>
      </c>
      <c r="M47" s="1290"/>
      <c r="N47" s="1290"/>
      <c r="O47" s="1297">
        <f t="shared" si="16"/>
        <v>0</v>
      </c>
      <c r="P47" s="1298"/>
      <c r="Q47" s="1290"/>
      <c r="R47" s="1298"/>
      <c r="S47" s="1291">
        <f t="shared" ref="S47:S49" si="18">Q47+O47+L47</f>
        <v>0</v>
      </c>
      <c r="T47" s="363">
        <f>I47*S47</f>
        <v>0</v>
      </c>
    </row>
    <row r="48" spans="2:21" ht="43.5" customHeight="1" outlineLevel="1" x14ac:dyDescent="0.2">
      <c r="B48" s="365" t="s">
        <v>1427</v>
      </c>
      <c r="C48" s="360" t="s">
        <v>1608</v>
      </c>
      <c r="D48" s="370" t="s">
        <v>1467</v>
      </c>
      <c r="E48" s="373" t="s">
        <v>1468</v>
      </c>
      <c r="F48" s="902" t="s">
        <v>191</v>
      </c>
      <c r="G48" s="361" t="s">
        <v>345</v>
      </c>
      <c r="H48" s="361" t="s">
        <v>1461</v>
      </c>
      <c r="I48" s="44">
        <v>0</v>
      </c>
      <c r="J48" s="1290"/>
      <c r="K48" s="1290"/>
      <c r="L48" s="1297">
        <f t="shared" si="15"/>
        <v>0</v>
      </c>
      <c r="M48" s="1290"/>
      <c r="N48" s="1290"/>
      <c r="O48" s="1297">
        <f t="shared" si="16"/>
        <v>0</v>
      </c>
      <c r="P48" s="1298"/>
      <c r="Q48" s="1290"/>
      <c r="R48" s="1298"/>
      <c r="S48" s="1291">
        <f t="shared" si="18"/>
        <v>0</v>
      </c>
      <c r="T48" s="363">
        <f>I48*S48</f>
        <v>0</v>
      </c>
    </row>
    <row r="49" spans="2:20" ht="43.5" customHeight="1" outlineLevel="1" x14ac:dyDescent="0.2">
      <c r="B49" s="365" t="s">
        <v>1427</v>
      </c>
      <c r="C49" s="360" t="s">
        <v>1608</v>
      </c>
      <c r="D49" s="370" t="s">
        <v>1469</v>
      </c>
      <c r="E49" s="373" t="s">
        <v>1470</v>
      </c>
      <c r="F49" s="902" t="s">
        <v>191</v>
      </c>
      <c r="G49" s="361" t="s">
        <v>345</v>
      </c>
      <c r="H49" s="361" t="s">
        <v>1461</v>
      </c>
      <c r="I49" s="44">
        <v>0</v>
      </c>
      <c r="J49" s="1290"/>
      <c r="K49" s="1290"/>
      <c r="L49" s="1297">
        <f t="shared" si="15"/>
        <v>0</v>
      </c>
      <c r="M49" s="1290"/>
      <c r="N49" s="1290"/>
      <c r="O49" s="1297">
        <f t="shared" si="16"/>
        <v>0</v>
      </c>
      <c r="P49" s="1298"/>
      <c r="Q49" s="1290"/>
      <c r="R49" s="1298"/>
      <c r="S49" s="1291">
        <f t="shared" si="18"/>
        <v>0</v>
      </c>
      <c r="T49" s="363">
        <f>I49*S49</f>
        <v>0</v>
      </c>
    </row>
    <row r="50" spans="2:20" x14ac:dyDescent="0.2">
      <c r="B50" s="477"/>
      <c r="C50" s="354"/>
      <c r="D50" s="355"/>
      <c r="E50" s="222" t="s">
        <v>1479</v>
      </c>
      <c r="F50" s="222"/>
      <c r="G50" s="356" t="s">
        <v>207</v>
      </c>
      <c r="H50" s="356" t="s">
        <v>207</v>
      </c>
      <c r="I50" s="357"/>
      <c r="J50" s="357"/>
      <c r="K50" s="357"/>
      <c r="L50" s="357"/>
      <c r="M50" s="357"/>
      <c r="N50" s="357"/>
      <c r="O50" s="357"/>
      <c r="P50" s="357"/>
      <c r="Q50" s="357"/>
      <c r="R50" s="357"/>
      <c r="S50" s="358"/>
      <c r="T50" s="358"/>
    </row>
    <row r="51" spans="2:20" ht="43.5" customHeight="1" outlineLevel="1" x14ac:dyDescent="0.2">
      <c r="B51" s="365" t="s">
        <v>1427</v>
      </c>
      <c r="C51" s="360" t="s">
        <v>1608</v>
      </c>
      <c r="D51" s="370" t="s">
        <v>1473</v>
      </c>
      <c r="E51" s="373" t="s">
        <v>1474</v>
      </c>
      <c r="F51" s="902" t="s">
        <v>191</v>
      </c>
      <c r="G51" s="361" t="s">
        <v>345</v>
      </c>
      <c r="H51" s="361" t="s">
        <v>1461</v>
      </c>
      <c r="I51" s="44">
        <v>0</v>
      </c>
      <c r="J51" s="1290"/>
      <c r="K51" s="1290"/>
      <c r="L51" s="1297">
        <f t="shared" ref="L51:L57" si="19">J51*K51</f>
        <v>0</v>
      </c>
      <c r="M51" s="1290"/>
      <c r="N51" s="1290"/>
      <c r="O51" s="1297">
        <f t="shared" ref="O51:O57" si="20">M51*N51</f>
        <v>0</v>
      </c>
      <c r="P51" s="1298"/>
      <c r="Q51" s="1290"/>
      <c r="R51" s="1298"/>
      <c r="S51" s="1291">
        <f t="shared" ref="S51:S57" si="21">Q51+O51+L51</f>
        <v>0</v>
      </c>
      <c r="T51" s="363">
        <f t="shared" ref="T51:T57" si="22">I51*S51</f>
        <v>0</v>
      </c>
    </row>
    <row r="52" spans="2:20" ht="43.5" customHeight="1" outlineLevel="1" x14ac:dyDescent="0.2">
      <c r="B52" s="365" t="s">
        <v>1427</v>
      </c>
      <c r="C52" s="360" t="s">
        <v>1608</v>
      </c>
      <c r="D52" s="370" t="s">
        <v>1480</v>
      </c>
      <c r="E52" s="373" t="s">
        <v>1625</v>
      </c>
      <c r="F52" s="902" t="s">
        <v>191</v>
      </c>
      <c r="G52" s="361" t="s">
        <v>1482</v>
      </c>
      <c r="H52" s="361" t="s">
        <v>1385</v>
      </c>
      <c r="I52" s="44">
        <v>0</v>
      </c>
      <c r="J52" s="1290"/>
      <c r="K52" s="1290"/>
      <c r="L52" s="1297">
        <f t="shared" si="19"/>
        <v>0</v>
      </c>
      <c r="M52" s="1290"/>
      <c r="N52" s="1290"/>
      <c r="O52" s="1297">
        <f t="shared" si="20"/>
        <v>0</v>
      </c>
      <c r="P52" s="1298"/>
      <c r="Q52" s="1290"/>
      <c r="R52" s="1298"/>
      <c r="S52" s="1291">
        <f t="shared" si="21"/>
        <v>0</v>
      </c>
      <c r="T52" s="363">
        <f t="shared" si="22"/>
        <v>0</v>
      </c>
    </row>
    <row r="53" spans="2:20" ht="43.5" customHeight="1" outlineLevel="1" x14ac:dyDescent="0.2">
      <c r="B53" s="365" t="s">
        <v>1427</v>
      </c>
      <c r="C53" s="360" t="s">
        <v>1608</v>
      </c>
      <c r="D53" s="381" t="s">
        <v>1483</v>
      </c>
      <c r="E53" s="382" t="s">
        <v>1484</v>
      </c>
      <c r="F53" s="902" t="s">
        <v>191</v>
      </c>
      <c r="G53" s="372" t="s">
        <v>345</v>
      </c>
      <c r="H53" s="372" t="s">
        <v>1461</v>
      </c>
      <c r="I53" s="44">
        <v>0</v>
      </c>
      <c r="J53" s="1290"/>
      <c r="K53" s="1290"/>
      <c r="L53" s="1297">
        <f t="shared" si="19"/>
        <v>0</v>
      </c>
      <c r="M53" s="1290"/>
      <c r="N53" s="1290"/>
      <c r="O53" s="1297">
        <f t="shared" si="20"/>
        <v>0</v>
      </c>
      <c r="P53" s="1298"/>
      <c r="Q53" s="1290"/>
      <c r="R53" s="1298"/>
      <c r="S53" s="1291">
        <f t="shared" si="21"/>
        <v>0</v>
      </c>
      <c r="T53" s="363">
        <f t="shared" si="22"/>
        <v>0</v>
      </c>
    </row>
    <row r="54" spans="2:20" s="127" customFormat="1" ht="43.5" customHeight="1" outlineLevel="1" x14ac:dyDescent="0.2">
      <c r="B54" s="365" t="s">
        <v>1427</v>
      </c>
      <c r="C54" s="360" t="s">
        <v>1608</v>
      </c>
      <c r="D54" s="370" t="s">
        <v>1487</v>
      </c>
      <c r="E54" s="373" t="s">
        <v>1488</v>
      </c>
      <c r="F54" s="902" t="s">
        <v>191</v>
      </c>
      <c r="G54" s="361" t="s">
        <v>1482</v>
      </c>
      <c r="H54" s="361" t="s">
        <v>1385</v>
      </c>
      <c r="I54" s="44">
        <v>0</v>
      </c>
      <c r="J54" s="1290"/>
      <c r="K54" s="1290"/>
      <c r="L54" s="1297">
        <f t="shared" si="19"/>
        <v>0</v>
      </c>
      <c r="M54" s="1290"/>
      <c r="N54" s="1290"/>
      <c r="O54" s="1297">
        <f t="shared" si="20"/>
        <v>0</v>
      </c>
      <c r="P54" s="1298"/>
      <c r="Q54" s="1290"/>
      <c r="R54" s="1298"/>
      <c r="S54" s="1291">
        <f t="shared" si="21"/>
        <v>0</v>
      </c>
      <c r="T54" s="363">
        <f t="shared" si="22"/>
        <v>0</v>
      </c>
    </row>
    <row r="55" spans="2:20" ht="43.5" customHeight="1" outlineLevel="1" x14ac:dyDescent="0.2">
      <c r="B55" s="365" t="s">
        <v>1427</v>
      </c>
      <c r="C55" s="360" t="s">
        <v>1608</v>
      </c>
      <c r="D55" s="372" t="s">
        <v>1475</v>
      </c>
      <c r="E55" s="371" t="s">
        <v>1476</v>
      </c>
      <c r="F55" s="902" t="s">
        <v>191</v>
      </c>
      <c r="G55" s="372" t="s">
        <v>345</v>
      </c>
      <c r="H55" s="372" t="s">
        <v>1461</v>
      </c>
      <c r="I55" s="44">
        <v>0</v>
      </c>
      <c r="J55" s="1290"/>
      <c r="K55" s="1290"/>
      <c r="L55" s="1297">
        <f t="shared" si="19"/>
        <v>0</v>
      </c>
      <c r="M55" s="1290"/>
      <c r="N55" s="1290"/>
      <c r="O55" s="1297">
        <f t="shared" si="20"/>
        <v>0</v>
      </c>
      <c r="P55" s="1298"/>
      <c r="Q55" s="1290"/>
      <c r="R55" s="1298"/>
      <c r="S55" s="1291">
        <f t="shared" si="21"/>
        <v>0</v>
      </c>
      <c r="T55" s="363">
        <f t="shared" si="22"/>
        <v>0</v>
      </c>
    </row>
    <row r="56" spans="2:20" s="127" customFormat="1" ht="43.5" customHeight="1" outlineLevel="1" x14ac:dyDescent="0.2">
      <c r="B56" s="365" t="s">
        <v>1427</v>
      </c>
      <c r="C56" s="360" t="s">
        <v>1608</v>
      </c>
      <c r="D56" s="361" t="s">
        <v>1406</v>
      </c>
      <c r="E56" s="367" t="s">
        <v>1407</v>
      </c>
      <c r="F56" s="902" t="s">
        <v>191</v>
      </c>
      <c r="G56" s="361" t="s">
        <v>1393</v>
      </c>
      <c r="H56" s="361" t="s">
        <v>1385</v>
      </c>
      <c r="I56" s="44">
        <v>0</v>
      </c>
      <c r="J56" s="1290"/>
      <c r="K56" s="1290"/>
      <c r="L56" s="1297">
        <f t="shared" si="19"/>
        <v>0</v>
      </c>
      <c r="M56" s="1290"/>
      <c r="N56" s="1290"/>
      <c r="O56" s="1297">
        <f t="shared" si="20"/>
        <v>0</v>
      </c>
      <c r="P56" s="1298"/>
      <c r="Q56" s="1290"/>
      <c r="R56" s="1298"/>
      <c r="S56" s="1291">
        <f t="shared" si="21"/>
        <v>0</v>
      </c>
      <c r="T56" s="368">
        <f t="shared" si="22"/>
        <v>0</v>
      </c>
    </row>
    <row r="57" spans="2:20" s="127" customFormat="1" ht="43.5" customHeight="1" outlineLevel="1" x14ac:dyDescent="0.2">
      <c r="B57" s="365" t="s">
        <v>1427</v>
      </c>
      <c r="C57" s="360" t="s">
        <v>1608</v>
      </c>
      <c r="D57" s="361" t="s">
        <v>1408</v>
      </c>
      <c r="E57" s="367" t="s">
        <v>1409</v>
      </c>
      <c r="F57" s="902" t="s">
        <v>191</v>
      </c>
      <c r="G57" s="361" t="s">
        <v>1393</v>
      </c>
      <c r="H57" s="361" t="s">
        <v>1385</v>
      </c>
      <c r="I57" s="44">
        <v>0</v>
      </c>
      <c r="J57" s="1290"/>
      <c r="K57" s="1290"/>
      <c r="L57" s="1297">
        <f t="shared" si="19"/>
        <v>0</v>
      </c>
      <c r="M57" s="1290"/>
      <c r="N57" s="1290"/>
      <c r="O57" s="1297">
        <f t="shared" si="20"/>
        <v>0</v>
      </c>
      <c r="P57" s="1298"/>
      <c r="Q57" s="1290"/>
      <c r="R57" s="1298"/>
      <c r="S57" s="1291">
        <f t="shared" si="21"/>
        <v>0</v>
      </c>
      <c r="T57" s="368">
        <f t="shared" si="22"/>
        <v>0</v>
      </c>
    </row>
    <row r="58" spans="2:20" s="127" customFormat="1" ht="13.5" thickBot="1" x14ac:dyDescent="0.25">
      <c r="B58" s="478"/>
      <c r="C58" s="374"/>
      <c r="D58" s="51"/>
      <c r="E58" s="1649" t="s">
        <v>1626</v>
      </c>
      <c r="F58" s="52"/>
      <c r="G58" s="53"/>
      <c r="H58" s="53"/>
      <c r="I58" s="375"/>
      <c r="J58" s="375"/>
      <c r="K58" s="375"/>
      <c r="L58" s="375"/>
      <c r="M58" s="375"/>
      <c r="N58" s="375"/>
      <c r="O58" s="375"/>
      <c r="P58" s="375"/>
      <c r="Q58" s="1652" t="s">
        <v>154</v>
      </c>
      <c r="R58" s="1653"/>
      <c r="S58" s="1654"/>
      <c r="T58" s="393">
        <f>SUMIF(F37:F57,"Mandatory",T37:T57)</f>
        <v>26160.914367436773</v>
      </c>
    </row>
    <row r="59" spans="2:20" s="127" customFormat="1" ht="14.45" customHeight="1" x14ac:dyDescent="0.2">
      <c r="B59" s="478"/>
      <c r="C59" s="374"/>
      <c r="D59" s="51"/>
      <c r="E59" s="1650"/>
      <c r="F59" s="52"/>
      <c r="G59" s="53"/>
      <c r="H59" s="53"/>
      <c r="I59" s="375"/>
      <c r="J59" s="375"/>
      <c r="K59" s="375"/>
      <c r="L59" s="375"/>
      <c r="M59" s="375"/>
      <c r="N59" s="375"/>
      <c r="O59" s="375"/>
      <c r="P59" s="375"/>
      <c r="Q59" s="1651" t="s">
        <v>156</v>
      </c>
      <c r="R59" s="1651"/>
      <c r="S59" s="1651"/>
      <c r="T59" s="1446">
        <f>SUMIF(F37:F57,"Optional",T37:T57)</f>
        <v>0</v>
      </c>
    </row>
    <row r="60" spans="2:20" s="347" customFormat="1" ht="5.25" customHeight="1" x14ac:dyDescent="0.2">
      <c r="B60" s="479"/>
      <c r="C60" s="378"/>
      <c r="D60" s="229"/>
      <c r="E60" s="199"/>
      <c r="F60" s="199"/>
      <c r="G60" s="200"/>
      <c r="H60" s="200"/>
      <c r="I60" s="379"/>
      <c r="J60" s="379"/>
      <c r="K60" s="379"/>
      <c r="L60" s="379"/>
      <c r="M60" s="379"/>
      <c r="N60" s="379"/>
      <c r="O60" s="379"/>
      <c r="P60" s="379"/>
      <c r="Q60" s="379"/>
      <c r="R60" s="379"/>
      <c r="S60" s="201"/>
      <c r="T60" s="345"/>
    </row>
    <row r="61" spans="2:20" s="136" customFormat="1" ht="14.25" x14ac:dyDescent="0.2">
      <c r="B61" s="476"/>
      <c r="C61" s="348"/>
      <c r="D61" s="349"/>
      <c r="E61" s="350" t="s">
        <v>1627</v>
      </c>
      <c r="F61" s="350"/>
      <c r="G61" s="349" t="s">
        <v>207</v>
      </c>
      <c r="H61" s="349" t="s">
        <v>207</v>
      </c>
      <c r="I61" s="350"/>
      <c r="J61" s="350"/>
      <c r="K61" s="350"/>
      <c r="L61" s="350"/>
      <c r="M61" s="350"/>
      <c r="N61" s="350"/>
      <c r="O61" s="350"/>
      <c r="P61" s="350"/>
      <c r="Q61" s="350"/>
      <c r="R61" s="350"/>
      <c r="S61" s="351"/>
      <c r="T61" s="352"/>
    </row>
    <row r="62" spans="2:20" x14ac:dyDescent="0.2">
      <c r="B62" s="477"/>
      <c r="C62" s="354"/>
      <c r="D62" s="355"/>
      <c r="E62" s="222" t="s">
        <v>1387</v>
      </c>
      <c r="F62" s="222"/>
      <c r="G62" s="356"/>
      <c r="H62" s="356"/>
      <c r="I62" s="357"/>
      <c r="J62" s="357"/>
      <c r="K62" s="357"/>
      <c r="L62" s="357"/>
      <c r="M62" s="357"/>
      <c r="N62" s="357"/>
      <c r="O62" s="357"/>
      <c r="P62" s="357"/>
      <c r="Q62" s="357"/>
      <c r="R62" s="357"/>
      <c r="S62" s="358"/>
      <c r="T62" s="358"/>
    </row>
    <row r="63" spans="2:20" s="127" customFormat="1" ht="43.5" customHeight="1" outlineLevel="1" x14ac:dyDescent="0.2">
      <c r="B63" s="365" t="s">
        <v>1491</v>
      </c>
      <c r="C63" s="360" t="s">
        <v>1608</v>
      </c>
      <c r="D63" s="361" t="s">
        <v>1391</v>
      </c>
      <c r="E63" s="367" t="s">
        <v>1613</v>
      </c>
      <c r="F63" s="902" t="s">
        <v>191</v>
      </c>
      <c r="G63" s="361" t="s">
        <v>1393</v>
      </c>
      <c r="H63" s="361" t="s">
        <v>1385</v>
      </c>
      <c r="I63" s="44">
        <v>0</v>
      </c>
      <c r="J63" s="1290"/>
      <c r="K63" s="1290"/>
      <c r="L63" s="1297">
        <f t="shared" ref="L63:L67" si="23">J63*K63</f>
        <v>0</v>
      </c>
      <c r="M63" s="1290"/>
      <c r="N63" s="1290"/>
      <c r="O63" s="1297">
        <f t="shared" ref="O63:O67" si="24">M63*N63</f>
        <v>0</v>
      </c>
      <c r="P63" s="1298"/>
      <c r="Q63" s="1290"/>
      <c r="R63" s="1298"/>
      <c r="S63" s="1291">
        <f t="shared" ref="S63:S67" si="25">Q63+O63+L63</f>
        <v>0</v>
      </c>
      <c r="T63" s="368">
        <f>I63*S63</f>
        <v>0</v>
      </c>
    </row>
    <row r="64" spans="2:20" s="127" customFormat="1" ht="43.5" customHeight="1" outlineLevel="1" x14ac:dyDescent="0.2">
      <c r="B64" s="365" t="s">
        <v>1491</v>
      </c>
      <c r="C64" s="360" t="s">
        <v>1608</v>
      </c>
      <c r="D64" s="361" t="s">
        <v>1395</v>
      </c>
      <c r="E64" s="367" t="s">
        <v>1396</v>
      </c>
      <c r="F64" s="902" t="s">
        <v>191</v>
      </c>
      <c r="G64" s="361" t="s">
        <v>1393</v>
      </c>
      <c r="H64" s="361" t="s">
        <v>1385</v>
      </c>
      <c r="I64" s="44">
        <v>0</v>
      </c>
      <c r="J64" s="1290"/>
      <c r="K64" s="1290"/>
      <c r="L64" s="1297">
        <f t="shared" si="23"/>
        <v>0</v>
      </c>
      <c r="M64" s="1290"/>
      <c r="N64" s="1290"/>
      <c r="O64" s="1297">
        <f t="shared" si="24"/>
        <v>0</v>
      </c>
      <c r="P64" s="1298"/>
      <c r="Q64" s="1290"/>
      <c r="R64" s="1298"/>
      <c r="S64" s="1291">
        <f t="shared" si="25"/>
        <v>0</v>
      </c>
      <c r="T64" s="368">
        <f>I64*S64</f>
        <v>0</v>
      </c>
    </row>
    <row r="65" spans="2:20" s="127" customFormat="1" ht="43.5" customHeight="1" outlineLevel="1" x14ac:dyDescent="0.2">
      <c r="B65" s="365" t="s">
        <v>1491</v>
      </c>
      <c r="C65" s="360" t="s">
        <v>1608</v>
      </c>
      <c r="D65" s="361" t="s">
        <v>1397</v>
      </c>
      <c r="E65" s="367" t="s">
        <v>1398</v>
      </c>
      <c r="F65" s="902" t="s">
        <v>191</v>
      </c>
      <c r="G65" s="361" t="s">
        <v>1393</v>
      </c>
      <c r="H65" s="361" t="s">
        <v>1385</v>
      </c>
      <c r="I65" s="44">
        <v>0</v>
      </c>
      <c r="J65" s="1290"/>
      <c r="K65" s="1290"/>
      <c r="L65" s="1297">
        <f t="shared" si="23"/>
        <v>0</v>
      </c>
      <c r="M65" s="1290"/>
      <c r="N65" s="1290"/>
      <c r="O65" s="1297">
        <f t="shared" si="24"/>
        <v>0</v>
      </c>
      <c r="P65" s="1298"/>
      <c r="Q65" s="1290"/>
      <c r="R65" s="1298"/>
      <c r="S65" s="1291">
        <f t="shared" si="25"/>
        <v>0</v>
      </c>
      <c r="T65" s="368">
        <f>I65*S65</f>
        <v>0</v>
      </c>
    </row>
    <row r="66" spans="2:20" s="127" customFormat="1" ht="43.5" customHeight="1" outlineLevel="1" x14ac:dyDescent="0.2">
      <c r="B66" s="365" t="s">
        <v>1491</v>
      </c>
      <c r="C66" s="360" t="s">
        <v>1608</v>
      </c>
      <c r="D66" s="361" t="s">
        <v>1399</v>
      </c>
      <c r="E66" s="367" t="s">
        <v>1494</v>
      </c>
      <c r="F66" s="902" t="s">
        <v>191</v>
      </c>
      <c r="G66" s="361" t="s">
        <v>1379</v>
      </c>
      <c r="H66" s="361" t="s">
        <v>1380</v>
      </c>
      <c r="I66" s="44">
        <v>0</v>
      </c>
      <c r="J66" s="1290"/>
      <c r="K66" s="1290"/>
      <c r="L66" s="1297">
        <f t="shared" si="23"/>
        <v>0</v>
      </c>
      <c r="M66" s="1290"/>
      <c r="N66" s="1290"/>
      <c r="O66" s="1297">
        <f t="shared" si="24"/>
        <v>0</v>
      </c>
      <c r="P66" s="1298"/>
      <c r="Q66" s="1290"/>
      <c r="R66" s="1298"/>
      <c r="S66" s="1291">
        <f t="shared" si="25"/>
        <v>0</v>
      </c>
      <c r="T66" s="368">
        <f>I66*S66</f>
        <v>0</v>
      </c>
    </row>
    <row r="67" spans="2:20" s="127" customFormat="1" ht="43.5" customHeight="1" outlineLevel="1" x14ac:dyDescent="0.2">
      <c r="B67" s="365" t="s">
        <v>1491</v>
      </c>
      <c r="C67" s="360" t="s">
        <v>1608</v>
      </c>
      <c r="D67" s="361" t="s">
        <v>1495</v>
      </c>
      <c r="E67" s="367" t="s">
        <v>1496</v>
      </c>
      <c r="F67" s="902" t="s">
        <v>191</v>
      </c>
      <c r="G67" s="361" t="s">
        <v>1393</v>
      </c>
      <c r="H67" s="361" t="s">
        <v>1385</v>
      </c>
      <c r="I67" s="44">
        <v>0</v>
      </c>
      <c r="J67" s="1290"/>
      <c r="K67" s="1290"/>
      <c r="L67" s="1297">
        <f t="shared" si="23"/>
        <v>0</v>
      </c>
      <c r="M67" s="1290"/>
      <c r="N67" s="1290"/>
      <c r="O67" s="1297">
        <f t="shared" si="24"/>
        <v>0</v>
      </c>
      <c r="P67" s="1298"/>
      <c r="Q67" s="1290"/>
      <c r="R67" s="1298"/>
      <c r="S67" s="1291">
        <f t="shared" si="25"/>
        <v>0</v>
      </c>
      <c r="T67" s="363">
        <f>I67*S67</f>
        <v>0</v>
      </c>
    </row>
    <row r="68" spans="2:20" x14ac:dyDescent="0.2">
      <c r="B68" s="477"/>
      <c r="C68" s="354"/>
      <c r="D68" s="355"/>
      <c r="E68" s="222" t="s">
        <v>1628</v>
      </c>
      <c r="F68" s="222"/>
      <c r="G68" s="356"/>
      <c r="H68" s="356"/>
      <c r="I68" s="357"/>
      <c r="J68" s="357"/>
      <c r="K68" s="357"/>
      <c r="L68" s="357"/>
      <c r="M68" s="357"/>
      <c r="N68" s="357"/>
      <c r="O68" s="357"/>
      <c r="P68" s="357"/>
      <c r="Q68" s="357"/>
      <c r="R68" s="357"/>
      <c r="S68" s="358"/>
      <c r="T68" s="358"/>
    </row>
    <row r="69" spans="2:20" s="127" customFormat="1" ht="43.5" customHeight="1" outlineLevel="1" x14ac:dyDescent="0.2">
      <c r="B69" s="365" t="s">
        <v>1491</v>
      </c>
      <c r="C69" s="360" t="s">
        <v>1608</v>
      </c>
      <c r="D69" s="361" t="s">
        <v>1498</v>
      </c>
      <c r="E69" s="367" t="s">
        <v>1629</v>
      </c>
      <c r="F69" s="902" t="s">
        <v>191</v>
      </c>
      <c r="G69" s="361" t="s">
        <v>1393</v>
      </c>
      <c r="H69" s="361" t="s">
        <v>1385</v>
      </c>
      <c r="I69" s="44">
        <v>0</v>
      </c>
      <c r="J69" s="1290"/>
      <c r="K69" s="1290"/>
      <c r="L69" s="1297">
        <f t="shared" ref="L69:L71" si="26">J69*K69</f>
        <v>0</v>
      </c>
      <c r="M69" s="1290"/>
      <c r="N69" s="1290"/>
      <c r="O69" s="1297">
        <f t="shared" ref="O69:O71" si="27">M69*N69</f>
        <v>0</v>
      </c>
      <c r="P69" s="1298"/>
      <c r="Q69" s="1290"/>
      <c r="R69" s="1298"/>
      <c r="S69" s="1291">
        <f t="shared" ref="S69:S71" si="28">Q69+O69+L69</f>
        <v>0</v>
      </c>
      <c r="T69" s="363">
        <f>I69*S69</f>
        <v>0</v>
      </c>
    </row>
    <row r="70" spans="2:20" s="127" customFormat="1" ht="43.5" customHeight="1" outlineLevel="1" x14ac:dyDescent="0.2">
      <c r="B70" s="365" t="s">
        <v>1491</v>
      </c>
      <c r="C70" s="360" t="s">
        <v>1608</v>
      </c>
      <c r="D70" s="361" t="s">
        <v>1630</v>
      </c>
      <c r="E70" s="367" t="s">
        <v>1631</v>
      </c>
      <c r="F70" s="902" t="s">
        <v>191</v>
      </c>
      <c r="G70" s="361" t="s">
        <v>1393</v>
      </c>
      <c r="H70" s="361" t="s">
        <v>1385</v>
      </c>
      <c r="I70" s="44">
        <v>0</v>
      </c>
      <c r="J70" s="1290"/>
      <c r="K70" s="1290"/>
      <c r="L70" s="1297">
        <f t="shared" si="26"/>
        <v>0</v>
      </c>
      <c r="M70" s="1290"/>
      <c r="N70" s="1290"/>
      <c r="O70" s="1297">
        <f t="shared" si="27"/>
        <v>0</v>
      </c>
      <c r="P70" s="1298"/>
      <c r="Q70" s="1290"/>
      <c r="R70" s="1298"/>
      <c r="S70" s="1291">
        <f t="shared" si="28"/>
        <v>0</v>
      </c>
      <c r="T70" s="363">
        <f>I70*S70</f>
        <v>0</v>
      </c>
    </row>
    <row r="71" spans="2:20" s="127" customFormat="1" ht="43.5" customHeight="1" outlineLevel="1" x14ac:dyDescent="0.2">
      <c r="B71" s="365" t="s">
        <v>1491</v>
      </c>
      <c r="C71" s="360" t="s">
        <v>1608</v>
      </c>
      <c r="D71" s="383" t="s">
        <v>1502</v>
      </c>
      <c r="E71" s="367" t="s">
        <v>1632</v>
      </c>
      <c r="F71" s="902" t="s">
        <v>191</v>
      </c>
      <c r="G71" s="361" t="s">
        <v>1504</v>
      </c>
      <c r="H71" s="361" t="s">
        <v>1505</v>
      </c>
      <c r="I71" s="44">
        <v>0</v>
      </c>
      <c r="J71" s="1290"/>
      <c r="K71" s="1290"/>
      <c r="L71" s="1297">
        <f t="shared" si="26"/>
        <v>0</v>
      </c>
      <c r="M71" s="1290"/>
      <c r="N71" s="1290"/>
      <c r="O71" s="1297">
        <f t="shared" si="27"/>
        <v>0</v>
      </c>
      <c r="P71" s="1298"/>
      <c r="Q71" s="1290"/>
      <c r="R71" s="1298"/>
      <c r="S71" s="1291">
        <f t="shared" si="28"/>
        <v>0</v>
      </c>
      <c r="T71" s="363">
        <f>I71*S71</f>
        <v>0</v>
      </c>
    </row>
    <row r="72" spans="2:20" s="127" customFormat="1" x14ac:dyDescent="0.2">
      <c r="B72" s="477"/>
      <c r="C72" s="354"/>
      <c r="D72" s="355"/>
      <c r="E72" s="222" t="s">
        <v>1633</v>
      </c>
      <c r="F72" s="222"/>
      <c r="G72" s="356"/>
      <c r="H72" s="356"/>
      <c r="I72" s="357"/>
      <c r="J72" s="357"/>
      <c r="K72" s="357"/>
      <c r="L72" s="357"/>
      <c r="M72" s="357"/>
      <c r="N72" s="357"/>
      <c r="O72" s="357"/>
      <c r="P72" s="357"/>
      <c r="Q72" s="357"/>
      <c r="R72" s="357"/>
      <c r="S72" s="358"/>
      <c r="T72" s="358"/>
    </row>
    <row r="73" spans="2:20" s="127" customFormat="1" ht="43.5" customHeight="1" outlineLevel="1" x14ac:dyDescent="0.2">
      <c r="B73" s="365" t="s">
        <v>1634</v>
      </c>
      <c r="C73" s="360" t="s">
        <v>1608</v>
      </c>
      <c r="D73" s="361" t="s">
        <v>1635</v>
      </c>
      <c r="E73" s="384" t="s">
        <v>1636</v>
      </c>
      <c r="F73" s="902" t="s">
        <v>191</v>
      </c>
      <c r="G73" s="361" t="s">
        <v>1393</v>
      </c>
      <c r="H73" s="361" t="s">
        <v>1385</v>
      </c>
      <c r="I73" s="44">
        <v>0</v>
      </c>
      <c r="J73" s="1290"/>
      <c r="K73" s="1290"/>
      <c r="L73" s="1297">
        <f t="shared" ref="L73:L75" si="29">J73*K73</f>
        <v>0</v>
      </c>
      <c r="M73" s="1290"/>
      <c r="N73" s="1290"/>
      <c r="O73" s="1297">
        <f t="shared" ref="O73:O75" si="30">M73*N73</f>
        <v>0</v>
      </c>
      <c r="P73" s="1298"/>
      <c r="Q73" s="1290"/>
      <c r="R73" s="1298"/>
      <c r="S73" s="1291">
        <f t="shared" ref="S73:S75" si="31">Q73+O73+L73</f>
        <v>0</v>
      </c>
      <c r="T73" s="363">
        <f>I73*S73</f>
        <v>0</v>
      </c>
    </row>
    <row r="74" spans="2:20" s="127" customFormat="1" ht="43.5" customHeight="1" outlineLevel="1" x14ac:dyDescent="0.2">
      <c r="B74" s="365" t="s">
        <v>1634</v>
      </c>
      <c r="C74" s="360" t="s">
        <v>1608</v>
      </c>
      <c r="D74" s="361" t="s">
        <v>1637</v>
      </c>
      <c r="E74" s="371" t="s">
        <v>1638</v>
      </c>
      <c r="F74" s="902" t="s">
        <v>191</v>
      </c>
      <c r="G74" s="361" t="s">
        <v>1393</v>
      </c>
      <c r="H74" s="361" t="s">
        <v>1385</v>
      </c>
      <c r="I74" s="44">
        <v>0</v>
      </c>
      <c r="J74" s="1290"/>
      <c r="K74" s="1290"/>
      <c r="L74" s="1297">
        <f t="shared" si="29"/>
        <v>0</v>
      </c>
      <c r="M74" s="1290"/>
      <c r="N74" s="1290"/>
      <c r="O74" s="1297">
        <f t="shared" si="30"/>
        <v>0</v>
      </c>
      <c r="P74" s="1298"/>
      <c r="Q74" s="1290"/>
      <c r="R74" s="1298"/>
      <c r="S74" s="1291">
        <f t="shared" si="31"/>
        <v>0</v>
      </c>
      <c r="T74" s="363">
        <f>I74*S74</f>
        <v>0</v>
      </c>
    </row>
    <row r="75" spans="2:20" s="127" customFormat="1" ht="43.5" customHeight="1" outlineLevel="1" x14ac:dyDescent="0.2">
      <c r="B75" s="365" t="s">
        <v>1634</v>
      </c>
      <c r="C75" s="360" t="s">
        <v>1608</v>
      </c>
      <c r="D75" s="361" t="s">
        <v>1639</v>
      </c>
      <c r="E75" s="371" t="s">
        <v>1640</v>
      </c>
      <c r="F75" s="902" t="s">
        <v>191</v>
      </c>
      <c r="G75" s="361" t="s">
        <v>1393</v>
      </c>
      <c r="H75" s="361" t="s">
        <v>1385</v>
      </c>
      <c r="I75" s="44">
        <v>0</v>
      </c>
      <c r="J75" s="1290"/>
      <c r="K75" s="1290"/>
      <c r="L75" s="1297">
        <f t="shared" si="29"/>
        <v>0</v>
      </c>
      <c r="M75" s="1290"/>
      <c r="N75" s="1290"/>
      <c r="O75" s="1297">
        <f t="shared" si="30"/>
        <v>0</v>
      </c>
      <c r="P75" s="1298"/>
      <c r="Q75" s="1290"/>
      <c r="R75" s="1298"/>
      <c r="S75" s="1291">
        <f t="shared" si="31"/>
        <v>0</v>
      </c>
      <c r="T75" s="363">
        <f>I75*S75</f>
        <v>0</v>
      </c>
    </row>
    <row r="76" spans="2:20" s="127" customFormat="1" ht="13.5" thickBot="1" x14ac:dyDescent="0.25">
      <c r="B76" s="478"/>
      <c r="C76" s="374"/>
      <c r="D76" s="51"/>
      <c r="E76" s="1649" t="s">
        <v>2605</v>
      </c>
      <c r="F76" s="52"/>
      <c r="G76" s="53"/>
      <c r="H76" s="53"/>
      <c r="I76" s="375"/>
      <c r="J76" s="375"/>
      <c r="K76" s="375"/>
      <c r="L76" s="375"/>
      <c r="M76" s="375"/>
      <c r="N76" s="375"/>
      <c r="O76" s="375"/>
      <c r="P76" s="375"/>
      <c r="Q76" s="1652" t="s">
        <v>154</v>
      </c>
      <c r="R76" s="1653"/>
      <c r="S76" s="1654"/>
      <c r="T76" s="393">
        <f>SUMIF(F63:F75,"Mandatory",T63:T75)</f>
        <v>0</v>
      </c>
    </row>
    <row r="77" spans="2:20" s="127" customFormat="1" ht="14.45" customHeight="1" x14ac:dyDescent="0.2">
      <c r="B77" s="478"/>
      <c r="C77" s="374"/>
      <c r="D77" s="51"/>
      <c r="E77" s="1650"/>
      <c r="F77" s="52"/>
      <c r="G77" s="53"/>
      <c r="H77" s="53"/>
      <c r="I77" s="375"/>
      <c r="J77" s="375"/>
      <c r="K77" s="375"/>
      <c r="L77" s="375"/>
      <c r="M77" s="375"/>
      <c r="N77" s="375"/>
      <c r="O77" s="375"/>
      <c r="P77" s="375"/>
      <c r="Q77" s="1651" t="s">
        <v>156</v>
      </c>
      <c r="R77" s="1651"/>
      <c r="S77" s="1651"/>
      <c r="T77" s="1446">
        <f>SUMIF(F63:F75,"Optional",T63:T75)</f>
        <v>0</v>
      </c>
    </row>
    <row r="78" spans="2:20" s="347" customFormat="1" ht="5.25" customHeight="1" x14ac:dyDescent="0.2">
      <c r="B78" s="479"/>
      <c r="C78" s="378"/>
      <c r="D78" s="229"/>
      <c r="E78" s="199"/>
      <c r="F78" s="199"/>
      <c r="G78" s="200"/>
      <c r="H78" s="200"/>
      <c r="I78" s="379"/>
      <c r="J78" s="379"/>
      <c r="K78" s="379"/>
      <c r="L78" s="379"/>
      <c r="M78" s="379"/>
      <c r="N78" s="379"/>
      <c r="O78" s="379"/>
      <c r="P78" s="379"/>
      <c r="Q78" s="379"/>
      <c r="R78" s="379"/>
      <c r="S78" s="201"/>
      <c r="T78" s="345"/>
    </row>
    <row r="79" spans="2:20" x14ac:dyDescent="0.2">
      <c r="B79" s="476"/>
      <c r="C79" s="348"/>
      <c r="D79" s="349"/>
      <c r="E79" s="350" t="s">
        <v>1551</v>
      </c>
      <c r="F79" s="350"/>
      <c r="G79" s="349" t="s">
        <v>207</v>
      </c>
      <c r="H79" s="349" t="s">
        <v>207</v>
      </c>
      <c r="I79" s="350"/>
      <c r="J79" s="350"/>
      <c r="K79" s="350"/>
      <c r="L79" s="350"/>
      <c r="M79" s="350"/>
      <c r="N79" s="350"/>
      <c r="O79" s="350"/>
      <c r="P79" s="350"/>
      <c r="Q79" s="350"/>
      <c r="R79" s="350"/>
      <c r="S79" s="351"/>
      <c r="T79" s="352"/>
    </row>
    <row r="80" spans="2:20" ht="15" x14ac:dyDescent="0.2">
      <c r="B80" s="477"/>
      <c r="C80" s="354"/>
      <c r="D80" s="355"/>
      <c r="E80" s="222" t="s">
        <v>1552</v>
      </c>
      <c r="F80" s="222"/>
      <c r="G80" s="385"/>
      <c r="H80" s="385"/>
      <c r="I80" s="386"/>
      <c r="J80" s="386"/>
      <c r="K80" s="386"/>
      <c r="L80" s="386"/>
      <c r="M80" s="386"/>
      <c r="N80" s="386"/>
      <c r="O80" s="386"/>
      <c r="P80" s="386"/>
      <c r="Q80" s="386"/>
      <c r="R80" s="386"/>
      <c r="S80" s="387"/>
      <c r="T80" s="387"/>
    </row>
    <row r="81" spans="2:20" ht="43.5" customHeight="1" outlineLevel="1" x14ac:dyDescent="0.2">
      <c r="B81" s="365" t="s">
        <v>1553</v>
      </c>
      <c r="C81" s="360" t="s">
        <v>1608</v>
      </c>
      <c r="D81" s="361" t="s">
        <v>1554</v>
      </c>
      <c r="E81" s="371" t="s">
        <v>1641</v>
      </c>
      <c r="F81" s="902" t="s">
        <v>191</v>
      </c>
      <c r="G81" s="372" t="s">
        <v>1393</v>
      </c>
      <c r="H81" s="372" t="s">
        <v>1385</v>
      </c>
      <c r="I81" s="44">
        <v>0</v>
      </c>
      <c r="J81" s="1290"/>
      <c r="K81" s="1290"/>
      <c r="L81" s="1297">
        <f t="shared" ref="L81:L83" si="32">J81*K81</f>
        <v>0</v>
      </c>
      <c r="M81" s="1290"/>
      <c r="N81" s="1290"/>
      <c r="O81" s="1297">
        <f t="shared" ref="O81:O83" si="33">M81*N81</f>
        <v>0</v>
      </c>
      <c r="P81" s="1298"/>
      <c r="Q81" s="1290"/>
      <c r="R81" s="1298"/>
      <c r="S81" s="1291">
        <f t="shared" ref="S81:S83" si="34">Q81+O81+L81</f>
        <v>0</v>
      </c>
      <c r="T81" s="368">
        <f>I81*S81</f>
        <v>0</v>
      </c>
    </row>
    <row r="82" spans="2:20" s="127" customFormat="1" ht="43.5" customHeight="1" outlineLevel="1" x14ac:dyDescent="0.2">
      <c r="B82" s="365" t="s">
        <v>1553</v>
      </c>
      <c r="C82" s="360" t="s">
        <v>1608</v>
      </c>
      <c r="D82" s="361" t="s">
        <v>1556</v>
      </c>
      <c r="E82" s="367" t="s">
        <v>1557</v>
      </c>
      <c r="F82" s="902" t="s">
        <v>191</v>
      </c>
      <c r="G82" s="361" t="s">
        <v>345</v>
      </c>
      <c r="H82" s="361" t="s">
        <v>1642</v>
      </c>
      <c r="I82" s="44">
        <v>0</v>
      </c>
      <c r="J82" s="1290"/>
      <c r="K82" s="1290"/>
      <c r="L82" s="1297">
        <f t="shared" si="32"/>
        <v>0</v>
      </c>
      <c r="M82" s="1290"/>
      <c r="N82" s="1290"/>
      <c r="O82" s="1297">
        <f t="shared" si="33"/>
        <v>0</v>
      </c>
      <c r="P82" s="1298"/>
      <c r="Q82" s="1290"/>
      <c r="R82" s="1298"/>
      <c r="S82" s="1291">
        <f t="shared" si="34"/>
        <v>0</v>
      </c>
      <c r="T82" s="363">
        <f>I82*S82</f>
        <v>0</v>
      </c>
    </row>
    <row r="83" spans="2:20" s="127" customFormat="1" ht="43.5" customHeight="1" outlineLevel="1" x14ac:dyDescent="0.2">
      <c r="B83" s="365" t="s">
        <v>1553</v>
      </c>
      <c r="C83" s="360" t="s">
        <v>1608</v>
      </c>
      <c r="D83" s="361" t="s">
        <v>1558</v>
      </c>
      <c r="E83" s="367" t="s">
        <v>1559</v>
      </c>
      <c r="F83" s="902" t="s">
        <v>191</v>
      </c>
      <c r="G83" s="372" t="s">
        <v>1393</v>
      </c>
      <c r="H83" s="372" t="s">
        <v>1385</v>
      </c>
      <c r="I83" s="44">
        <v>0</v>
      </c>
      <c r="J83" s="1290"/>
      <c r="K83" s="1290"/>
      <c r="L83" s="1297">
        <f t="shared" si="32"/>
        <v>0</v>
      </c>
      <c r="M83" s="1290"/>
      <c r="N83" s="1290"/>
      <c r="O83" s="1297">
        <f t="shared" si="33"/>
        <v>0</v>
      </c>
      <c r="P83" s="1298"/>
      <c r="Q83" s="1290"/>
      <c r="R83" s="1298"/>
      <c r="S83" s="1291">
        <f t="shared" si="34"/>
        <v>0</v>
      </c>
      <c r="T83" s="363">
        <v>0</v>
      </c>
    </row>
    <row r="84" spans="2:20" s="127" customFormat="1" ht="43.5" customHeight="1" outlineLevel="1" x14ac:dyDescent="0.2">
      <c r="B84" s="365" t="s">
        <v>1553</v>
      </c>
      <c r="C84" s="360" t="s">
        <v>1608</v>
      </c>
      <c r="D84" s="361" t="s">
        <v>1561</v>
      </c>
      <c r="E84" s="367" t="s">
        <v>1562</v>
      </c>
      <c r="F84" s="902" t="s">
        <v>191</v>
      </c>
      <c r="G84" s="361" t="s">
        <v>1504</v>
      </c>
      <c r="H84" s="361" t="s">
        <v>1505</v>
      </c>
      <c r="I84" s="44">
        <v>0</v>
      </c>
      <c r="J84" s="1290"/>
      <c r="K84" s="1290"/>
      <c r="L84" s="1297">
        <f t="shared" ref="L84:L87" si="35">J84*K84</f>
        <v>0</v>
      </c>
      <c r="M84" s="1290"/>
      <c r="N84" s="1290"/>
      <c r="O84" s="1297">
        <f t="shared" ref="O84:O87" si="36">M84*N84</f>
        <v>0</v>
      </c>
      <c r="P84" s="1298"/>
      <c r="Q84" s="1290"/>
      <c r="R84" s="1298"/>
      <c r="S84" s="1291">
        <f t="shared" ref="S84:S87" si="37">Q84+O84+L84</f>
        <v>0</v>
      </c>
      <c r="T84" s="363">
        <v>0</v>
      </c>
    </row>
    <row r="85" spans="2:20" s="347" customFormat="1" ht="43.5" customHeight="1" outlineLevel="1" x14ac:dyDescent="0.2">
      <c r="B85" s="365" t="s">
        <v>1553</v>
      </c>
      <c r="C85" s="360" t="s">
        <v>1608</v>
      </c>
      <c r="D85" s="372" t="s">
        <v>1563</v>
      </c>
      <c r="E85" s="371" t="s">
        <v>1564</v>
      </c>
      <c r="F85" s="902" t="s">
        <v>191</v>
      </c>
      <c r="G85" s="372" t="s">
        <v>1393</v>
      </c>
      <c r="H85" s="372" t="s">
        <v>1385</v>
      </c>
      <c r="I85" s="44">
        <v>0</v>
      </c>
      <c r="J85" s="1290"/>
      <c r="K85" s="1290"/>
      <c r="L85" s="1297">
        <f t="shared" si="35"/>
        <v>0</v>
      </c>
      <c r="M85" s="1290"/>
      <c r="N85" s="1290"/>
      <c r="O85" s="1297">
        <f t="shared" si="36"/>
        <v>0</v>
      </c>
      <c r="P85" s="1298"/>
      <c r="Q85" s="1290"/>
      <c r="R85" s="1298"/>
      <c r="S85" s="1291">
        <f t="shared" si="37"/>
        <v>0</v>
      </c>
      <c r="T85" s="368">
        <f>I85*S85</f>
        <v>0</v>
      </c>
    </row>
    <row r="86" spans="2:20" s="127" customFormat="1" ht="43.5" customHeight="1" outlineLevel="1" x14ac:dyDescent="0.2">
      <c r="B86" s="365" t="s">
        <v>1553</v>
      </c>
      <c r="C86" s="360" t="s">
        <v>1608</v>
      </c>
      <c r="D86" s="361" t="s">
        <v>1406</v>
      </c>
      <c r="E86" s="367" t="s">
        <v>1407</v>
      </c>
      <c r="F86" s="902" t="s">
        <v>191</v>
      </c>
      <c r="G86" s="372" t="s">
        <v>1393</v>
      </c>
      <c r="H86" s="372" t="s">
        <v>1385</v>
      </c>
      <c r="I86" s="44">
        <v>0</v>
      </c>
      <c r="J86" s="1290"/>
      <c r="K86" s="1290"/>
      <c r="L86" s="1297">
        <f t="shared" si="35"/>
        <v>0</v>
      </c>
      <c r="M86" s="1290"/>
      <c r="N86" s="1290"/>
      <c r="O86" s="1297">
        <f t="shared" si="36"/>
        <v>0</v>
      </c>
      <c r="P86" s="1298"/>
      <c r="Q86" s="1290"/>
      <c r="R86" s="1298"/>
      <c r="S86" s="1291">
        <f t="shared" si="37"/>
        <v>0</v>
      </c>
      <c r="T86" s="363">
        <v>0</v>
      </c>
    </row>
    <row r="87" spans="2:20" s="127" customFormat="1" ht="43.5" customHeight="1" outlineLevel="1" x14ac:dyDescent="0.2">
      <c r="B87" s="365" t="s">
        <v>1553</v>
      </c>
      <c r="C87" s="360" t="s">
        <v>1608</v>
      </c>
      <c r="D87" s="361" t="s">
        <v>1408</v>
      </c>
      <c r="E87" s="367" t="s">
        <v>1643</v>
      </c>
      <c r="F87" s="902" t="s">
        <v>191</v>
      </c>
      <c r="G87" s="372" t="s">
        <v>1393</v>
      </c>
      <c r="H87" s="372" t="s">
        <v>1385</v>
      </c>
      <c r="I87" s="44">
        <v>0</v>
      </c>
      <c r="J87" s="1290"/>
      <c r="K87" s="1290"/>
      <c r="L87" s="1297">
        <f t="shared" si="35"/>
        <v>0</v>
      </c>
      <c r="M87" s="1290"/>
      <c r="N87" s="1290"/>
      <c r="O87" s="1297">
        <f t="shared" si="36"/>
        <v>0</v>
      </c>
      <c r="P87" s="1298"/>
      <c r="Q87" s="1290"/>
      <c r="R87" s="1298"/>
      <c r="S87" s="1291">
        <f t="shared" si="37"/>
        <v>0</v>
      </c>
      <c r="T87" s="363">
        <v>0</v>
      </c>
    </row>
    <row r="88" spans="2:20" s="127" customFormat="1" ht="15" x14ac:dyDescent="0.2">
      <c r="B88" s="477"/>
      <c r="C88" s="354"/>
      <c r="D88" s="355"/>
      <c r="E88" s="222" t="s">
        <v>607</v>
      </c>
      <c r="F88" s="222"/>
      <c r="G88" s="385"/>
      <c r="H88" s="385"/>
      <c r="I88" s="386"/>
      <c r="J88" s="386"/>
      <c r="K88" s="386"/>
      <c r="L88" s="386"/>
      <c r="M88" s="386"/>
      <c r="N88" s="386"/>
      <c r="O88" s="386"/>
      <c r="P88" s="386"/>
      <c r="Q88" s="386"/>
      <c r="R88" s="386"/>
      <c r="S88" s="387"/>
      <c r="T88" s="387"/>
    </row>
    <row r="89" spans="2:20" s="127" customFormat="1" ht="43.5" customHeight="1" outlineLevel="1" x14ac:dyDescent="0.2">
      <c r="B89" s="365" t="s">
        <v>1553</v>
      </c>
      <c r="C89" s="360" t="s">
        <v>1608</v>
      </c>
      <c r="D89" s="361" t="s">
        <v>1565</v>
      </c>
      <c r="E89" s="367" t="s">
        <v>1566</v>
      </c>
      <c r="F89" s="902" t="s">
        <v>191</v>
      </c>
      <c r="G89" s="361" t="s">
        <v>1379</v>
      </c>
      <c r="H89" s="361" t="s">
        <v>1380</v>
      </c>
      <c r="I89" s="44">
        <v>0</v>
      </c>
      <c r="J89" s="1290"/>
      <c r="K89" s="1290"/>
      <c r="L89" s="1297">
        <f t="shared" ref="L89:L92" si="38">J89*K89</f>
        <v>0</v>
      </c>
      <c r="M89" s="1290"/>
      <c r="N89" s="1290"/>
      <c r="O89" s="1297">
        <f t="shared" ref="O89:O92" si="39">M89*N89</f>
        <v>0</v>
      </c>
      <c r="P89" s="1298"/>
      <c r="Q89" s="1290"/>
      <c r="R89" s="1298"/>
      <c r="S89" s="1291">
        <f t="shared" ref="S89:S92" si="40">Q89+O89+L89</f>
        <v>0</v>
      </c>
      <c r="T89" s="363">
        <f t="shared" ref="T89:T98" si="41">I89*S89</f>
        <v>0</v>
      </c>
    </row>
    <row r="90" spans="2:20" ht="43.5" customHeight="1" outlineLevel="1" x14ac:dyDescent="0.2">
      <c r="B90" s="365" t="s">
        <v>1553</v>
      </c>
      <c r="C90" s="360" t="s">
        <v>1608</v>
      </c>
      <c r="D90" s="361" t="s">
        <v>1567</v>
      </c>
      <c r="E90" s="373" t="s">
        <v>1568</v>
      </c>
      <c r="F90" s="902" t="s">
        <v>160</v>
      </c>
      <c r="G90" s="361" t="s">
        <v>237</v>
      </c>
      <c r="H90" s="361" t="s">
        <v>1570</v>
      </c>
      <c r="I90" s="44">
        <v>2</v>
      </c>
      <c r="J90" s="1290">
        <v>0</v>
      </c>
      <c r="K90" s="1290">
        <v>40</v>
      </c>
      <c r="L90" s="1297">
        <f t="shared" si="38"/>
        <v>0</v>
      </c>
      <c r="M90" s="1290"/>
      <c r="N90" s="1290"/>
      <c r="O90" s="1297">
        <f t="shared" si="39"/>
        <v>0</v>
      </c>
      <c r="P90" s="1298"/>
      <c r="Q90" s="1290">
        <v>6932.6423073707447</v>
      </c>
      <c r="R90" s="1298"/>
      <c r="S90" s="1291">
        <f t="shared" si="40"/>
        <v>6932.6423073707447</v>
      </c>
      <c r="T90" s="363">
        <f t="shared" si="41"/>
        <v>13865.284614741489</v>
      </c>
    </row>
    <row r="91" spans="2:20" ht="43.5" customHeight="1" outlineLevel="1" x14ac:dyDescent="0.2">
      <c r="B91" s="365" t="s">
        <v>1553</v>
      </c>
      <c r="C91" s="360" t="s">
        <v>1608</v>
      </c>
      <c r="D91" s="361" t="s">
        <v>1571</v>
      </c>
      <c r="E91" s="373" t="s">
        <v>1572</v>
      </c>
      <c r="F91" s="902" t="s">
        <v>191</v>
      </c>
      <c r="G91" s="361" t="s">
        <v>161</v>
      </c>
      <c r="H91" s="361" t="s">
        <v>1573</v>
      </c>
      <c r="I91" s="44">
        <v>0</v>
      </c>
      <c r="J91" s="1290"/>
      <c r="K91" s="1290"/>
      <c r="L91" s="1297">
        <f t="shared" si="38"/>
        <v>0</v>
      </c>
      <c r="M91" s="1290"/>
      <c r="N91" s="1290"/>
      <c r="O91" s="1297">
        <f t="shared" si="39"/>
        <v>0</v>
      </c>
      <c r="P91" s="1298"/>
      <c r="Q91" s="1290"/>
      <c r="R91" s="1298"/>
      <c r="S91" s="1291">
        <f t="shared" si="40"/>
        <v>0</v>
      </c>
      <c r="T91" s="363">
        <f t="shared" si="41"/>
        <v>0</v>
      </c>
    </row>
    <row r="92" spans="2:20" ht="43.5" customHeight="1" outlineLevel="1" x14ac:dyDescent="0.2">
      <c r="B92" s="365" t="s">
        <v>1553</v>
      </c>
      <c r="C92" s="360" t="s">
        <v>1608</v>
      </c>
      <c r="D92" s="361" t="s">
        <v>1574</v>
      </c>
      <c r="E92" s="373" t="s">
        <v>1644</v>
      </c>
      <c r="F92" s="902" t="s">
        <v>191</v>
      </c>
      <c r="G92" s="361" t="s">
        <v>345</v>
      </c>
      <c r="H92" s="361" t="s">
        <v>1642</v>
      </c>
      <c r="I92" s="44">
        <v>0</v>
      </c>
      <c r="J92" s="1290"/>
      <c r="K92" s="1290"/>
      <c r="L92" s="1297">
        <f t="shared" si="38"/>
        <v>0</v>
      </c>
      <c r="M92" s="1290"/>
      <c r="N92" s="1290"/>
      <c r="O92" s="1297">
        <f t="shared" si="39"/>
        <v>0</v>
      </c>
      <c r="P92" s="1298"/>
      <c r="Q92" s="1290"/>
      <c r="R92" s="1298"/>
      <c r="S92" s="1291">
        <f t="shared" si="40"/>
        <v>0</v>
      </c>
      <c r="T92" s="363">
        <f t="shared" si="41"/>
        <v>0</v>
      </c>
    </row>
    <row r="93" spans="2:20" ht="43.5" customHeight="1" outlineLevel="1" x14ac:dyDescent="0.2">
      <c r="B93" s="365" t="s">
        <v>1553</v>
      </c>
      <c r="C93" s="360" t="s">
        <v>1608</v>
      </c>
      <c r="D93" s="388" t="s">
        <v>1577</v>
      </c>
      <c r="E93" s="389" t="s">
        <v>1645</v>
      </c>
      <c r="F93" s="902" t="s">
        <v>191</v>
      </c>
      <c r="G93" s="372" t="s">
        <v>1450</v>
      </c>
      <c r="H93" s="372" t="s">
        <v>1451</v>
      </c>
      <c r="I93" s="44">
        <v>0</v>
      </c>
      <c r="J93" s="1290"/>
      <c r="K93" s="1290"/>
      <c r="L93" s="1297">
        <f t="shared" ref="L93:L98" si="42">J93*K93</f>
        <v>0</v>
      </c>
      <c r="M93" s="1290"/>
      <c r="N93" s="1290"/>
      <c r="O93" s="1297">
        <f t="shared" ref="O93:O98" si="43">M93*N93</f>
        <v>0</v>
      </c>
      <c r="P93" s="1298"/>
      <c r="Q93" s="1290"/>
      <c r="R93" s="1298"/>
      <c r="S93" s="1291">
        <f t="shared" ref="S93:S98" si="44">Q93+O93+L93</f>
        <v>0</v>
      </c>
      <c r="T93" s="368">
        <f t="shared" si="41"/>
        <v>0</v>
      </c>
    </row>
    <row r="94" spans="2:20" ht="43.5" customHeight="1" outlineLevel="1" x14ac:dyDescent="0.2">
      <c r="B94" s="365" t="s">
        <v>1553</v>
      </c>
      <c r="C94" s="360" t="s">
        <v>1608</v>
      </c>
      <c r="D94" s="388" t="s">
        <v>1646</v>
      </c>
      <c r="E94" s="389" t="s">
        <v>1647</v>
      </c>
      <c r="F94" s="902" t="s">
        <v>191</v>
      </c>
      <c r="G94" s="372" t="s">
        <v>1450</v>
      </c>
      <c r="H94" s="372" t="s">
        <v>1451</v>
      </c>
      <c r="I94" s="44">
        <v>0</v>
      </c>
      <c r="J94" s="1290"/>
      <c r="K94" s="1290"/>
      <c r="L94" s="1297">
        <f t="shared" si="42"/>
        <v>0</v>
      </c>
      <c r="M94" s="1290"/>
      <c r="N94" s="1290"/>
      <c r="O94" s="1297">
        <f t="shared" si="43"/>
        <v>0</v>
      </c>
      <c r="P94" s="1298"/>
      <c r="Q94" s="1290"/>
      <c r="R94" s="1298"/>
      <c r="S94" s="1291">
        <f t="shared" si="44"/>
        <v>0</v>
      </c>
      <c r="T94" s="368">
        <f t="shared" si="41"/>
        <v>0</v>
      </c>
    </row>
    <row r="95" spans="2:20" ht="43.5" customHeight="1" outlineLevel="1" x14ac:dyDescent="0.2">
      <c r="B95" s="365" t="s">
        <v>1553</v>
      </c>
      <c r="C95" s="360" t="s">
        <v>1608</v>
      </c>
      <c r="D95" s="388" t="s">
        <v>1648</v>
      </c>
      <c r="E95" s="389" t="s">
        <v>1649</v>
      </c>
      <c r="F95" s="902" t="s">
        <v>191</v>
      </c>
      <c r="G95" s="361" t="s">
        <v>1379</v>
      </c>
      <c r="H95" s="361" t="s">
        <v>1380</v>
      </c>
      <c r="I95" s="44">
        <v>0</v>
      </c>
      <c r="J95" s="1290"/>
      <c r="K95" s="1290"/>
      <c r="L95" s="1297">
        <f t="shared" si="42"/>
        <v>0</v>
      </c>
      <c r="M95" s="1290"/>
      <c r="N95" s="1290"/>
      <c r="O95" s="1297">
        <f t="shared" si="43"/>
        <v>0</v>
      </c>
      <c r="P95" s="1298"/>
      <c r="Q95" s="1290"/>
      <c r="R95" s="1298"/>
      <c r="S95" s="1291">
        <f t="shared" si="44"/>
        <v>0</v>
      </c>
      <c r="T95" s="368">
        <f t="shared" si="41"/>
        <v>0</v>
      </c>
    </row>
    <row r="96" spans="2:20" ht="43.5" customHeight="1" outlineLevel="1" x14ac:dyDescent="0.2">
      <c r="B96" s="365" t="s">
        <v>1553</v>
      </c>
      <c r="C96" s="360" t="s">
        <v>1608</v>
      </c>
      <c r="D96" s="388" t="s">
        <v>1650</v>
      </c>
      <c r="E96" s="373" t="s">
        <v>1651</v>
      </c>
      <c r="F96" s="902" t="s">
        <v>191</v>
      </c>
      <c r="G96" s="372" t="s">
        <v>345</v>
      </c>
      <c r="H96" s="372" t="s">
        <v>1461</v>
      </c>
      <c r="I96" s="44">
        <v>0</v>
      </c>
      <c r="J96" s="1290"/>
      <c r="K96" s="1290"/>
      <c r="L96" s="1297">
        <f t="shared" si="42"/>
        <v>0</v>
      </c>
      <c r="M96" s="1290"/>
      <c r="N96" s="1290"/>
      <c r="O96" s="1297">
        <f t="shared" si="43"/>
        <v>0</v>
      </c>
      <c r="P96" s="1298"/>
      <c r="Q96" s="1290"/>
      <c r="R96" s="1298"/>
      <c r="S96" s="1291">
        <f t="shared" si="44"/>
        <v>0</v>
      </c>
      <c r="T96" s="368">
        <f t="shared" si="41"/>
        <v>0</v>
      </c>
    </row>
    <row r="97" spans="2:20" ht="43.5" customHeight="1" outlineLevel="1" x14ac:dyDescent="0.2">
      <c r="B97" s="365" t="s">
        <v>1553</v>
      </c>
      <c r="C97" s="360" t="s">
        <v>1608</v>
      </c>
      <c r="D97" s="388" t="s">
        <v>1652</v>
      </c>
      <c r="E97" s="373" t="s">
        <v>1653</v>
      </c>
      <c r="F97" s="902" t="s">
        <v>191</v>
      </c>
      <c r="G97" s="372" t="s">
        <v>1450</v>
      </c>
      <c r="H97" s="372" t="s">
        <v>1451</v>
      </c>
      <c r="I97" s="44">
        <v>0</v>
      </c>
      <c r="J97" s="1290"/>
      <c r="K97" s="1290"/>
      <c r="L97" s="1297">
        <f t="shared" si="42"/>
        <v>0</v>
      </c>
      <c r="M97" s="1290"/>
      <c r="N97" s="1290"/>
      <c r="O97" s="1297">
        <f t="shared" si="43"/>
        <v>0</v>
      </c>
      <c r="P97" s="1298"/>
      <c r="Q97" s="1290"/>
      <c r="R97" s="1298"/>
      <c r="S97" s="1291">
        <f t="shared" si="44"/>
        <v>0</v>
      </c>
      <c r="T97" s="368">
        <f t="shared" si="41"/>
        <v>0</v>
      </c>
    </row>
    <row r="98" spans="2:20" ht="43.5" customHeight="1" outlineLevel="1" x14ac:dyDescent="0.2">
      <c r="B98" s="365" t="s">
        <v>1553</v>
      </c>
      <c r="C98" s="360" t="s">
        <v>1608</v>
      </c>
      <c r="D98" s="388" t="s">
        <v>1654</v>
      </c>
      <c r="E98" s="373" t="s">
        <v>1655</v>
      </c>
      <c r="F98" s="902" t="s">
        <v>191</v>
      </c>
      <c r="G98" s="372" t="s">
        <v>1450</v>
      </c>
      <c r="H98" s="372" t="s">
        <v>1451</v>
      </c>
      <c r="I98" s="44">
        <v>0</v>
      </c>
      <c r="J98" s="1290"/>
      <c r="K98" s="1290"/>
      <c r="L98" s="1297">
        <f t="shared" si="42"/>
        <v>0</v>
      </c>
      <c r="M98" s="1290"/>
      <c r="N98" s="1290"/>
      <c r="O98" s="1297">
        <f t="shared" si="43"/>
        <v>0</v>
      </c>
      <c r="P98" s="1298"/>
      <c r="Q98" s="1290"/>
      <c r="R98" s="1298"/>
      <c r="S98" s="1291">
        <f t="shared" si="44"/>
        <v>0</v>
      </c>
      <c r="T98" s="368">
        <f t="shared" si="41"/>
        <v>0</v>
      </c>
    </row>
    <row r="99" spans="2:20" s="127" customFormat="1" ht="13.5" thickBot="1" x14ac:dyDescent="0.25">
      <c r="B99" s="478"/>
      <c r="C99" s="374"/>
      <c r="D99" s="51"/>
      <c r="E99" s="1655" t="s">
        <v>1656</v>
      </c>
      <c r="F99" s="52"/>
      <c r="G99" s="53"/>
      <c r="H99" s="53"/>
      <c r="I99" s="375"/>
      <c r="J99" s="375"/>
      <c r="K99" s="375"/>
      <c r="L99" s="375"/>
      <c r="M99" s="375"/>
      <c r="N99" s="375"/>
      <c r="O99" s="375"/>
      <c r="P99" s="375"/>
      <c r="Q99" s="1652" t="s">
        <v>154</v>
      </c>
      <c r="R99" s="1653"/>
      <c r="S99" s="1654"/>
      <c r="T99" s="393">
        <f>SUMIF(F81:F98,"Mandatory",T81:T98)</f>
        <v>13865.284614741489</v>
      </c>
    </row>
    <row r="100" spans="2:20" s="127" customFormat="1" x14ac:dyDescent="0.2">
      <c r="B100" s="1441"/>
      <c r="C100" s="1441"/>
      <c r="D100" s="1442"/>
      <c r="E100" s="1657"/>
      <c r="F100" s="1443"/>
      <c r="G100" s="1444"/>
      <c r="H100" s="1444"/>
      <c r="I100" s="1445"/>
      <c r="J100" s="1445"/>
      <c r="K100" s="1445"/>
      <c r="L100" s="1445"/>
      <c r="M100" s="1445"/>
      <c r="N100" s="1445"/>
      <c r="O100" s="1445"/>
      <c r="P100" s="1445"/>
      <c r="Q100" s="1651" t="s">
        <v>156</v>
      </c>
      <c r="R100" s="1651"/>
      <c r="S100" s="1651"/>
      <c r="T100" s="1446">
        <f>SUMIF(F81:F98,"Optional",T81:T98)</f>
        <v>0</v>
      </c>
    </row>
    <row r="102" spans="2:20" x14ac:dyDescent="0.2">
      <c r="C102" s="348"/>
      <c r="D102" s="349"/>
      <c r="E102" s="350" t="s">
        <v>1599</v>
      </c>
      <c r="F102" s="350"/>
      <c r="G102" s="349" t="s">
        <v>207</v>
      </c>
      <c r="H102" s="349" t="s">
        <v>207</v>
      </c>
      <c r="I102" s="350" t="s">
        <v>207</v>
      </c>
      <c r="J102" s="350"/>
      <c r="K102" s="350"/>
      <c r="L102" s="350"/>
      <c r="M102" s="350"/>
      <c r="N102" s="350"/>
      <c r="O102" s="350"/>
      <c r="P102" s="350"/>
      <c r="Q102" s="350"/>
      <c r="R102" s="350"/>
      <c r="S102" s="351"/>
      <c r="T102" s="352"/>
    </row>
    <row r="103" spans="2:20" ht="25.5" outlineLevel="1" x14ac:dyDescent="0.2">
      <c r="C103" s="360" t="s">
        <v>1608</v>
      </c>
      <c r="D103" s="361"/>
      <c r="E103" s="389" t="s">
        <v>1603</v>
      </c>
      <c r="F103" s="902" t="s">
        <v>191</v>
      </c>
      <c r="G103" s="361"/>
      <c r="H103" s="361"/>
      <c r="I103" s="44">
        <v>0</v>
      </c>
      <c r="J103" s="1290"/>
      <c r="K103" s="1290"/>
      <c r="L103" s="1297">
        <f t="shared" ref="L103" si="45">J103*K103</f>
        <v>0</v>
      </c>
      <c r="M103" s="1290"/>
      <c r="N103" s="1290"/>
      <c r="O103" s="1297">
        <f t="shared" ref="O103" si="46">M103*N103</f>
        <v>0</v>
      </c>
      <c r="P103" s="1298"/>
      <c r="Q103" s="1290"/>
      <c r="R103" s="1298"/>
      <c r="S103" s="1291">
        <f>Q103+O103+L103</f>
        <v>0</v>
      </c>
      <c r="T103" s="363">
        <f>I103*S103</f>
        <v>0</v>
      </c>
    </row>
    <row r="104" spans="2:20" s="127" customFormat="1" ht="13.5" thickBot="1" x14ac:dyDescent="0.25">
      <c r="C104" s="390"/>
      <c r="D104" s="391"/>
      <c r="E104" s="1655" t="s">
        <v>1657</v>
      </c>
      <c r="F104" s="66"/>
      <c r="G104" s="67"/>
      <c r="H104" s="67"/>
      <c r="I104" s="392"/>
      <c r="J104" s="392"/>
      <c r="K104" s="392"/>
      <c r="L104" s="392"/>
      <c r="M104" s="392"/>
      <c r="N104" s="392"/>
      <c r="O104" s="392"/>
      <c r="P104" s="392"/>
      <c r="Q104" s="1652" t="s">
        <v>154</v>
      </c>
      <c r="R104" s="1653"/>
      <c r="S104" s="1654"/>
      <c r="T104" s="393">
        <f>SUMIF(F103,"Mandatory",T103)</f>
        <v>0</v>
      </c>
    </row>
    <row r="105" spans="2:20" s="127" customFormat="1" ht="13.5" thickBot="1" x14ac:dyDescent="0.25">
      <c r="C105" s="1441"/>
      <c r="D105" s="1442"/>
      <c r="E105" s="1656"/>
      <c r="F105" s="1443"/>
      <c r="G105" s="1444"/>
      <c r="H105" s="1444"/>
      <c r="I105" s="1445"/>
      <c r="J105" s="1445"/>
      <c r="K105" s="1445"/>
      <c r="L105" s="1445"/>
      <c r="M105" s="1445"/>
      <c r="N105" s="1445"/>
      <c r="O105" s="1445"/>
      <c r="P105" s="1445"/>
      <c r="Q105" s="1651" t="s">
        <v>156</v>
      </c>
      <c r="R105" s="1651"/>
      <c r="S105" s="1651"/>
      <c r="T105" s="1446">
        <f>SUMIF(F103,"Optional",T103)</f>
        <v>0</v>
      </c>
    </row>
    <row r="106" spans="2:20" s="347" customFormat="1" ht="15" x14ac:dyDescent="0.2">
      <c r="C106" s="394"/>
      <c r="D106" s="395"/>
      <c r="E106" s="71"/>
      <c r="F106" s="71"/>
      <c r="G106" s="70"/>
      <c r="H106" s="70"/>
      <c r="I106" s="396"/>
      <c r="J106" s="396"/>
      <c r="K106" s="396"/>
      <c r="L106" s="396"/>
      <c r="M106" s="396"/>
      <c r="N106" s="396"/>
      <c r="O106" s="396"/>
      <c r="P106" s="396"/>
      <c r="Q106" s="396"/>
      <c r="R106" s="396"/>
      <c r="S106" s="73"/>
      <c r="T106" s="397"/>
    </row>
    <row r="107" spans="2:20" s="398" customFormat="1" ht="16.5" thickBot="1" x14ac:dyDescent="0.25">
      <c r="C107" s="399"/>
      <c r="D107" s="399"/>
      <c r="E107" s="400" t="s">
        <v>1658</v>
      </c>
      <c r="F107" s="1440"/>
      <c r="G107" s="399"/>
      <c r="H107" s="399"/>
      <c r="I107" s="399"/>
      <c r="J107" s="399"/>
      <c r="K107" s="399"/>
      <c r="L107" s="399"/>
      <c r="M107" s="399"/>
      <c r="N107" s="399"/>
      <c r="O107" s="399"/>
      <c r="P107" s="399"/>
      <c r="Q107" s="399"/>
      <c r="R107" s="399"/>
      <c r="S107" s="1380" t="s">
        <v>154</v>
      </c>
      <c r="T107" s="1379">
        <f>+T32+T58+T76+T99+T104</f>
        <v>464173.10362143064</v>
      </c>
    </row>
    <row r="108" spans="2:20" ht="15.75" thickBot="1" x14ac:dyDescent="0.25">
      <c r="S108" s="1380" t="s">
        <v>156</v>
      </c>
      <c r="T108" s="1379">
        <f>+T33+T59+T77+T100+T105</f>
        <v>47050.404489835033</v>
      </c>
    </row>
    <row r="112" spans="2:20" x14ac:dyDescent="0.2">
      <c r="E112" s="150" t="s">
        <v>695</v>
      </c>
      <c r="F112" s="150"/>
    </row>
  </sheetData>
  <autoFilter ref="B7:U104" xr:uid="{514A1382-11F7-45DB-8DFA-E929DBA1C75A}">
    <filterColumn colId="8" showButton="0"/>
    <filterColumn colId="9" showButton="0"/>
    <filterColumn colId="11" showButton="0"/>
    <filterColumn colId="12" showButton="0"/>
    <filterColumn colId="13" showButton="0"/>
    <filterColumn colId="15" showButton="0"/>
  </autoFilter>
  <mergeCells count="19">
    <mergeCell ref="J7:L7"/>
    <mergeCell ref="M7:P7"/>
    <mergeCell ref="Q7:R7"/>
    <mergeCell ref="B5:U5"/>
    <mergeCell ref="E32:E33"/>
    <mergeCell ref="Q32:S32"/>
    <mergeCell ref="Q33:S33"/>
    <mergeCell ref="E76:E77"/>
    <mergeCell ref="E58:E59"/>
    <mergeCell ref="Q100:S100"/>
    <mergeCell ref="Q104:S104"/>
    <mergeCell ref="Q105:S105"/>
    <mergeCell ref="E104:E105"/>
    <mergeCell ref="E99:E100"/>
    <mergeCell ref="Q58:S58"/>
    <mergeCell ref="Q59:S59"/>
    <mergeCell ref="Q76:S76"/>
    <mergeCell ref="Q77:S77"/>
    <mergeCell ref="Q99:S99"/>
  </mergeCells>
  <phoneticPr fontId="99" type="noConversion"/>
  <dataValidations count="2">
    <dataValidation type="decimal" operator="greaterThanOrEqual" allowBlank="1" showInputMessage="1" showErrorMessage="1" sqref="Q11 M11:N11 J11:K11 J103:K103 M13:N23 J13:K23 Q13:Q23 M25:N31 J25:K31 Q37:Q43 M37:N43 J37:K43 Q45:Q49 M45:N49 J45:K49 Q51:Q57 M51:N57 J51:K57 Q63:Q67 M63:N67 J63:K67 Q69:Q71 M69:N71 J69:K71 Q73:Q75 M73:N75 J73:K75 Q81:Q87 M81:N87 J81:K87 Q89:Q98 M89:N98 J89:K98 Q103 M103:N103 Q25:Q31" xr:uid="{7660634F-FC7F-4FFE-BE7C-CF5250D74273}">
      <formula1>0</formula1>
    </dataValidation>
    <dataValidation type="list" allowBlank="1" showInputMessage="1" showErrorMessage="1" sqref="F89:F98 F25:F31 F45:F49 F13:F23 F37:F43 F51:F57 F63:F67 F69:F71 F73:F75 F81:F87 F103 F11" xr:uid="{B908ACFA-E22F-4847-B4D3-575D3577F1F1}">
      <formula1>"Mandatory,Optional,NA"</formula1>
    </dataValidation>
  </dataValidations>
  <pageMargins left="0.75" right="0.75" top="1" bottom="1" header="0" footer="0"/>
  <pageSetup paperSize="9" scale="10" orientation="portrait"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21212-B93E-49D5-94AC-0C39D90B33D3}">
  <sheetPr>
    <tabColor rgb="FF00B050"/>
  </sheetPr>
  <dimension ref="B2:K24"/>
  <sheetViews>
    <sheetView showGridLines="0" zoomScale="90" zoomScaleNormal="90" zoomScaleSheetLayoutView="90" workbookViewId="0">
      <selection activeCell="E18" sqref="E18"/>
    </sheetView>
  </sheetViews>
  <sheetFormatPr defaultColWidth="11.5703125" defaultRowHeight="12.75" x14ac:dyDescent="0.2"/>
  <cols>
    <col min="1" max="1" width="1.28515625" style="171" customWidth="1"/>
    <col min="2" max="2" width="23.42578125" style="171" customWidth="1"/>
    <col min="3" max="3" width="30.7109375" style="180" customWidth="1"/>
    <col min="4" max="4" width="16.5703125" style="180" bestFit="1" customWidth="1"/>
    <col min="5" max="5" width="53.42578125" style="431" customWidth="1"/>
    <col min="6" max="6" width="15.7109375" style="180" bestFit="1" customWidth="1"/>
    <col min="7" max="7" width="16.28515625" style="180" customWidth="1"/>
    <col min="8" max="8" width="15.7109375" style="171" bestFit="1" customWidth="1"/>
    <col min="9" max="16384" width="11.5703125" style="171"/>
  </cols>
  <sheetData>
    <row r="2" spans="2:11" ht="15.75" x14ac:dyDescent="0.2">
      <c r="B2" s="124"/>
      <c r="C2" s="20"/>
      <c r="D2" s="20"/>
      <c r="E2" s="21" t="s">
        <v>185</v>
      </c>
      <c r="F2" s="23"/>
      <c r="G2" s="22"/>
      <c r="H2" s="22"/>
      <c r="I2" s="22"/>
      <c r="J2" s="22"/>
      <c r="K2" s="22"/>
    </row>
    <row r="3" spans="2:11" ht="15.75" thickBot="1" x14ac:dyDescent="0.25">
      <c r="B3" s="121"/>
      <c r="C3" s="26"/>
      <c r="D3" s="26"/>
      <c r="E3" s="28"/>
      <c r="F3" s="30"/>
      <c r="G3" s="29"/>
      <c r="H3" s="29"/>
    </row>
    <row r="4" spans="2:11" s="172" customFormat="1" ht="24.75" customHeight="1" x14ac:dyDescent="0.25">
      <c r="B4" s="685" t="s">
        <v>186</v>
      </c>
      <c r="C4" s="691" t="s">
        <v>136</v>
      </c>
      <c r="D4" s="32" t="s">
        <v>137</v>
      </c>
      <c r="E4" s="32" t="s">
        <v>187</v>
      </c>
      <c r="F4" s="90" t="s">
        <v>139</v>
      </c>
      <c r="G4" s="33" t="s">
        <v>140</v>
      </c>
      <c r="H4" s="91" t="s">
        <v>141</v>
      </c>
      <c r="I4" s="91" t="s">
        <v>145</v>
      </c>
      <c r="J4" s="91" t="s">
        <v>146</v>
      </c>
      <c r="K4" s="170" t="s">
        <v>147</v>
      </c>
    </row>
    <row r="5" spans="2:11" s="173" customFormat="1" ht="14.25" customHeight="1" collapsed="1" x14ac:dyDescent="0.25">
      <c r="B5" s="686" t="s">
        <v>155</v>
      </c>
      <c r="C5" s="401" t="s">
        <v>155</v>
      </c>
      <c r="D5" s="402" t="s">
        <v>155</v>
      </c>
      <c r="E5" s="403" t="s">
        <v>1659</v>
      </c>
      <c r="F5" s="404" t="s">
        <v>154</v>
      </c>
      <c r="G5" s="404" t="s">
        <v>155</v>
      </c>
      <c r="H5" s="404" t="s">
        <v>155</v>
      </c>
      <c r="I5" s="404" t="s">
        <v>155</v>
      </c>
      <c r="J5" s="404">
        <f>SUMIF(F8:F12,"Mandatory",J8:J12)</f>
        <v>0</v>
      </c>
      <c r="K5" s="405" t="s">
        <v>155</v>
      </c>
    </row>
    <row r="6" spans="2:11" s="173" customFormat="1" ht="14.25" customHeight="1" x14ac:dyDescent="0.2">
      <c r="B6" s="687" t="s">
        <v>155</v>
      </c>
      <c r="C6" s="406" t="s">
        <v>155</v>
      </c>
      <c r="D6" s="407" t="s">
        <v>155</v>
      </c>
      <c r="E6" s="408" t="s">
        <v>155</v>
      </c>
      <c r="F6" s="409" t="s">
        <v>156</v>
      </c>
      <c r="G6" s="409" t="s">
        <v>155</v>
      </c>
      <c r="H6" s="409" t="s">
        <v>155</v>
      </c>
      <c r="I6" s="409" t="s">
        <v>155</v>
      </c>
      <c r="J6" s="404">
        <f>SUMIF(F8:F12,"optional",J8:J12)</f>
        <v>0</v>
      </c>
      <c r="K6" s="410" t="s">
        <v>155</v>
      </c>
    </row>
    <row r="7" spans="2:11" x14ac:dyDescent="0.2">
      <c r="B7" s="688" t="s">
        <v>155</v>
      </c>
      <c r="C7" s="411" t="s">
        <v>155</v>
      </c>
      <c r="D7" s="412" t="s">
        <v>155</v>
      </c>
      <c r="E7" s="413" t="s">
        <v>1660</v>
      </c>
      <c r="F7" s="414" t="s">
        <v>155</v>
      </c>
      <c r="G7" s="414" t="s">
        <v>155</v>
      </c>
      <c r="H7" s="414" t="s">
        <v>155</v>
      </c>
      <c r="I7" s="414" t="s">
        <v>155</v>
      </c>
      <c r="J7" s="414" t="s">
        <v>155</v>
      </c>
      <c r="K7" s="415" t="s">
        <v>155</v>
      </c>
    </row>
    <row r="8" spans="2:11" s="174" customFormat="1" ht="33.75" x14ac:dyDescent="0.2">
      <c r="B8" s="689" t="s">
        <v>155</v>
      </c>
      <c r="C8" s="416" t="str">
        <f>'Reference documents'!B13</f>
        <v>GRE…..</v>
      </c>
      <c r="D8" s="417" t="s">
        <v>155</v>
      </c>
      <c r="E8" s="418" t="s">
        <v>190</v>
      </c>
      <c r="F8" s="145" t="s">
        <v>160</v>
      </c>
      <c r="G8" s="417" t="s">
        <v>161</v>
      </c>
      <c r="H8" s="24">
        <v>1</v>
      </c>
      <c r="I8" s="24"/>
      <c r="J8" s="24">
        <v>0</v>
      </c>
      <c r="K8" s="24"/>
    </row>
    <row r="9" spans="2:11" x14ac:dyDescent="0.2">
      <c r="B9" s="689" t="s">
        <v>155</v>
      </c>
      <c r="C9" s="416" t="s">
        <v>155</v>
      </c>
      <c r="D9" s="412" t="s">
        <v>155</v>
      </c>
      <c r="E9" s="413" t="s">
        <v>1661</v>
      </c>
      <c r="F9" s="414" t="s">
        <v>155</v>
      </c>
      <c r="G9" s="414" t="s">
        <v>155</v>
      </c>
      <c r="H9" s="414" t="s">
        <v>155</v>
      </c>
      <c r="I9" s="414" t="s">
        <v>155</v>
      </c>
      <c r="J9" s="414" t="s">
        <v>155</v>
      </c>
      <c r="K9" s="415" t="s">
        <v>155</v>
      </c>
    </row>
    <row r="10" spans="2:11" s="178" customFormat="1" ht="36" x14ac:dyDescent="0.2">
      <c r="B10" s="689" t="s">
        <v>155</v>
      </c>
      <c r="C10" s="416" t="s">
        <v>1662</v>
      </c>
      <c r="D10" s="417" t="s">
        <v>155</v>
      </c>
      <c r="E10" s="418" t="s">
        <v>193</v>
      </c>
      <c r="F10" s="145" t="s">
        <v>160</v>
      </c>
      <c r="G10" s="417" t="s">
        <v>161</v>
      </c>
      <c r="H10" s="24">
        <v>1</v>
      </c>
      <c r="I10" s="24"/>
      <c r="J10" s="24">
        <v>0</v>
      </c>
      <c r="K10" s="24"/>
    </row>
    <row r="11" spans="2:11" s="178" customFormat="1" x14ac:dyDescent="0.2">
      <c r="B11" s="689" t="s">
        <v>155</v>
      </c>
      <c r="C11" s="416" t="s">
        <v>155</v>
      </c>
      <c r="D11" s="412" t="s">
        <v>155</v>
      </c>
      <c r="E11" s="413" t="s">
        <v>1663</v>
      </c>
      <c r="F11" s="414" t="s">
        <v>155</v>
      </c>
      <c r="G11" s="414" t="s">
        <v>155</v>
      </c>
      <c r="H11" s="414" t="s">
        <v>155</v>
      </c>
      <c r="I11" s="414" t="s">
        <v>155</v>
      </c>
      <c r="J11" s="414" t="s">
        <v>155</v>
      </c>
      <c r="K11" s="415" t="s">
        <v>155</v>
      </c>
    </row>
    <row r="12" spans="2:11" s="178" customFormat="1" ht="36" x14ac:dyDescent="0.2">
      <c r="B12" s="689" t="s">
        <v>155</v>
      </c>
      <c r="C12" s="416" t="s">
        <v>1662</v>
      </c>
      <c r="D12" s="417" t="s">
        <v>155</v>
      </c>
      <c r="E12" s="418" t="s">
        <v>1664</v>
      </c>
      <c r="F12" s="145" t="s">
        <v>160</v>
      </c>
      <c r="G12" s="417" t="s">
        <v>161</v>
      </c>
      <c r="H12" s="24">
        <v>1</v>
      </c>
      <c r="I12" s="24"/>
      <c r="J12" s="24">
        <v>0</v>
      </c>
      <c r="K12" s="24"/>
    </row>
    <row r="13" spans="2:11" s="178" customFormat="1" ht="26.25" x14ac:dyDescent="0.25">
      <c r="B13" s="689" t="s">
        <v>155</v>
      </c>
      <c r="C13" s="416" t="s">
        <v>155</v>
      </c>
      <c r="D13" s="402" t="s">
        <v>155</v>
      </c>
      <c r="E13" s="403" t="s">
        <v>1665</v>
      </c>
      <c r="F13" s="404" t="s">
        <v>154</v>
      </c>
      <c r="G13" s="404" t="s">
        <v>155</v>
      </c>
      <c r="H13" s="404" t="s">
        <v>155</v>
      </c>
      <c r="I13" s="404" t="s">
        <v>155</v>
      </c>
      <c r="J13" s="404">
        <f>SUMIF(F16:F22,"Mandatory",J16:J22)</f>
        <v>0</v>
      </c>
      <c r="K13" s="405" t="s">
        <v>155</v>
      </c>
    </row>
    <row r="14" spans="2:11" s="178" customFormat="1" x14ac:dyDescent="0.2">
      <c r="B14" s="689" t="s">
        <v>155</v>
      </c>
      <c r="C14" s="416" t="s">
        <v>155</v>
      </c>
      <c r="D14" s="407" t="s">
        <v>155</v>
      </c>
      <c r="E14" s="408" t="s">
        <v>155</v>
      </c>
      <c r="F14" s="409" t="s">
        <v>156</v>
      </c>
      <c r="G14" s="409" t="s">
        <v>155</v>
      </c>
      <c r="H14" s="409" t="s">
        <v>155</v>
      </c>
      <c r="I14" s="409" t="s">
        <v>155</v>
      </c>
      <c r="J14" s="404">
        <f>SUMIF(F16:F20,"optional",J16:J20)</f>
        <v>0</v>
      </c>
      <c r="K14" s="410" t="s">
        <v>155</v>
      </c>
    </row>
    <row r="15" spans="2:11" s="178" customFormat="1" x14ac:dyDescent="0.2">
      <c r="B15" s="688" t="s">
        <v>155</v>
      </c>
      <c r="C15" s="419" t="s">
        <v>155</v>
      </c>
      <c r="D15" s="412" t="s">
        <v>155</v>
      </c>
      <c r="E15" s="413" t="s">
        <v>1666</v>
      </c>
      <c r="F15" s="414" t="s">
        <v>155</v>
      </c>
      <c r="G15" s="414" t="s">
        <v>155</v>
      </c>
      <c r="H15" s="414" t="s">
        <v>155</v>
      </c>
      <c r="I15" s="414" t="s">
        <v>155</v>
      </c>
      <c r="J15" s="414" t="s">
        <v>155</v>
      </c>
      <c r="K15" s="415" t="s">
        <v>155</v>
      </c>
    </row>
    <row r="16" spans="2:11" s="178" customFormat="1" ht="36" x14ac:dyDescent="0.2">
      <c r="B16" s="689" t="s">
        <v>155</v>
      </c>
      <c r="C16" s="416" t="s">
        <v>1662</v>
      </c>
      <c r="D16" s="420" t="s">
        <v>155</v>
      </c>
      <c r="E16" s="418" t="s">
        <v>198</v>
      </c>
      <c r="F16" s="145" t="s">
        <v>160</v>
      </c>
      <c r="G16" s="420" t="s">
        <v>161</v>
      </c>
      <c r="H16" s="24">
        <v>1</v>
      </c>
      <c r="I16" s="24"/>
      <c r="J16" s="24">
        <v>0</v>
      </c>
      <c r="K16" s="24"/>
    </row>
    <row r="17" spans="2:11" s="178" customFormat="1" x14ac:dyDescent="0.2">
      <c r="B17" s="689" t="s">
        <v>155</v>
      </c>
      <c r="C17" s="416" t="s">
        <v>155</v>
      </c>
      <c r="D17" s="412" t="s">
        <v>155</v>
      </c>
      <c r="E17" s="413" t="s">
        <v>1667</v>
      </c>
      <c r="F17" s="414" t="s">
        <v>155</v>
      </c>
      <c r="G17" s="414" t="s">
        <v>155</v>
      </c>
      <c r="H17" s="414" t="s">
        <v>155</v>
      </c>
      <c r="I17" s="414" t="s">
        <v>155</v>
      </c>
      <c r="J17" s="414" t="s">
        <v>155</v>
      </c>
      <c r="K17" s="415" t="s">
        <v>155</v>
      </c>
    </row>
    <row r="18" spans="2:11" s="178" customFormat="1" ht="45" x14ac:dyDescent="0.2">
      <c r="B18" s="689" t="s">
        <v>155</v>
      </c>
      <c r="C18" s="416" t="s">
        <v>1662</v>
      </c>
      <c r="D18" s="420" t="s">
        <v>155</v>
      </c>
      <c r="E18" s="418" t="s">
        <v>200</v>
      </c>
      <c r="F18" s="145" t="s">
        <v>160</v>
      </c>
      <c r="G18" s="420" t="s">
        <v>161</v>
      </c>
      <c r="H18" s="24">
        <v>1</v>
      </c>
      <c r="I18" s="24"/>
      <c r="J18" s="24">
        <v>0</v>
      </c>
      <c r="K18" s="24"/>
    </row>
    <row r="19" spans="2:11" s="178" customFormat="1" x14ac:dyDescent="0.2">
      <c r="B19" s="689" t="s">
        <v>155</v>
      </c>
      <c r="C19" s="416" t="s">
        <v>155</v>
      </c>
      <c r="D19" s="412" t="s">
        <v>155</v>
      </c>
      <c r="E19" s="413" t="s">
        <v>1668</v>
      </c>
      <c r="F19" s="414" t="s">
        <v>155</v>
      </c>
      <c r="G19" s="414" t="s">
        <v>155</v>
      </c>
      <c r="H19" s="414" t="s">
        <v>155</v>
      </c>
      <c r="I19" s="414" t="s">
        <v>155</v>
      </c>
      <c r="J19" s="414" t="s">
        <v>155</v>
      </c>
      <c r="K19" s="415" t="s">
        <v>155</v>
      </c>
    </row>
    <row r="20" spans="2:11" s="178" customFormat="1" ht="36" x14ac:dyDescent="0.2">
      <c r="B20" s="689" t="s">
        <v>155</v>
      </c>
      <c r="C20" s="416" t="s">
        <v>1662</v>
      </c>
      <c r="D20" s="420" t="s">
        <v>155</v>
      </c>
      <c r="E20" s="418" t="s">
        <v>1669</v>
      </c>
      <c r="F20" s="145" t="s">
        <v>160</v>
      </c>
      <c r="G20" s="420" t="s">
        <v>161</v>
      </c>
      <c r="H20" s="24">
        <v>1</v>
      </c>
      <c r="I20" s="24"/>
      <c r="J20" s="24">
        <v>0</v>
      </c>
      <c r="K20" s="24"/>
    </row>
    <row r="21" spans="2:11" s="178" customFormat="1" ht="25.5" x14ac:dyDescent="0.2">
      <c r="B21" s="689" t="s">
        <v>155</v>
      </c>
      <c r="C21" s="416" t="s">
        <v>155</v>
      </c>
      <c r="D21" s="412" t="s">
        <v>155</v>
      </c>
      <c r="E21" s="413" t="s">
        <v>1670</v>
      </c>
      <c r="F21" s="414" t="s">
        <v>155</v>
      </c>
      <c r="G21" s="414" t="s">
        <v>155</v>
      </c>
      <c r="H21" s="414" t="s">
        <v>155</v>
      </c>
      <c r="I21" s="414" t="s">
        <v>155</v>
      </c>
      <c r="J21" s="414" t="s">
        <v>155</v>
      </c>
      <c r="K21" s="415" t="s">
        <v>155</v>
      </c>
    </row>
    <row r="22" spans="2:11" s="178" customFormat="1" ht="36" x14ac:dyDescent="0.2">
      <c r="B22" s="690" t="s">
        <v>155</v>
      </c>
      <c r="C22" s="416" t="s">
        <v>1662</v>
      </c>
      <c r="D22" s="420" t="s">
        <v>155</v>
      </c>
      <c r="E22" s="418" t="s">
        <v>204</v>
      </c>
      <c r="F22" s="145" t="s">
        <v>160</v>
      </c>
      <c r="G22" s="420" t="s">
        <v>161</v>
      </c>
      <c r="H22" s="24">
        <v>1</v>
      </c>
      <c r="I22" s="24"/>
      <c r="J22" s="24">
        <v>0</v>
      </c>
      <c r="K22" s="24"/>
    </row>
    <row r="23" spans="2:11" x14ac:dyDescent="0.2">
      <c r="B23" s="421" t="s">
        <v>155</v>
      </c>
      <c r="C23" s="411" t="s">
        <v>155</v>
      </c>
      <c r="D23" s="422" t="s">
        <v>155</v>
      </c>
      <c r="E23" s="423" t="s">
        <v>1671</v>
      </c>
      <c r="F23" s="424" t="s">
        <v>154</v>
      </c>
      <c r="G23" s="425" t="s">
        <v>155</v>
      </c>
      <c r="H23" s="426" t="s">
        <v>155</v>
      </c>
      <c r="I23" s="426" t="s">
        <v>155</v>
      </c>
      <c r="J23" s="426">
        <f>+J5+J13</f>
        <v>0</v>
      </c>
      <c r="K23" s="427" t="s">
        <v>155</v>
      </c>
    </row>
    <row r="24" spans="2:11" x14ac:dyDescent="0.2">
      <c r="B24" s="421" t="s">
        <v>155</v>
      </c>
      <c r="C24" s="411" t="s">
        <v>155</v>
      </c>
      <c r="D24" s="422" t="s">
        <v>155</v>
      </c>
      <c r="E24" s="428" t="s">
        <v>155</v>
      </c>
      <c r="F24" s="424" t="s">
        <v>156</v>
      </c>
      <c r="G24" s="425" t="s">
        <v>155</v>
      </c>
      <c r="H24" s="429" t="s">
        <v>155</v>
      </c>
      <c r="I24" s="429" t="s">
        <v>155</v>
      </c>
      <c r="J24" s="426">
        <f>+J6+J14</f>
        <v>0</v>
      </c>
      <c r="K24" s="430" t="s">
        <v>155</v>
      </c>
    </row>
  </sheetData>
  <dataValidations count="1">
    <dataValidation type="list" allowBlank="1" showInputMessage="1" showErrorMessage="1" sqref="F8 F10 F12 F16 F18 F20 F22" xr:uid="{9508AF21-605C-4AC1-8A01-BB9CE480E9DF}">
      <formula1>"Mandatory,Optional,NA"</formula1>
    </dataValidation>
  </dataValidations>
  <pageMargins left="0.75" right="0.75" top="1" bottom="1" header="0" footer="0"/>
  <pageSetup paperSize="9" orientation="portrait" r:id="rId1"/>
  <headerFooter alignWithMargins="0">
    <oddHeader>&amp;C&amp;"Arial"&amp;8&amp;K000000INTERNAL&amp;1#</oddHeader>
  </headerFooter>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F99AF-E8BB-4FC5-AD74-320AFB1B2B1C}">
  <sheetPr>
    <tabColor rgb="FF00B050"/>
  </sheetPr>
  <dimension ref="B2:V263"/>
  <sheetViews>
    <sheetView topLeftCell="D216" zoomScale="60" zoomScaleNormal="60" workbookViewId="0">
      <selection activeCell="S221" sqref="S221:S249"/>
    </sheetView>
  </sheetViews>
  <sheetFormatPr defaultColWidth="9.28515625" defaultRowHeight="15" customHeight="1" x14ac:dyDescent="0.25"/>
  <cols>
    <col min="1" max="1" width="2.28515625" style="264" customWidth="1"/>
    <col min="2" max="2" width="10.42578125" style="259" customWidth="1"/>
    <col min="3" max="3" width="42.28515625" style="541" customWidth="1"/>
    <col min="4" max="4" width="35.28515625" style="542" customWidth="1"/>
    <col min="5" max="5" width="64.7109375" style="541" customWidth="1"/>
    <col min="6" max="6" width="11.7109375" style="542" bestFit="1" customWidth="1"/>
    <col min="7" max="7" width="21.28515625" style="259" bestFit="1" customWidth="1"/>
    <col min="8" max="8" width="11.42578125" style="1104" customWidth="1"/>
    <col min="9" max="17" width="9.28515625" style="1104" customWidth="1"/>
    <col min="18" max="18" width="20.42578125" style="264" bestFit="1" customWidth="1"/>
    <col min="19" max="19" width="18.42578125" style="1063" customWidth="1"/>
    <col min="20" max="20" width="39.7109375" style="284" customWidth="1"/>
    <col min="21" max="21" width="9.28515625" style="264"/>
    <col min="22" max="22" width="14.85546875" style="264" bestFit="1" customWidth="1"/>
    <col min="23" max="16384" width="9.28515625" style="264"/>
  </cols>
  <sheetData>
    <row r="2" spans="2:20" s="171" customFormat="1" ht="15" customHeight="1" x14ac:dyDescent="0.25">
      <c r="B2" s="124"/>
      <c r="C2" s="124"/>
      <c r="D2" s="702"/>
      <c r="E2" s="703" t="s">
        <v>335</v>
      </c>
      <c r="F2" s="703"/>
      <c r="G2" s="21"/>
      <c r="H2" s="1098"/>
      <c r="I2" s="1098"/>
      <c r="J2" s="1098"/>
      <c r="K2" s="1098"/>
      <c r="L2" s="1098"/>
      <c r="M2" s="1098"/>
      <c r="N2" s="1098"/>
      <c r="O2" s="1098"/>
      <c r="P2" s="1098"/>
      <c r="Q2" s="1098"/>
      <c r="R2" s="704"/>
      <c r="S2" s="1438"/>
      <c r="T2" s="704"/>
    </row>
    <row r="3" spans="2:20" s="259" customFormat="1" ht="15" customHeight="1" thickBot="1" x14ac:dyDescent="0.25">
      <c r="B3" s="705"/>
      <c r="C3" s="699"/>
      <c r="D3" s="700"/>
      <c r="E3" s="122"/>
      <c r="F3" s="944"/>
      <c r="G3" s="706"/>
      <c r="H3" s="1099"/>
      <c r="I3" s="1097"/>
      <c r="J3" s="1097"/>
      <c r="K3" s="1097"/>
      <c r="L3" s="1097"/>
      <c r="M3" s="1097"/>
      <c r="N3" s="1097"/>
      <c r="O3" s="1097"/>
      <c r="P3" s="1097"/>
      <c r="Q3" s="1097"/>
      <c r="R3" s="30"/>
      <c r="S3" s="17"/>
      <c r="T3" s="260"/>
    </row>
    <row r="4" spans="2:20" ht="23.25" customHeight="1" x14ac:dyDescent="0.25">
      <c r="B4" s="1540" t="s">
        <v>186</v>
      </c>
      <c r="C4" s="1540" t="s">
        <v>136</v>
      </c>
      <c r="D4" s="1540" t="s">
        <v>137</v>
      </c>
      <c r="E4" s="1540" t="s">
        <v>187</v>
      </c>
      <c r="F4" s="1546" t="s">
        <v>139</v>
      </c>
      <c r="G4" s="1524" t="s">
        <v>140</v>
      </c>
      <c r="H4" s="1524" t="s">
        <v>141</v>
      </c>
      <c r="I4" s="1528" t="s">
        <v>142</v>
      </c>
      <c r="J4" s="1528"/>
      <c r="K4" s="1528"/>
      <c r="L4" s="1528" t="s">
        <v>143</v>
      </c>
      <c r="M4" s="1528"/>
      <c r="N4" s="1528"/>
      <c r="O4" s="1528"/>
      <c r="P4" s="1528" t="s">
        <v>144</v>
      </c>
      <c r="Q4" s="1528"/>
      <c r="R4" s="1524" t="s">
        <v>145</v>
      </c>
      <c r="S4" s="1524" t="s">
        <v>146</v>
      </c>
      <c r="T4" s="1540" t="s">
        <v>147</v>
      </c>
    </row>
    <row r="5" spans="2:20" ht="23.25" customHeight="1" x14ac:dyDescent="0.25">
      <c r="B5" s="1541"/>
      <c r="C5" s="1541"/>
      <c r="D5" s="1541"/>
      <c r="E5" s="1541"/>
      <c r="F5" s="1547"/>
      <c r="G5" s="1525"/>
      <c r="H5" s="1525"/>
      <c r="I5" s="983" t="s">
        <v>148</v>
      </c>
      <c r="J5" s="983" t="s">
        <v>149</v>
      </c>
      <c r="K5" s="983" t="s">
        <v>150</v>
      </c>
      <c r="L5" s="983" t="s">
        <v>148</v>
      </c>
      <c r="M5" s="983" t="s">
        <v>149</v>
      </c>
      <c r="N5" s="983" t="s">
        <v>150</v>
      </c>
      <c r="O5" s="983" t="s">
        <v>151</v>
      </c>
      <c r="P5" s="983" t="s">
        <v>150</v>
      </c>
      <c r="Q5" s="983" t="s">
        <v>152</v>
      </c>
      <c r="R5" s="1525"/>
      <c r="S5" s="1525"/>
      <c r="T5" s="1541"/>
    </row>
    <row r="6" spans="2:20" ht="15" customHeight="1" x14ac:dyDescent="0.25">
      <c r="B6" s="1608" t="s">
        <v>768</v>
      </c>
      <c r="C6" s="1608"/>
      <c r="D6" s="1608"/>
      <c r="E6" s="1608"/>
      <c r="F6" s="1609" t="s">
        <v>154</v>
      </c>
      <c r="G6" s="1609"/>
      <c r="H6" s="1609"/>
      <c r="I6" s="1609"/>
      <c r="J6" s="1609"/>
      <c r="K6" s="1609"/>
      <c r="L6" s="1609"/>
      <c r="M6" s="1609"/>
      <c r="N6" s="1609"/>
      <c r="O6" s="1609"/>
      <c r="P6" s="1609"/>
      <c r="Q6" s="1609"/>
      <c r="R6" s="1609"/>
      <c r="S6" s="863">
        <f>SUMIFS(S12:S47,F12:F47,"Mandatory",E12:E47,"=*Supply")</f>
        <v>62001.367050825145</v>
      </c>
      <c r="T6" s="1221"/>
    </row>
    <row r="7" spans="2:20" s="275" customFormat="1" ht="15" customHeight="1" x14ac:dyDescent="0.25">
      <c r="B7" s="1608"/>
      <c r="C7" s="1608"/>
      <c r="D7" s="1608"/>
      <c r="E7" s="1608"/>
      <c r="F7" s="1609" t="s">
        <v>156</v>
      </c>
      <c r="G7" s="1609"/>
      <c r="H7" s="1609"/>
      <c r="I7" s="1609"/>
      <c r="J7" s="1609"/>
      <c r="K7" s="1609"/>
      <c r="L7" s="1609"/>
      <c r="M7" s="1609"/>
      <c r="N7" s="1609"/>
      <c r="O7" s="1609"/>
      <c r="P7" s="1609"/>
      <c r="Q7" s="1609"/>
      <c r="R7" s="1609"/>
      <c r="S7" s="863">
        <f>SUMIFS(S12:S47,F12:F47,"Optional",E12:E47,"=*Supply")</f>
        <v>0</v>
      </c>
      <c r="T7" s="1221"/>
    </row>
    <row r="8" spans="2:20" ht="15" customHeight="1" x14ac:dyDescent="0.25">
      <c r="B8" s="1608" t="s">
        <v>769</v>
      </c>
      <c r="C8" s="1608"/>
      <c r="D8" s="1608"/>
      <c r="E8" s="1608"/>
      <c r="F8" s="1609" t="s">
        <v>154</v>
      </c>
      <c r="G8" s="1609"/>
      <c r="H8" s="1609"/>
      <c r="I8" s="1609"/>
      <c r="J8" s="1609"/>
      <c r="K8" s="1609"/>
      <c r="L8" s="1609"/>
      <c r="M8" s="1609"/>
      <c r="N8" s="1609"/>
      <c r="O8" s="1609"/>
      <c r="P8" s="1609"/>
      <c r="Q8" s="1609"/>
      <c r="R8" s="1609"/>
      <c r="S8" s="863">
        <f>SUMIFS(S12:S47,F12:F47,"Mandatory",E12:E47,"=*Installation*")</f>
        <v>33552.026699096845</v>
      </c>
      <c r="T8" s="1221"/>
    </row>
    <row r="9" spans="2:20" s="275" customFormat="1" ht="15" customHeight="1" x14ac:dyDescent="0.25">
      <c r="B9" s="1608"/>
      <c r="C9" s="1608"/>
      <c r="D9" s="1608"/>
      <c r="E9" s="1608"/>
      <c r="F9" s="1609" t="s">
        <v>156</v>
      </c>
      <c r="G9" s="1609"/>
      <c r="H9" s="1609"/>
      <c r="I9" s="1609"/>
      <c r="J9" s="1609"/>
      <c r="K9" s="1609"/>
      <c r="L9" s="1609"/>
      <c r="M9" s="1609"/>
      <c r="N9" s="1609"/>
      <c r="O9" s="1609"/>
      <c r="P9" s="1609"/>
      <c r="Q9" s="1609"/>
      <c r="R9" s="1609"/>
      <c r="S9" s="863">
        <f>SUMIFS(S12:S47,F12:F47,"Optional",E12:E47,"=*Installation*")</f>
        <v>0</v>
      </c>
      <c r="T9" s="1221"/>
    </row>
    <row r="10" spans="2:20" ht="15" customHeight="1" x14ac:dyDescent="0.25">
      <c r="B10" s="1608" t="s">
        <v>770</v>
      </c>
      <c r="C10" s="1608"/>
      <c r="D10" s="1608"/>
      <c r="E10" s="1608"/>
      <c r="F10" s="1609" t="s">
        <v>154</v>
      </c>
      <c r="G10" s="1609"/>
      <c r="H10" s="1609"/>
      <c r="I10" s="1609"/>
      <c r="J10" s="1609"/>
      <c r="K10" s="1609"/>
      <c r="L10" s="1609"/>
      <c r="M10" s="1609"/>
      <c r="N10" s="1609"/>
      <c r="O10" s="1609"/>
      <c r="P10" s="1609"/>
      <c r="Q10" s="1609"/>
      <c r="R10" s="1609"/>
      <c r="S10" s="863">
        <f>SUMIFS(S12:S47,F12:F47,"Mandatory",E12:E47,"=*Test")</f>
        <v>0</v>
      </c>
      <c r="T10" s="1221"/>
    </row>
    <row r="11" spans="2:20" s="275" customFormat="1" ht="15" customHeight="1" x14ac:dyDescent="0.25">
      <c r="B11" s="1608"/>
      <c r="C11" s="1608"/>
      <c r="D11" s="1608"/>
      <c r="E11" s="1608"/>
      <c r="F11" s="1609" t="s">
        <v>156</v>
      </c>
      <c r="G11" s="1609"/>
      <c r="H11" s="1609"/>
      <c r="I11" s="1609"/>
      <c r="J11" s="1609"/>
      <c r="K11" s="1609"/>
      <c r="L11" s="1609"/>
      <c r="M11" s="1609"/>
      <c r="N11" s="1609"/>
      <c r="O11" s="1609"/>
      <c r="P11" s="1609"/>
      <c r="Q11" s="1609"/>
      <c r="R11" s="1609"/>
      <c r="S11" s="863">
        <f>SUMIFS(S12:S47,F12:F47,"Optional",E12:E47,"=*Test")</f>
        <v>0</v>
      </c>
      <c r="T11" s="1221"/>
    </row>
    <row r="12" spans="2:20" s="431" customFormat="1" ht="18" customHeight="1" x14ac:dyDescent="0.25">
      <c r="B12" s="945"/>
      <c r="C12" s="928"/>
      <c r="D12" s="946" t="s">
        <v>341</v>
      </c>
      <c r="E12" s="928" t="s">
        <v>342</v>
      </c>
      <c r="F12" s="947"/>
      <c r="G12" s="947"/>
      <c r="H12" s="1100"/>
      <c r="I12" s="1100"/>
      <c r="J12" s="1100"/>
      <c r="K12" s="1100"/>
      <c r="L12" s="1100"/>
      <c r="M12" s="1100"/>
      <c r="N12" s="1100"/>
      <c r="O12" s="1100"/>
      <c r="P12" s="1100"/>
      <c r="Q12" s="1100"/>
      <c r="R12" s="947"/>
      <c r="S12" s="1127"/>
      <c r="T12" s="948"/>
    </row>
    <row r="13" spans="2:20" s="431" customFormat="1" ht="110.45" customHeight="1" x14ac:dyDescent="0.25">
      <c r="B13" s="919"/>
      <c r="C13" s="98" t="str">
        <f>CONCATENATE('Reference documents'!B15,"
PPP.PVP.CBL CABLESPPP.
PVP.CBL.01 POWER MV (with all sub-section)
PPP.PSS.ENG.02.003.02 MV Cables
PPP.PVP.DIN.07.008 Grounding Method MV Cables")</f>
        <v>GRE.EEC.S.21.IT.P.18371.00.127.00 Technical Specification
PPP.PVP.CBL CABLESPPP.
PVP.CBL.01 POWER MV (with all sub-section)
PPP.PSS.ENG.02.003.02 MV Cables
PPP.PVP.DIN.07.008 Grounding Method MV Cables</v>
      </c>
      <c r="D13" s="900" t="s">
        <v>343</v>
      </c>
      <c r="E13" s="901" t="s">
        <v>344</v>
      </c>
      <c r="F13" s="902" t="s">
        <v>160</v>
      </c>
      <c r="G13" s="900" t="s">
        <v>345</v>
      </c>
      <c r="H13" s="1101">
        <v>0</v>
      </c>
      <c r="I13" s="1290"/>
      <c r="J13" s="1290"/>
      <c r="K13" s="1297">
        <f>I13*J13</f>
        <v>0</v>
      </c>
      <c r="L13" s="1290"/>
      <c r="M13" s="1290"/>
      <c r="N13" s="1297">
        <f>L13*M13</f>
        <v>0</v>
      </c>
      <c r="O13" s="1298"/>
      <c r="P13" s="1290"/>
      <c r="Q13" s="1298"/>
      <c r="R13" s="1291">
        <f>P13+N13+K13</f>
        <v>0</v>
      </c>
      <c r="S13" s="1292">
        <f>IF(F13="na","",H13*R13)</f>
        <v>0</v>
      </c>
      <c r="T13" s="935"/>
    </row>
    <row r="14" spans="2:20" s="431" customFormat="1" ht="102" x14ac:dyDescent="0.25">
      <c r="B14" s="919"/>
      <c r="C14" s="98" t="str">
        <f>CONCATENATE('Reference documents'!B15,":
PPP.PVP.DIN.05 TRENCHES AND WORKS ON CABLES
- CONSTRUCTION TECHNICAL SPECIFICATIONS
- VENDOR INSTALLATION PROCEDURE SPECIFICATIONS")</f>
        <v>GRE.EEC.S.21.IT.P.18371.00.127.00 Technical Specification:
PPP.PVP.DIN.05 TRENCHES AND WORKS ON CABLES
- CONSTRUCTION TECHNICAL SPECIFICATIONS
- VENDOR INSTALLATION PROCEDURE SPECIFICATIONS</v>
      </c>
      <c r="D14" s="900" t="s">
        <v>346</v>
      </c>
      <c r="E14" s="901" t="s">
        <v>347</v>
      </c>
      <c r="F14" s="902" t="s">
        <v>160</v>
      </c>
      <c r="G14" s="900" t="s">
        <v>345</v>
      </c>
      <c r="H14" s="1101">
        <v>0</v>
      </c>
      <c r="I14" s="1293"/>
      <c r="J14" s="1293"/>
      <c r="K14" s="1295">
        <f t="shared" ref="K14:K30" si="0">I14*J14</f>
        <v>0</v>
      </c>
      <c r="L14" s="1293"/>
      <c r="M14" s="1293"/>
      <c r="N14" s="1295">
        <f t="shared" ref="N14:N30" si="1">L14*M14</f>
        <v>0</v>
      </c>
      <c r="O14" s="1296"/>
      <c r="P14" s="1293"/>
      <c r="Q14" s="1296"/>
      <c r="R14" s="1294">
        <f t="shared" ref="R14:R34" si="2">P14+N14+K14</f>
        <v>0</v>
      </c>
      <c r="S14" s="1124">
        <f>IF(F14="na","",H14*R14)</f>
        <v>0</v>
      </c>
      <c r="T14" s="935"/>
    </row>
    <row r="15" spans="2:20" s="431" customFormat="1" ht="102" x14ac:dyDescent="0.25">
      <c r="B15" s="919"/>
      <c r="C15" s="98" t="str">
        <f>CONCATENATE('Reference documents'!B15,":
PPP.PVP.CBL CABLES
PPP.PVP.CBL.01 POWER MV (with all sub-section)
PPP.PSS.ENG.02.003.02 MV Cables
PPP.PVP.DIN.07.008 Grounding Method MV Cables")</f>
        <v>GRE.EEC.S.21.IT.P.18371.00.127.00 Technical Specification:
PPP.PVP.CBL CABLES
PPP.PVP.CBL.01 POWER MV (with all sub-section)
PPP.PSS.ENG.02.003.02 MV Cables
PPP.PVP.DIN.07.008 Grounding Method MV Cables</v>
      </c>
      <c r="D15" s="900" t="s">
        <v>348</v>
      </c>
      <c r="E15" s="901" t="s">
        <v>349</v>
      </c>
      <c r="F15" s="902" t="s">
        <v>160</v>
      </c>
      <c r="G15" s="900" t="s">
        <v>345</v>
      </c>
      <c r="H15" s="1101">
        <v>0</v>
      </c>
      <c r="I15" s="1290"/>
      <c r="J15" s="1290"/>
      <c r="K15" s="1297">
        <f t="shared" si="0"/>
        <v>0</v>
      </c>
      <c r="L15" s="1290"/>
      <c r="M15" s="1290"/>
      <c r="N15" s="1297">
        <f t="shared" si="1"/>
        <v>0</v>
      </c>
      <c r="O15" s="1298"/>
      <c r="P15" s="1290"/>
      <c r="Q15" s="1298"/>
      <c r="R15" s="1291">
        <f t="shared" si="2"/>
        <v>0</v>
      </c>
      <c r="S15" s="1292">
        <f t="shared" ref="S15:S30" si="3">IF(F15="na","",H15*R15)</f>
        <v>0</v>
      </c>
      <c r="T15" s="935"/>
    </row>
    <row r="16" spans="2:20" s="431" customFormat="1" ht="102" x14ac:dyDescent="0.25">
      <c r="B16" s="919"/>
      <c r="C16" s="98" t="str">
        <f>CONCATENATE('Reference documents'!B15,":
PPP.PVP.DIN.05 TRENCHES AND WORKS ON CABLES
- CONSTRUCTION TECHNICAL SPECIFICATIONS
- VENDOR INSTALLATION PROCEDURE SPECIFICATIONS")</f>
        <v>GRE.EEC.S.21.IT.P.18371.00.127.00 Technical Specification:
PPP.PVP.DIN.05 TRENCHES AND WORKS ON CABLES
- CONSTRUCTION TECHNICAL SPECIFICATIONS
- VENDOR INSTALLATION PROCEDURE SPECIFICATIONS</v>
      </c>
      <c r="D16" s="900" t="s">
        <v>350</v>
      </c>
      <c r="E16" s="901" t="s">
        <v>351</v>
      </c>
      <c r="F16" s="902" t="s">
        <v>160</v>
      </c>
      <c r="G16" s="900" t="s">
        <v>345</v>
      </c>
      <c r="H16" s="1101">
        <v>0</v>
      </c>
      <c r="I16" s="1290"/>
      <c r="J16" s="1290"/>
      <c r="K16" s="1297">
        <f t="shared" si="0"/>
        <v>0</v>
      </c>
      <c r="L16" s="1290"/>
      <c r="M16" s="1290"/>
      <c r="N16" s="1297">
        <f t="shared" si="1"/>
        <v>0</v>
      </c>
      <c r="O16" s="1298"/>
      <c r="P16" s="1290"/>
      <c r="Q16" s="1298"/>
      <c r="R16" s="1291">
        <f t="shared" si="2"/>
        <v>0</v>
      </c>
      <c r="S16" s="1292">
        <f t="shared" si="3"/>
        <v>0</v>
      </c>
      <c r="T16" s="935"/>
    </row>
    <row r="17" spans="2:20" s="431" customFormat="1" ht="102" x14ac:dyDescent="0.25">
      <c r="B17" s="919"/>
      <c r="C17" s="98" t="str">
        <f>CONCATENATE('Reference documents'!B15,":
PPP.PVP.CBL CABLES
PPP.PVP.CBL.01 POWER MV (with all sub-section)
PPP.PSS.ENG.02.003.02 MV Cables
PPP.PVP.DIN.07.008 Grounding Method MV Cables2)")</f>
        <v>GRE.EEC.S.21.IT.P.18371.00.127.00 Technical Specification:
PPP.PVP.CBL CABLES
PPP.PVP.CBL.01 POWER MV (with all sub-section)
PPP.PSS.ENG.02.003.02 MV Cables
PPP.PVP.DIN.07.008 Grounding Method MV Cables2)</v>
      </c>
      <c r="D17" s="900" t="s">
        <v>352</v>
      </c>
      <c r="E17" s="901" t="s">
        <v>353</v>
      </c>
      <c r="F17" s="902" t="s">
        <v>160</v>
      </c>
      <c r="G17" s="900" t="s">
        <v>345</v>
      </c>
      <c r="H17" s="1101">
        <v>0</v>
      </c>
      <c r="I17" s="1290"/>
      <c r="J17" s="1290"/>
      <c r="K17" s="1297">
        <f t="shared" si="0"/>
        <v>0</v>
      </c>
      <c r="L17" s="1290"/>
      <c r="M17" s="1290"/>
      <c r="N17" s="1297">
        <f t="shared" si="1"/>
        <v>0</v>
      </c>
      <c r="O17" s="1298"/>
      <c r="P17" s="1290"/>
      <c r="Q17" s="1298"/>
      <c r="R17" s="1291">
        <f t="shared" si="2"/>
        <v>0</v>
      </c>
      <c r="S17" s="1292">
        <f t="shared" si="3"/>
        <v>0</v>
      </c>
      <c r="T17" s="935"/>
    </row>
    <row r="18" spans="2:20" s="431" customFormat="1" ht="102" x14ac:dyDescent="0.25">
      <c r="B18" s="919"/>
      <c r="C18" s="98" t="str">
        <f>CONCATENATE('Reference documents'!B15," :
PPP.PVP.DIN.05 TRENCHES AND WORKS ON CABLES
- CONSTRUCTION TECHNICAL SPECIFICATIONS
- VENDOR INSTALLATION PROCEDURE SPECIFICATIONS")</f>
        <v>GRE.EEC.S.21.IT.P.18371.00.127.00 Technical Specification :
PPP.PVP.DIN.05 TRENCHES AND WORKS ON CABLES
- CONSTRUCTION TECHNICAL SPECIFICATIONS
- VENDOR INSTALLATION PROCEDURE SPECIFICATIONS</v>
      </c>
      <c r="D18" s="900" t="s">
        <v>354</v>
      </c>
      <c r="E18" s="901" t="s">
        <v>355</v>
      </c>
      <c r="F18" s="902" t="s">
        <v>160</v>
      </c>
      <c r="G18" s="900" t="s">
        <v>345</v>
      </c>
      <c r="H18" s="1101">
        <v>0</v>
      </c>
      <c r="I18" s="1290"/>
      <c r="J18" s="1290"/>
      <c r="K18" s="1297">
        <f t="shared" si="0"/>
        <v>0</v>
      </c>
      <c r="L18" s="1290"/>
      <c r="M18" s="1290"/>
      <c r="N18" s="1297">
        <f t="shared" si="1"/>
        <v>0</v>
      </c>
      <c r="O18" s="1298"/>
      <c r="P18" s="1290"/>
      <c r="Q18" s="1298"/>
      <c r="R18" s="1291">
        <f t="shared" si="2"/>
        <v>0</v>
      </c>
      <c r="S18" s="1292">
        <f t="shared" si="3"/>
        <v>0</v>
      </c>
      <c r="T18" s="935"/>
    </row>
    <row r="19" spans="2:20" s="431" customFormat="1" ht="102" x14ac:dyDescent="0.25">
      <c r="B19" s="919"/>
      <c r="C19" s="98" t="str">
        <f>CONCATENATE('Reference documents'!B15," :
PPP.PVP.CBL CABLES
PPP.PVP.CBL.01 POWER MV (with all sub-section)
PPP.PSS.ENG.02.003.02 MV Cables
PPP.PVP.DIN.07.008 Grounding Method MV Cables")</f>
        <v>GRE.EEC.S.21.IT.P.18371.00.127.00 Technical Specification :
PPP.PVP.CBL CABLES
PPP.PVP.CBL.01 POWER MV (with all sub-section)
PPP.PSS.ENG.02.003.02 MV Cables
PPP.PVP.DIN.07.008 Grounding Method MV Cables</v>
      </c>
      <c r="D19" s="900" t="s">
        <v>356</v>
      </c>
      <c r="E19" s="901" t="s">
        <v>357</v>
      </c>
      <c r="F19" s="902" t="s">
        <v>160</v>
      </c>
      <c r="G19" s="900" t="s">
        <v>345</v>
      </c>
      <c r="H19" s="1101">
        <v>0</v>
      </c>
      <c r="I19" s="1290"/>
      <c r="J19" s="1290"/>
      <c r="K19" s="1297">
        <f t="shared" si="0"/>
        <v>0</v>
      </c>
      <c r="L19" s="1290"/>
      <c r="M19" s="1290"/>
      <c r="N19" s="1297">
        <f t="shared" si="1"/>
        <v>0</v>
      </c>
      <c r="O19" s="1298"/>
      <c r="P19" s="1290"/>
      <c r="Q19" s="1298"/>
      <c r="R19" s="1291">
        <f t="shared" si="2"/>
        <v>0</v>
      </c>
      <c r="S19" s="1292">
        <f t="shared" si="3"/>
        <v>0</v>
      </c>
      <c r="T19" s="935"/>
    </row>
    <row r="20" spans="2:20" s="431" customFormat="1" ht="102" x14ac:dyDescent="0.25">
      <c r="B20" s="919"/>
      <c r="C20" s="98" t="str">
        <f>CONCATENATE('Reference documents'!B15," :
PPP.PVP.DIN.05 TRENCHES AND WORKS ON CABLES
- CONSTRUCTION TECHNICAL SPECIFICATIONS
- VENDOR INSTALLATION PROCEDURE SPECIFICATIONS")</f>
        <v>GRE.EEC.S.21.IT.P.18371.00.127.00 Technical Specification :
PPP.PVP.DIN.05 TRENCHES AND WORKS ON CABLES
- CONSTRUCTION TECHNICAL SPECIFICATIONS
- VENDOR INSTALLATION PROCEDURE SPECIFICATIONS</v>
      </c>
      <c r="D20" s="900" t="s">
        <v>358</v>
      </c>
      <c r="E20" s="901" t="s">
        <v>359</v>
      </c>
      <c r="F20" s="902" t="s">
        <v>160</v>
      </c>
      <c r="G20" s="900" t="s">
        <v>345</v>
      </c>
      <c r="H20" s="1101">
        <v>0</v>
      </c>
      <c r="I20" s="1290"/>
      <c r="J20" s="1290"/>
      <c r="K20" s="1297">
        <f t="shared" si="0"/>
        <v>0</v>
      </c>
      <c r="L20" s="1290"/>
      <c r="M20" s="1290"/>
      <c r="N20" s="1297">
        <f t="shared" si="1"/>
        <v>0</v>
      </c>
      <c r="O20" s="1298"/>
      <c r="P20" s="1290"/>
      <c r="Q20" s="1298"/>
      <c r="R20" s="1291">
        <f t="shared" si="2"/>
        <v>0</v>
      </c>
      <c r="S20" s="1292">
        <f t="shared" si="3"/>
        <v>0</v>
      </c>
      <c r="T20" s="935"/>
    </row>
    <row r="21" spans="2:20" s="431" customFormat="1" ht="102" x14ac:dyDescent="0.25">
      <c r="B21" s="919"/>
      <c r="C21" s="98" t="str">
        <f>CONCATENATE('Reference documents'!B15," :
PPP.PVP.CBL CABLES
PPP.PVP.CBL.01 POWER MV (with all sub-section)
PPP.PSS.ENG.02.003.02 MV Cables
PPP.PVP.DIN.07.008 Grounding Method MV Cables")</f>
        <v>GRE.EEC.S.21.IT.P.18371.00.127.00 Technical Specification :
PPP.PVP.CBL CABLES
PPP.PVP.CBL.01 POWER MV (with all sub-section)
PPP.PSS.ENG.02.003.02 MV Cables
PPP.PVP.DIN.07.008 Grounding Method MV Cables</v>
      </c>
      <c r="D21" s="900" t="s">
        <v>360</v>
      </c>
      <c r="E21" s="901" t="s">
        <v>361</v>
      </c>
      <c r="F21" s="902" t="s">
        <v>160</v>
      </c>
      <c r="G21" s="900" t="s">
        <v>345</v>
      </c>
      <c r="H21" s="1419">
        <v>2600</v>
      </c>
      <c r="I21" s="1290"/>
      <c r="J21" s="1290"/>
      <c r="K21" s="1297">
        <f t="shared" si="0"/>
        <v>0</v>
      </c>
      <c r="L21" s="1290"/>
      <c r="M21" s="1290"/>
      <c r="N21" s="1297">
        <f t="shared" si="1"/>
        <v>0</v>
      </c>
      <c r="O21" s="1298"/>
      <c r="P21" s="1290">
        <v>19.620685775577577</v>
      </c>
      <c r="Q21" s="1298"/>
      <c r="R21" s="1291">
        <f t="shared" si="2"/>
        <v>19.620685775577577</v>
      </c>
      <c r="S21" s="1292">
        <f t="shared" si="3"/>
        <v>51013.7830165017</v>
      </c>
      <c r="T21" s="935"/>
    </row>
    <row r="22" spans="2:20" s="431" customFormat="1" ht="102" x14ac:dyDescent="0.25">
      <c r="B22" s="919"/>
      <c r="C22" s="98" t="str">
        <f>CONCATENATE('Reference documents'!B15," :
PPP.PVP.DIN.05 TRENCHES AND WORKS ON CABLES
- CONSTRUCTION TECHNICAL SPECIFICATIONS
- VENDOR INSTALLATION PROCEDURE SPECIFICATIONS")</f>
        <v>GRE.EEC.S.21.IT.P.18371.00.127.00 Technical Specification :
PPP.PVP.DIN.05 TRENCHES AND WORKS ON CABLES
- CONSTRUCTION TECHNICAL SPECIFICATIONS
- VENDOR INSTALLATION PROCEDURE SPECIFICATIONS</v>
      </c>
      <c r="D22" s="900" t="s">
        <v>362</v>
      </c>
      <c r="E22" s="901" t="s">
        <v>363</v>
      </c>
      <c r="F22" s="902" t="s">
        <v>160</v>
      </c>
      <c r="G22" s="900" t="s">
        <v>345</v>
      </c>
      <c r="H22" s="1419">
        <v>2600</v>
      </c>
      <c r="I22" s="1290">
        <v>0.16985628627612778</v>
      </c>
      <c r="J22" s="1290">
        <v>40</v>
      </c>
      <c r="K22" s="1297">
        <f t="shared" si="0"/>
        <v>6.7942514510451115</v>
      </c>
      <c r="L22" s="1290">
        <v>1</v>
      </c>
      <c r="M22" s="1290">
        <v>0.4</v>
      </c>
      <c r="N22" s="1297">
        <f t="shared" si="1"/>
        <v>0.4</v>
      </c>
      <c r="O22" s="1298"/>
      <c r="P22" s="1290"/>
      <c r="Q22" s="1298"/>
      <c r="R22" s="1291">
        <f t="shared" si="2"/>
        <v>7.1942514510451119</v>
      </c>
      <c r="S22" s="1292">
        <f t="shared" si="3"/>
        <v>18705.053772717292</v>
      </c>
      <c r="T22" s="935"/>
    </row>
    <row r="23" spans="2:20" s="431" customFormat="1" ht="102" x14ac:dyDescent="0.25">
      <c r="B23" s="919"/>
      <c r="C23" s="98" t="str">
        <f>CONCATENATE('Reference documents'!B15," :
PPP.PVP.CBL CABLES
PPP.PVP.CBL.01 POWER MV (with all sub-section)
PPP.PSS.ENG.02.003.02 MV Cables
PPP.PVP.DIN.07.008 Grounding Method MV Cables")</f>
        <v>GRE.EEC.S.21.IT.P.18371.00.127.00 Technical Specification :
PPP.PVP.CBL CABLES
PPP.PVP.CBL.01 POWER MV (with all sub-section)
PPP.PSS.ENG.02.003.02 MV Cables
PPP.PVP.DIN.07.008 Grounding Method MV Cables</v>
      </c>
      <c r="D23" s="900" t="s">
        <v>364</v>
      </c>
      <c r="E23" s="901" t="s">
        <v>365</v>
      </c>
      <c r="F23" s="902" t="s">
        <v>160</v>
      </c>
      <c r="G23" s="900" t="s">
        <v>345</v>
      </c>
      <c r="H23" s="1101">
        <v>0</v>
      </c>
      <c r="I23" s="1290"/>
      <c r="J23" s="1290"/>
      <c r="K23" s="1297">
        <f t="shared" si="0"/>
        <v>0</v>
      </c>
      <c r="L23" s="1290"/>
      <c r="M23" s="1290"/>
      <c r="N23" s="1297">
        <f t="shared" si="1"/>
        <v>0</v>
      </c>
      <c r="O23" s="1298"/>
      <c r="P23" s="1290"/>
      <c r="Q23" s="1298"/>
      <c r="R23" s="1291">
        <f t="shared" si="2"/>
        <v>0</v>
      </c>
      <c r="S23" s="1292">
        <f t="shared" si="3"/>
        <v>0</v>
      </c>
      <c r="T23" s="935"/>
    </row>
    <row r="24" spans="2:20" s="431" customFormat="1" ht="102" x14ac:dyDescent="0.25">
      <c r="B24" s="919"/>
      <c r="C24" s="98" t="str">
        <f>CONCATENATE('Reference documents'!B15," :
PPP.PVP.DIN.05 TRENCHES AND WORKS ON CABLES
- CONSTRUCTION TECHNICAL SPECIFICATIONS
- VENDOR INSTALLATION PROCEDURE SPECIFICATIONS")</f>
        <v>GRE.EEC.S.21.IT.P.18371.00.127.00 Technical Specification :
PPP.PVP.DIN.05 TRENCHES AND WORKS ON CABLES
- CONSTRUCTION TECHNICAL SPECIFICATIONS
- VENDOR INSTALLATION PROCEDURE SPECIFICATIONS</v>
      </c>
      <c r="D24" s="900" t="s">
        <v>366</v>
      </c>
      <c r="E24" s="901" t="s">
        <v>367</v>
      </c>
      <c r="F24" s="902" t="s">
        <v>160</v>
      </c>
      <c r="G24" s="900" t="s">
        <v>345</v>
      </c>
      <c r="H24" s="1101">
        <v>0</v>
      </c>
      <c r="I24" s="1290"/>
      <c r="J24" s="1290"/>
      <c r="K24" s="1297">
        <f t="shared" si="0"/>
        <v>0</v>
      </c>
      <c r="L24" s="1290"/>
      <c r="M24" s="1290"/>
      <c r="N24" s="1297">
        <f t="shared" si="1"/>
        <v>0</v>
      </c>
      <c r="O24" s="1298"/>
      <c r="P24" s="1290"/>
      <c r="Q24" s="1298"/>
      <c r="R24" s="1291">
        <f t="shared" si="2"/>
        <v>0</v>
      </c>
      <c r="S24" s="1292">
        <f t="shared" si="3"/>
        <v>0</v>
      </c>
      <c r="T24" s="935"/>
    </row>
    <row r="25" spans="2:20" s="431" customFormat="1" ht="102" x14ac:dyDescent="0.25">
      <c r="B25" s="919"/>
      <c r="C25" s="98" t="str">
        <f>CONCATENATE('Reference documents'!B15," :
PPP.PVP.CBL CABLES
PPP.PVP.CBL.01 POWER MV (with all sub-section)
PPP.PSS.ENG.02.003.02 MV Cables
PPP.PVP.DIN.07.008 Grounding Method MV Cables")</f>
        <v>GRE.EEC.S.21.IT.P.18371.00.127.00 Technical Specification :
PPP.PVP.CBL CABLES
PPP.PVP.CBL.01 POWER MV (with all sub-section)
PPP.PSS.ENG.02.003.02 MV Cables
PPP.PVP.DIN.07.008 Grounding Method MV Cables</v>
      </c>
      <c r="D25" s="900" t="s">
        <v>368</v>
      </c>
      <c r="E25" s="901" t="s">
        <v>369</v>
      </c>
      <c r="F25" s="902" t="s">
        <v>160</v>
      </c>
      <c r="G25" s="900" t="s">
        <v>345</v>
      </c>
      <c r="H25" s="1101">
        <v>0</v>
      </c>
      <c r="I25" s="1290"/>
      <c r="J25" s="1290"/>
      <c r="K25" s="1297">
        <f t="shared" si="0"/>
        <v>0</v>
      </c>
      <c r="L25" s="1290"/>
      <c r="M25" s="1290"/>
      <c r="N25" s="1297">
        <f t="shared" si="1"/>
        <v>0</v>
      </c>
      <c r="O25" s="1298"/>
      <c r="P25" s="1290"/>
      <c r="Q25" s="1298"/>
      <c r="R25" s="1291">
        <f t="shared" si="2"/>
        <v>0</v>
      </c>
      <c r="S25" s="1292">
        <f t="shared" si="3"/>
        <v>0</v>
      </c>
      <c r="T25" s="935"/>
    </row>
    <row r="26" spans="2:20" s="431" customFormat="1" ht="102" x14ac:dyDescent="0.25">
      <c r="B26" s="919"/>
      <c r="C26" s="98" t="str">
        <f>CONCATENATE('Reference documents'!B15," :
PPP.PVP.DIN.05 TRENCHES AND WORKS ON CABLES
- CONSTRUCTION TECHNICAL SPECIFICATIONS
- VENDOR INSTALLATION PROCEDURE SPECIFICATIONS")</f>
        <v>GRE.EEC.S.21.IT.P.18371.00.127.00 Technical Specification :
PPP.PVP.DIN.05 TRENCHES AND WORKS ON CABLES
- CONSTRUCTION TECHNICAL SPECIFICATIONS
- VENDOR INSTALLATION PROCEDURE SPECIFICATIONS</v>
      </c>
      <c r="D26" s="900" t="s">
        <v>370</v>
      </c>
      <c r="E26" s="901" t="s">
        <v>371</v>
      </c>
      <c r="F26" s="902" t="s">
        <v>160</v>
      </c>
      <c r="G26" s="900" t="s">
        <v>345</v>
      </c>
      <c r="H26" s="1101">
        <v>0</v>
      </c>
      <c r="I26" s="1290"/>
      <c r="J26" s="1290"/>
      <c r="K26" s="1297">
        <f t="shared" si="0"/>
        <v>0</v>
      </c>
      <c r="L26" s="1290"/>
      <c r="M26" s="1290"/>
      <c r="N26" s="1297">
        <f t="shared" si="1"/>
        <v>0</v>
      </c>
      <c r="O26" s="1298"/>
      <c r="P26" s="1290"/>
      <c r="Q26" s="1298"/>
      <c r="R26" s="1291">
        <f t="shared" si="2"/>
        <v>0</v>
      </c>
      <c r="S26" s="1292">
        <f t="shared" si="3"/>
        <v>0</v>
      </c>
      <c r="T26" s="935"/>
    </row>
    <row r="27" spans="2:20" s="431" customFormat="1" ht="102" x14ac:dyDescent="0.25">
      <c r="B27" s="919"/>
      <c r="C27" s="98" t="str">
        <f>CONCATENATE('Reference documents'!B15," :
PPP.PVP.CBL CABLES
PPP.PVP.CBL.01 POWER MV (with all sub-section)
PPP.PSS.ENG.02.003.02 MV Cables
PPP.PVP.DIN.07.008 Grounding Method MV Cables")</f>
        <v>GRE.EEC.S.21.IT.P.18371.00.127.00 Technical Specification :
PPP.PVP.CBL CABLES
PPP.PVP.CBL.01 POWER MV (with all sub-section)
PPP.PSS.ENG.02.003.02 MV Cables
PPP.PVP.DIN.07.008 Grounding Method MV Cables</v>
      </c>
      <c r="D27" s="900" t="s">
        <v>372</v>
      </c>
      <c r="E27" s="901" t="s">
        <v>373</v>
      </c>
      <c r="F27" s="902" t="s">
        <v>160</v>
      </c>
      <c r="G27" s="900" t="s">
        <v>345</v>
      </c>
      <c r="H27" s="1101">
        <v>0</v>
      </c>
      <c r="I27" s="1290"/>
      <c r="J27" s="1290"/>
      <c r="K27" s="1297">
        <f t="shared" si="0"/>
        <v>0</v>
      </c>
      <c r="L27" s="1290"/>
      <c r="M27" s="1290"/>
      <c r="N27" s="1297">
        <f t="shared" si="1"/>
        <v>0</v>
      </c>
      <c r="O27" s="1298"/>
      <c r="P27" s="1290"/>
      <c r="Q27" s="1298"/>
      <c r="R27" s="1291">
        <f t="shared" si="2"/>
        <v>0</v>
      </c>
      <c r="S27" s="1292">
        <f t="shared" si="3"/>
        <v>0</v>
      </c>
      <c r="T27" s="935"/>
    </row>
    <row r="28" spans="2:20" s="431" customFormat="1" ht="102" x14ac:dyDescent="0.25">
      <c r="B28" s="919"/>
      <c r="C28" s="98" t="str">
        <f>CONCATENATE('Reference documents'!B15," :
PPP.PVP.DIN.05 TRENCHES AND WORKS ON CABLES
- CONSTRUCTION TECHNICAL SPECIFICATIONS
- VENDOR INSTALLATION PROCEDURE SPECIFICATIONS")</f>
        <v>GRE.EEC.S.21.IT.P.18371.00.127.00 Technical Specification :
PPP.PVP.DIN.05 TRENCHES AND WORKS ON CABLES
- CONSTRUCTION TECHNICAL SPECIFICATIONS
- VENDOR INSTALLATION PROCEDURE SPECIFICATIONS</v>
      </c>
      <c r="D28" s="900" t="s">
        <v>374</v>
      </c>
      <c r="E28" s="901" t="s">
        <v>375</v>
      </c>
      <c r="F28" s="902" t="s">
        <v>160</v>
      </c>
      <c r="G28" s="900" t="s">
        <v>345</v>
      </c>
      <c r="H28" s="1101">
        <v>0</v>
      </c>
      <c r="I28" s="1290"/>
      <c r="J28" s="1290"/>
      <c r="K28" s="1297">
        <f t="shared" si="0"/>
        <v>0</v>
      </c>
      <c r="L28" s="1290"/>
      <c r="M28" s="1290"/>
      <c r="N28" s="1297">
        <f t="shared" si="1"/>
        <v>0</v>
      </c>
      <c r="O28" s="1298"/>
      <c r="P28" s="1290"/>
      <c r="Q28" s="1298"/>
      <c r="R28" s="1291">
        <f t="shared" si="2"/>
        <v>0</v>
      </c>
      <c r="S28" s="1292">
        <f t="shared" si="3"/>
        <v>0</v>
      </c>
      <c r="T28" s="935"/>
    </row>
    <row r="29" spans="2:20" s="431" customFormat="1" ht="102" x14ac:dyDescent="0.25">
      <c r="B29" s="919"/>
      <c r="C29" s="98" t="str">
        <f>CONCATENATE('Reference documents'!B15," :
PPP.PVP.CBL CABLES
PPP.PVP.CBL.01 POWER MV (with all sub-section)
PPP.PSS.ENG.02.003.02 MV Cables
PPP.PVP.DIN.07.008 Grounding Method MV Cables")</f>
        <v>GRE.EEC.S.21.IT.P.18371.00.127.00 Technical Specification :
PPP.PVP.CBL CABLES
PPP.PVP.CBL.01 POWER MV (with all sub-section)
PPP.PSS.ENG.02.003.02 MV Cables
PPP.PVP.DIN.07.008 Grounding Method MV Cables</v>
      </c>
      <c r="D29" s="900" t="s">
        <v>376</v>
      </c>
      <c r="E29" s="901" t="s">
        <v>377</v>
      </c>
      <c r="F29" s="902" t="s">
        <v>160</v>
      </c>
      <c r="G29" s="900" t="s">
        <v>345</v>
      </c>
      <c r="H29" s="1101">
        <v>0</v>
      </c>
      <c r="I29" s="1290"/>
      <c r="J29" s="1290"/>
      <c r="K29" s="1297">
        <f t="shared" si="0"/>
        <v>0</v>
      </c>
      <c r="L29" s="1290"/>
      <c r="M29" s="1290"/>
      <c r="N29" s="1297">
        <f t="shared" si="1"/>
        <v>0</v>
      </c>
      <c r="O29" s="1298"/>
      <c r="P29" s="1290"/>
      <c r="Q29" s="1298"/>
      <c r="R29" s="1291">
        <f t="shared" si="2"/>
        <v>0</v>
      </c>
      <c r="S29" s="1292">
        <f t="shared" si="3"/>
        <v>0</v>
      </c>
      <c r="T29" s="935"/>
    </row>
    <row r="30" spans="2:20" s="431" customFormat="1" ht="102" x14ac:dyDescent="0.25">
      <c r="B30" s="919"/>
      <c r="C30" s="98" t="str">
        <f>CONCATENATE('Reference documents'!B15," :
PPP.PVP.DIN.05 TRENCHES AND WORKS ON CABLES
- CONSTRUCTION TECHNICAL SPECIFICATIONS
- VENDOR INSTALLATION PROCEDURE SPECIFICATIONS")</f>
        <v>GRE.EEC.S.21.IT.P.18371.00.127.00 Technical Specification :
PPP.PVP.DIN.05 TRENCHES AND WORKS ON CABLES
- CONSTRUCTION TECHNICAL SPECIFICATIONS
- VENDOR INSTALLATION PROCEDURE SPECIFICATIONS</v>
      </c>
      <c r="D30" s="900" t="s">
        <v>378</v>
      </c>
      <c r="E30" s="901" t="s">
        <v>379</v>
      </c>
      <c r="F30" s="902" t="s">
        <v>160</v>
      </c>
      <c r="G30" s="900" t="s">
        <v>345</v>
      </c>
      <c r="H30" s="1101">
        <v>0</v>
      </c>
      <c r="I30" s="1290"/>
      <c r="J30" s="1290"/>
      <c r="K30" s="1297">
        <f t="shared" si="0"/>
        <v>0</v>
      </c>
      <c r="L30" s="1290"/>
      <c r="M30" s="1290"/>
      <c r="N30" s="1297">
        <f t="shared" si="1"/>
        <v>0</v>
      </c>
      <c r="O30" s="1298"/>
      <c r="P30" s="1290"/>
      <c r="Q30" s="1298"/>
      <c r="R30" s="1291">
        <f t="shared" si="2"/>
        <v>0</v>
      </c>
      <c r="S30" s="1292">
        <f t="shared" si="3"/>
        <v>0</v>
      </c>
      <c r="T30" s="935"/>
    </row>
    <row r="31" spans="2:20" s="431" customFormat="1" ht="18" customHeight="1" x14ac:dyDescent="0.25">
      <c r="B31" s="945"/>
      <c r="C31" s="928"/>
      <c r="D31" s="946" t="s">
        <v>380</v>
      </c>
      <c r="E31" s="928" t="s">
        <v>381</v>
      </c>
      <c r="F31" s="947"/>
      <c r="G31" s="947"/>
      <c r="H31" s="1100"/>
      <c r="I31" s="1100"/>
      <c r="J31" s="1100"/>
      <c r="K31" s="1100"/>
      <c r="L31" s="1100"/>
      <c r="M31" s="1100"/>
      <c r="N31" s="1100"/>
      <c r="O31" s="1100"/>
      <c r="P31" s="1100"/>
      <c r="Q31" s="1100"/>
      <c r="R31" s="947"/>
      <c r="S31" s="1127"/>
      <c r="T31" s="948"/>
    </row>
    <row r="32" spans="2:20" s="431" customFormat="1" ht="63.75" x14ac:dyDescent="0.25">
      <c r="B32" s="919"/>
      <c r="C32" s="98" t="str">
        <f>CONCATENATE('Reference documents'!B15," 
PPP.PVP.CBL.01.002.01 Terminal
PPP.PVP.DIN.07.008 Grounding Method MV Cables")</f>
        <v>GRE.EEC.S.21.IT.P.18371.00.127.00 Technical Specification 
PPP.PVP.CBL.01.002.01 Terminal
PPP.PVP.DIN.07.008 Grounding Method MV Cables</v>
      </c>
      <c r="D32" s="900" t="s">
        <v>382</v>
      </c>
      <c r="E32" s="901" t="s">
        <v>383</v>
      </c>
      <c r="F32" s="902" t="s">
        <v>160</v>
      </c>
      <c r="G32" s="900" t="s">
        <v>141</v>
      </c>
      <c r="H32" s="1101">
        <v>21</v>
      </c>
      <c r="I32" s="1290"/>
      <c r="J32" s="1290"/>
      <c r="K32" s="1297">
        <f>I32*J32</f>
        <v>0</v>
      </c>
      <c r="L32" s="1290"/>
      <c r="M32" s="1290"/>
      <c r="N32" s="1297">
        <f>L32*M32</f>
        <v>0</v>
      </c>
      <c r="O32" s="1298"/>
      <c r="P32" s="1290">
        <v>523.21828734873543</v>
      </c>
      <c r="Q32" s="1298"/>
      <c r="R32" s="1291">
        <f t="shared" si="2"/>
        <v>523.21828734873543</v>
      </c>
      <c r="S32" s="1292">
        <f>IF(F32="na","",H32*R32)</f>
        <v>10987.584034323445</v>
      </c>
      <c r="T32" s="935"/>
    </row>
    <row r="33" spans="2:20" s="431" customFormat="1" ht="63.75" x14ac:dyDescent="0.25">
      <c r="B33" s="919"/>
      <c r="C33" s="98" t="str">
        <f>CONCATENATE('Reference documents'!B15," 
PPP.PVP.CBL.01.002.01 Terminal
PPP.PVP.DIN.07.008 Grounding Method MV Cables")</f>
        <v>GRE.EEC.S.21.IT.P.18371.00.127.00 Technical Specification 
PPP.PVP.CBL.01.002.01 Terminal
PPP.PVP.DIN.07.008 Grounding Method MV Cables</v>
      </c>
      <c r="D33" s="900" t="s">
        <v>384</v>
      </c>
      <c r="E33" s="901" t="s">
        <v>385</v>
      </c>
      <c r="F33" s="902" t="s">
        <v>160</v>
      </c>
      <c r="G33" s="900" t="s">
        <v>141</v>
      </c>
      <c r="H33" s="1101">
        <v>0</v>
      </c>
      <c r="I33" s="1290"/>
      <c r="J33" s="1290"/>
      <c r="K33" s="1297">
        <f t="shared" ref="K33:K34" si="4">I33*J33</f>
        <v>0</v>
      </c>
      <c r="L33" s="1290"/>
      <c r="M33" s="1290"/>
      <c r="N33" s="1297">
        <f t="shared" ref="N33:N34" si="5">L33*M33</f>
        <v>0</v>
      </c>
      <c r="O33" s="1298"/>
      <c r="P33" s="1290"/>
      <c r="Q33" s="1298"/>
      <c r="R33" s="1291">
        <f t="shared" si="2"/>
        <v>0</v>
      </c>
      <c r="S33" s="1292">
        <f t="shared" ref="S33:S34" si="6">IF(F33="na","",H33*R33)</f>
        <v>0</v>
      </c>
      <c r="T33" s="935"/>
    </row>
    <row r="34" spans="2:20" s="431" customFormat="1" ht="105" customHeight="1" x14ac:dyDescent="0.25">
      <c r="B34" s="919"/>
      <c r="C34" s="98" t="str">
        <f>CONCATENATE('Reference documents'!B15," :
PPP.PVP.CBL.01.002.01 Terminal
PPP.PVP.DIN.05 TRENCHES AND WORKS ON CABLES
PPP.PVP.DIN.07.008 Grounding Method MV Cables
- CONSTRUCTION TECHNICAL SPECIFICATIONS
- VENDOR INSTALLATION PROCEDURE CERTIFICATION")</f>
        <v>GRE.EEC.S.21.IT.P.18371.00.127.00 Technical Specification :
PPP.PVP.CBL.01.002.01 Terminal
PPP.PVP.DIN.05 TRENCHES AND WORKS ON CABLES
PPP.PVP.DIN.07.008 Grounding Method MV Cables
- CONSTRUCTION TECHNICAL SPECIFICATIONS
- VENDOR INSTALLATION PROCEDURE CERTIFICATION</v>
      </c>
      <c r="D34" s="900" t="s">
        <v>386</v>
      </c>
      <c r="E34" s="901" t="s">
        <v>387</v>
      </c>
      <c r="F34" s="902" t="s">
        <v>160</v>
      </c>
      <c r="G34" s="900" t="s">
        <v>141</v>
      </c>
      <c r="H34" s="1101">
        <v>21</v>
      </c>
      <c r="I34" s="1290">
        <v>17.174967769499467</v>
      </c>
      <c r="J34" s="1290">
        <v>40</v>
      </c>
      <c r="K34" s="1297">
        <f t="shared" si="4"/>
        <v>686.99871077997864</v>
      </c>
      <c r="L34" s="1290">
        <v>1</v>
      </c>
      <c r="M34" s="1290">
        <v>20</v>
      </c>
      <c r="N34" s="1297">
        <f t="shared" si="5"/>
        <v>20</v>
      </c>
      <c r="O34" s="1298"/>
      <c r="P34" s="1290"/>
      <c r="Q34" s="1298"/>
      <c r="R34" s="1291">
        <f t="shared" si="2"/>
        <v>706.99871077997864</v>
      </c>
      <c r="S34" s="1292">
        <f t="shared" si="6"/>
        <v>14846.972926379551</v>
      </c>
      <c r="T34" s="935"/>
    </row>
    <row r="35" spans="2:20" s="431" customFormat="1" ht="18" customHeight="1" x14ac:dyDescent="0.25">
      <c r="B35" s="945"/>
      <c r="C35" s="928"/>
      <c r="D35" s="946" t="s">
        <v>388</v>
      </c>
      <c r="E35" s="928" t="s">
        <v>389</v>
      </c>
      <c r="F35" s="947"/>
      <c r="G35" s="947"/>
      <c r="H35" s="1100"/>
      <c r="I35" s="1100"/>
      <c r="J35" s="1100"/>
      <c r="K35" s="1100"/>
      <c r="L35" s="1100"/>
      <c r="M35" s="1100"/>
      <c r="N35" s="1100"/>
      <c r="O35" s="1100"/>
      <c r="P35" s="1100"/>
      <c r="Q35" s="1100"/>
      <c r="R35" s="947"/>
      <c r="S35" s="1127"/>
      <c r="T35" s="948"/>
    </row>
    <row r="36" spans="2:20" s="431" customFormat="1" ht="89.25" x14ac:dyDescent="0.25">
      <c r="B36" s="919"/>
      <c r="C36" s="98" t="str">
        <f>CONCATENATE('Reference documents'!B15," :
PPP.PVP.CBL.01.002.02 Cable Joint
PPP.PVP.CBL.01.002.03 MV Y Connection Boxes
PPP.PVP.DIN.07.008 Grounding Method MV Cables")</f>
        <v>GRE.EEC.S.21.IT.P.18371.00.127.00 Technical Specification :
PPP.PVP.CBL.01.002.02 Cable Joint
PPP.PVP.CBL.01.002.03 MV Y Connection Boxes
PPP.PVP.DIN.07.008 Grounding Method MV Cables</v>
      </c>
      <c r="D36" s="900" t="s">
        <v>390</v>
      </c>
      <c r="E36" s="901" t="s">
        <v>391</v>
      </c>
      <c r="F36" s="902" t="s">
        <v>160</v>
      </c>
      <c r="G36" s="900" t="s">
        <v>141</v>
      </c>
      <c r="H36" s="1101">
        <v>0</v>
      </c>
      <c r="I36" s="1290"/>
      <c r="J36" s="1290"/>
      <c r="K36" s="1297">
        <f t="shared" ref="K36:K45" si="7">I36*J36</f>
        <v>0</v>
      </c>
      <c r="L36" s="1290"/>
      <c r="M36" s="1290"/>
      <c r="N36" s="1297">
        <f t="shared" ref="N36:N45" si="8">L36*M36</f>
        <v>0</v>
      </c>
      <c r="O36" s="1298"/>
      <c r="P36" s="1290"/>
      <c r="Q36" s="1298"/>
      <c r="R36" s="1291">
        <f t="shared" ref="R36:R45" si="9">P36+N36+K36</f>
        <v>0</v>
      </c>
      <c r="S36" s="1292">
        <f t="shared" ref="S36:S45" si="10">IF(F36="na","",H36*R36)</f>
        <v>0</v>
      </c>
      <c r="T36" s="935"/>
    </row>
    <row r="37" spans="2:20" s="431" customFormat="1" ht="89.25" x14ac:dyDescent="0.25">
      <c r="B37" s="919"/>
      <c r="C37" s="98" t="str">
        <f>CONCATENATE('Reference documents'!B15," :
PPP.PVP.CBL.01.002.02 Cable Joint
PPP.PVP.CBL.01.002.03 MV Y Connection Boxes
PPP.PVP.DIN.07.008 Grounding Method MV Cables")</f>
        <v>GRE.EEC.S.21.IT.P.18371.00.127.00 Technical Specification :
PPP.PVP.CBL.01.002.02 Cable Joint
PPP.PVP.CBL.01.002.03 MV Y Connection Boxes
PPP.PVP.DIN.07.008 Grounding Method MV Cables</v>
      </c>
      <c r="D37" s="900" t="s">
        <v>392</v>
      </c>
      <c r="E37" s="901" t="s">
        <v>393</v>
      </c>
      <c r="F37" s="902" t="s">
        <v>160</v>
      </c>
      <c r="G37" s="900" t="s">
        <v>141</v>
      </c>
      <c r="H37" s="1101">
        <v>0</v>
      </c>
      <c r="I37" s="1290"/>
      <c r="J37" s="1290"/>
      <c r="K37" s="1297">
        <f t="shared" si="7"/>
        <v>0</v>
      </c>
      <c r="L37" s="1290"/>
      <c r="M37" s="1290"/>
      <c r="N37" s="1297">
        <f t="shared" si="8"/>
        <v>0</v>
      </c>
      <c r="O37" s="1298"/>
      <c r="P37" s="1290"/>
      <c r="Q37" s="1298"/>
      <c r="R37" s="1291">
        <f t="shared" si="9"/>
        <v>0</v>
      </c>
      <c r="S37" s="1292">
        <f t="shared" si="10"/>
        <v>0</v>
      </c>
      <c r="T37" s="935"/>
    </row>
    <row r="38" spans="2:20" s="431" customFormat="1" ht="89.25" x14ac:dyDescent="0.25">
      <c r="B38" s="919"/>
      <c r="C38" s="98" t="str">
        <f>CONCATENATE('Reference documents'!B15," :
PPP.PVP.CBL.01.002.02 Cable Joint
PPP.PVP.CBL.01.002.03 MV Y Connection Boxes
PPP.PVP.DIN.07.008 Grounding Method MV Cables")</f>
        <v>GRE.EEC.S.21.IT.P.18371.00.127.00 Technical Specification :
PPP.PVP.CBL.01.002.02 Cable Joint
PPP.PVP.CBL.01.002.03 MV Y Connection Boxes
PPP.PVP.DIN.07.008 Grounding Method MV Cables</v>
      </c>
      <c r="D38" s="900" t="s">
        <v>394</v>
      </c>
      <c r="E38" s="901" t="s">
        <v>395</v>
      </c>
      <c r="F38" s="902" t="s">
        <v>160</v>
      </c>
      <c r="G38" s="900" t="s">
        <v>141</v>
      </c>
      <c r="H38" s="1101">
        <v>0</v>
      </c>
      <c r="I38" s="1290"/>
      <c r="J38" s="1290"/>
      <c r="K38" s="1297">
        <f t="shared" si="7"/>
        <v>0</v>
      </c>
      <c r="L38" s="1290"/>
      <c r="M38" s="1290"/>
      <c r="N38" s="1297">
        <f t="shared" si="8"/>
        <v>0</v>
      </c>
      <c r="O38" s="1298"/>
      <c r="P38" s="1290"/>
      <c r="Q38" s="1298"/>
      <c r="R38" s="1291">
        <f t="shared" si="9"/>
        <v>0</v>
      </c>
      <c r="S38" s="1292">
        <f t="shared" si="10"/>
        <v>0</v>
      </c>
      <c r="T38" s="935"/>
    </row>
    <row r="39" spans="2:20" s="431" customFormat="1" ht="89.25" x14ac:dyDescent="0.25">
      <c r="B39" s="919"/>
      <c r="C39" s="98" t="str">
        <f>CONCATENATE('Reference documents'!B15," :
PPP.PVP.CBL.01.002.02 Cable Joint
PPP.PVP.CBL.01.002.03 MV Y Connection Boxes
PPP.PVP.DIN.07.008 Grounding Method MV Cables")</f>
        <v>GRE.EEC.S.21.IT.P.18371.00.127.00 Technical Specification :
PPP.PVP.CBL.01.002.02 Cable Joint
PPP.PVP.CBL.01.002.03 MV Y Connection Boxes
PPP.PVP.DIN.07.008 Grounding Method MV Cables</v>
      </c>
      <c r="D39" s="900" t="s">
        <v>396</v>
      </c>
      <c r="E39" s="901" t="s">
        <v>397</v>
      </c>
      <c r="F39" s="902" t="s">
        <v>160</v>
      </c>
      <c r="G39" s="900" t="s">
        <v>141</v>
      </c>
      <c r="H39" s="1101">
        <v>0</v>
      </c>
      <c r="I39" s="1290"/>
      <c r="J39" s="1290"/>
      <c r="K39" s="1297">
        <f t="shared" si="7"/>
        <v>0</v>
      </c>
      <c r="L39" s="1290"/>
      <c r="M39" s="1290"/>
      <c r="N39" s="1297">
        <f t="shared" si="8"/>
        <v>0</v>
      </c>
      <c r="O39" s="1298"/>
      <c r="P39" s="1290"/>
      <c r="Q39" s="1298"/>
      <c r="R39" s="1291">
        <f t="shared" si="9"/>
        <v>0</v>
      </c>
      <c r="S39" s="1292">
        <f t="shared" si="10"/>
        <v>0</v>
      </c>
      <c r="T39" s="935"/>
    </row>
    <row r="40" spans="2:20" s="431" customFormat="1" ht="89.25" x14ac:dyDescent="0.25">
      <c r="B40" s="919"/>
      <c r="C40" s="98" t="str">
        <f>CONCATENATE('Reference documents'!B15," :
PPP.PVP.CBL.01.002.02 Cable Joint
PPP.PVP.CBL.01.002.03 MV Y Connection Boxes
PPP.PVP.DIN.07.008 Grounding Method MV Cables")</f>
        <v>GRE.EEC.S.21.IT.P.18371.00.127.00 Technical Specification :
PPP.PVP.CBL.01.002.02 Cable Joint
PPP.PVP.CBL.01.002.03 MV Y Connection Boxes
PPP.PVP.DIN.07.008 Grounding Method MV Cables</v>
      </c>
      <c r="D40" s="900" t="s">
        <v>398</v>
      </c>
      <c r="E40" s="901" t="s">
        <v>399</v>
      </c>
      <c r="F40" s="902" t="s">
        <v>160</v>
      </c>
      <c r="G40" s="900" t="s">
        <v>141</v>
      </c>
      <c r="H40" s="1101">
        <v>0</v>
      </c>
      <c r="I40" s="1290"/>
      <c r="J40" s="1290"/>
      <c r="K40" s="1297">
        <f t="shared" si="7"/>
        <v>0</v>
      </c>
      <c r="L40" s="1290"/>
      <c r="M40" s="1290"/>
      <c r="N40" s="1297">
        <f t="shared" si="8"/>
        <v>0</v>
      </c>
      <c r="O40" s="1298"/>
      <c r="P40" s="1290"/>
      <c r="Q40" s="1298"/>
      <c r="R40" s="1291">
        <f t="shared" si="9"/>
        <v>0</v>
      </c>
      <c r="S40" s="1292">
        <f t="shared" si="10"/>
        <v>0</v>
      </c>
      <c r="T40" s="935"/>
    </row>
    <row r="41" spans="2:20" s="431" customFormat="1" ht="89.25" x14ac:dyDescent="0.25">
      <c r="B41" s="919"/>
      <c r="C41" s="98" t="str">
        <f>CONCATENATE('Reference documents'!B15," :
PPP.PVP.CBL.01.002.02 Cable Joint
PPP.PVP.CBL.01.002.03 MV Y Connection Boxes
PPP.PVP.DIN.07.008 Grounding Method MV Cables")</f>
        <v>GRE.EEC.S.21.IT.P.18371.00.127.00 Technical Specification :
PPP.PVP.CBL.01.002.02 Cable Joint
PPP.PVP.CBL.01.002.03 MV Y Connection Boxes
PPP.PVP.DIN.07.008 Grounding Method MV Cables</v>
      </c>
      <c r="D41" s="900" t="s">
        <v>400</v>
      </c>
      <c r="E41" s="901" t="s">
        <v>401</v>
      </c>
      <c r="F41" s="902" t="s">
        <v>160</v>
      </c>
      <c r="G41" s="900" t="s">
        <v>141</v>
      </c>
      <c r="H41" s="1101">
        <v>0</v>
      </c>
      <c r="I41" s="1290"/>
      <c r="J41" s="1290"/>
      <c r="K41" s="1297">
        <f t="shared" si="7"/>
        <v>0</v>
      </c>
      <c r="L41" s="1290"/>
      <c r="M41" s="1290"/>
      <c r="N41" s="1297">
        <f t="shared" si="8"/>
        <v>0</v>
      </c>
      <c r="O41" s="1298"/>
      <c r="P41" s="1290"/>
      <c r="Q41" s="1298"/>
      <c r="R41" s="1291">
        <f>P41+N41+K41</f>
        <v>0</v>
      </c>
      <c r="S41" s="1292">
        <f>IF(F41="na","",H41*R41)</f>
        <v>0</v>
      </c>
      <c r="T41" s="935"/>
    </row>
    <row r="42" spans="2:20" s="431" customFormat="1" ht="89.25" x14ac:dyDescent="0.25">
      <c r="B42" s="919"/>
      <c r="C42" s="98" t="str">
        <f>CONCATENATE('Reference documents'!B15," :
PPP.PVP.CBL.01.002.02 Cable Joint
PPP.PVP.CBL.01.002.03 MV Y Connection Boxes
PPP.PVP.DIN.07.008 Grounding Method MV Cables")</f>
        <v>GRE.EEC.S.21.IT.P.18371.00.127.00 Technical Specification :
PPP.PVP.CBL.01.002.02 Cable Joint
PPP.PVP.CBL.01.002.03 MV Y Connection Boxes
PPP.PVP.DIN.07.008 Grounding Method MV Cables</v>
      </c>
      <c r="D42" s="900" t="s">
        <v>402</v>
      </c>
      <c r="E42" s="901" t="s">
        <v>403</v>
      </c>
      <c r="F42" s="902" t="s">
        <v>160</v>
      </c>
      <c r="G42" s="900" t="s">
        <v>141</v>
      </c>
      <c r="H42" s="1101">
        <v>0</v>
      </c>
      <c r="I42" s="1290"/>
      <c r="J42" s="1290"/>
      <c r="K42" s="1297">
        <f t="shared" si="7"/>
        <v>0</v>
      </c>
      <c r="L42" s="1290"/>
      <c r="M42" s="1290"/>
      <c r="N42" s="1297">
        <f t="shared" si="8"/>
        <v>0</v>
      </c>
      <c r="O42" s="1298"/>
      <c r="P42" s="1290"/>
      <c r="Q42" s="1298"/>
      <c r="R42" s="1291">
        <f t="shared" si="9"/>
        <v>0</v>
      </c>
      <c r="S42" s="1292">
        <f t="shared" si="10"/>
        <v>0</v>
      </c>
      <c r="T42" s="935"/>
    </row>
    <row r="43" spans="2:20" s="431" customFormat="1" ht="89.25" x14ac:dyDescent="0.25">
      <c r="B43" s="919"/>
      <c r="C43" s="98" t="str">
        <f>CONCATENATE('Reference documents'!B15," :
PPP.PVP.CBL.01.002.02 Cable Joint
PPP.PVP.CBL.01.002.03 MV Y Connection Boxes
PPP.PVP.DIN.07.008 Grounding Method MV Cables")</f>
        <v>GRE.EEC.S.21.IT.P.18371.00.127.00 Technical Specification :
PPP.PVP.CBL.01.002.02 Cable Joint
PPP.PVP.CBL.01.002.03 MV Y Connection Boxes
PPP.PVP.DIN.07.008 Grounding Method MV Cables</v>
      </c>
      <c r="D43" s="900" t="s">
        <v>404</v>
      </c>
      <c r="E43" s="901" t="s">
        <v>405</v>
      </c>
      <c r="F43" s="902" t="s">
        <v>160</v>
      </c>
      <c r="G43" s="900" t="s">
        <v>141</v>
      </c>
      <c r="H43" s="1101">
        <v>0</v>
      </c>
      <c r="I43" s="1290"/>
      <c r="J43" s="1290"/>
      <c r="K43" s="1297">
        <f t="shared" si="7"/>
        <v>0</v>
      </c>
      <c r="L43" s="1290"/>
      <c r="M43" s="1290"/>
      <c r="N43" s="1297">
        <f t="shared" si="8"/>
        <v>0</v>
      </c>
      <c r="O43" s="1298"/>
      <c r="P43" s="1290"/>
      <c r="Q43" s="1298"/>
      <c r="R43" s="1291">
        <f t="shared" si="9"/>
        <v>0</v>
      </c>
      <c r="S43" s="1292">
        <f t="shared" si="10"/>
        <v>0</v>
      </c>
      <c r="T43" s="935"/>
    </row>
    <row r="44" spans="2:20" s="431" customFormat="1" ht="89.25" x14ac:dyDescent="0.25">
      <c r="B44" s="919"/>
      <c r="C44" s="98" t="str">
        <f>CONCATENATE('Reference documents'!B15," :
PPP.PVP.CBL.01.002.02 Cable Joint
PPP.PVP.CBL.01.002.03 MV Y Connection Boxes
PPP.PVP.DIN.07.008 Grounding Method MV Cables")</f>
        <v>GRE.EEC.S.21.IT.P.18371.00.127.00 Technical Specification :
PPP.PVP.CBL.01.002.02 Cable Joint
PPP.PVP.CBL.01.002.03 MV Y Connection Boxes
PPP.PVP.DIN.07.008 Grounding Method MV Cables</v>
      </c>
      <c r="D44" s="900" t="s">
        <v>406</v>
      </c>
      <c r="E44" s="901" t="s">
        <v>407</v>
      </c>
      <c r="F44" s="902" t="s">
        <v>160</v>
      </c>
      <c r="G44" s="900" t="s">
        <v>141</v>
      </c>
      <c r="H44" s="1101">
        <v>0</v>
      </c>
      <c r="I44" s="1290"/>
      <c r="J44" s="1290"/>
      <c r="K44" s="1297">
        <f t="shared" si="7"/>
        <v>0</v>
      </c>
      <c r="L44" s="1290"/>
      <c r="M44" s="1290"/>
      <c r="N44" s="1297">
        <f t="shared" si="8"/>
        <v>0</v>
      </c>
      <c r="O44" s="1298"/>
      <c r="P44" s="1290"/>
      <c r="Q44" s="1298"/>
      <c r="R44" s="1291">
        <f t="shared" si="9"/>
        <v>0</v>
      </c>
      <c r="S44" s="1292">
        <f t="shared" si="10"/>
        <v>0</v>
      </c>
      <c r="T44" s="935"/>
    </row>
    <row r="45" spans="2:20" s="431" customFormat="1" ht="89.25" x14ac:dyDescent="0.25">
      <c r="B45" s="919"/>
      <c r="C45" s="98" t="str">
        <f>CONCATENATE('Reference documents'!B15," :
PPP.PVP.CBL.01.002.02 Cable Joint
PPP.PVP.CBL.01.002.03 MV Y Connection Boxes
PPP.PVP.DIN.07.008 Grounding Method MV Cables")</f>
        <v>GRE.EEC.S.21.IT.P.18371.00.127.00 Technical Specification :
PPP.PVP.CBL.01.002.02 Cable Joint
PPP.PVP.CBL.01.002.03 MV Y Connection Boxes
PPP.PVP.DIN.07.008 Grounding Method MV Cables</v>
      </c>
      <c r="D45" s="900" t="s">
        <v>408</v>
      </c>
      <c r="E45" s="901" t="s">
        <v>409</v>
      </c>
      <c r="F45" s="902" t="s">
        <v>160</v>
      </c>
      <c r="G45" s="900" t="s">
        <v>141</v>
      </c>
      <c r="H45" s="1101">
        <v>0</v>
      </c>
      <c r="I45" s="1290"/>
      <c r="J45" s="1290"/>
      <c r="K45" s="1297">
        <f t="shared" si="7"/>
        <v>0</v>
      </c>
      <c r="L45" s="1290"/>
      <c r="M45" s="1290"/>
      <c r="N45" s="1297">
        <f t="shared" si="8"/>
        <v>0</v>
      </c>
      <c r="O45" s="1298"/>
      <c r="P45" s="1290"/>
      <c r="Q45" s="1298"/>
      <c r="R45" s="1291">
        <f t="shared" si="9"/>
        <v>0</v>
      </c>
      <c r="S45" s="1292">
        <f t="shared" si="10"/>
        <v>0</v>
      </c>
      <c r="T45" s="935"/>
    </row>
    <row r="46" spans="2:20" s="431" customFormat="1" ht="18" customHeight="1" x14ac:dyDescent="0.25">
      <c r="B46" s="945"/>
      <c r="C46" s="928"/>
      <c r="D46" s="946"/>
      <c r="E46" s="928" t="s">
        <v>771</v>
      </c>
      <c r="F46" s="947"/>
      <c r="G46" s="947"/>
      <c r="H46" s="1100"/>
      <c r="I46" s="1100"/>
      <c r="J46" s="1100"/>
      <c r="K46" s="1100"/>
      <c r="L46" s="1100"/>
      <c r="M46" s="1100"/>
      <c r="N46" s="1100"/>
      <c r="O46" s="1100"/>
      <c r="P46" s="1100"/>
      <c r="Q46" s="1100"/>
      <c r="R46" s="947"/>
      <c r="S46" s="1127"/>
      <c r="T46" s="948"/>
    </row>
    <row r="47" spans="2:20" s="431" customFormat="1" ht="76.5" x14ac:dyDescent="0.25">
      <c r="B47" s="919"/>
      <c r="C47" s="98" t="str">
        <f>CONCATENATE('Reference documents'!B15," :
PPP.PVP.CBL.01.001 AC Cables (sub-section named tests)
EGP.EEC.S.45.XX.P.00000.00.021.12 GRE.EEC.Q.45.XX.P.00000.00.078.04")</f>
        <v>GRE.EEC.S.21.IT.P.18371.00.127.00 Technical Specification :
PPP.PVP.CBL.01.001 AC Cables (sub-section named tests)
EGP.EEC.S.45.XX.P.00000.00.021.12 GRE.EEC.Q.45.XX.P.00000.00.078.04</v>
      </c>
      <c r="D47" s="1375" t="s">
        <v>772</v>
      </c>
      <c r="E47" s="1370" t="s">
        <v>773</v>
      </c>
      <c r="F47" s="1376" t="s">
        <v>160</v>
      </c>
      <c r="G47" s="1375" t="s">
        <v>774</v>
      </c>
      <c r="H47" s="1101">
        <v>0</v>
      </c>
      <c r="I47" s="1290"/>
      <c r="J47" s="1290"/>
      <c r="K47" s="1297">
        <f>I47*J47</f>
        <v>0</v>
      </c>
      <c r="L47" s="1290"/>
      <c r="M47" s="1290"/>
      <c r="N47" s="1297">
        <f>L47*M47</f>
        <v>0</v>
      </c>
      <c r="O47" s="1298"/>
      <c r="P47" s="1290"/>
      <c r="Q47" s="1298"/>
      <c r="R47" s="1291">
        <f>P47+N47+K47</f>
        <v>0</v>
      </c>
      <c r="S47" s="1292">
        <f>IF(F47="na","",H47*R47)</f>
        <v>0</v>
      </c>
      <c r="T47" s="935"/>
    </row>
    <row r="48" spans="2:20" ht="15" customHeight="1" x14ac:dyDescent="0.25">
      <c r="B48" s="1608" t="s">
        <v>775</v>
      </c>
      <c r="C48" s="1608"/>
      <c r="D48" s="1608"/>
      <c r="E48" s="1608"/>
      <c r="F48" s="1609" t="s">
        <v>154</v>
      </c>
      <c r="G48" s="1609"/>
      <c r="H48" s="1609"/>
      <c r="I48" s="1609"/>
      <c r="J48" s="1609"/>
      <c r="K48" s="1609"/>
      <c r="L48" s="1609"/>
      <c r="M48" s="1609"/>
      <c r="N48" s="1609"/>
      <c r="O48" s="1609"/>
      <c r="P48" s="1609"/>
      <c r="Q48" s="1609"/>
      <c r="R48" s="1609"/>
      <c r="S48" s="863">
        <f>SUMIFS(S54:S87,F54:F87,"Mandatory",E54:E87,"=*Supply")</f>
        <v>356343.92580736207</v>
      </c>
      <c r="T48" s="1221"/>
    </row>
    <row r="49" spans="2:20" ht="15" customHeight="1" x14ac:dyDescent="0.25">
      <c r="B49" s="1608"/>
      <c r="C49" s="1608"/>
      <c r="D49" s="1608"/>
      <c r="E49" s="1608"/>
      <c r="F49" s="1609" t="s">
        <v>156</v>
      </c>
      <c r="G49" s="1609"/>
      <c r="H49" s="1609"/>
      <c r="I49" s="1609"/>
      <c r="J49" s="1609"/>
      <c r="K49" s="1609"/>
      <c r="L49" s="1609"/>
      <c r="M49" s="1609"/>
      <c r="N49" s="1609"/>
      <c r="O49" s="1609"/>
      <c r="P49" s="1609"/>
      <c r="Q49" s="1609"/>
      <c r="R49" s="1609"/>
      <c r="S49" s="863">
        <f>SUMIFS(S54:S87,F54:F87,"Optional",E54:E87,"=*Supply")</f>
        <v>0</v>
      </c>
      <c r="T49" s="1221"/>
    </row>
    <row r="50" spans="2:20" ht="15" customHeight="1" x14ac:dyDescent="0.25">
      <c r="B50" s="1608" t="s">
        <v>776</v>
      </c>
      <c r="C50" s="1608"/>
      <c r="D50" s="1608"/>
      <c r="E50" s="1608"/>
      <c r="F50" s="1609" t="s">
        <v>154</v>
      </c>
      <c r="G50" s="1609"/>
      <c r="H50" s="1609"/>
      <c r="I50" s="1609"/>
      <c r="J50" s="1609"/>
      <c r="K50" s="1609"/>
      <c r="L50" s="1609"/>
      <c r="M50" s="1609"/>
      <c r="N50" s="1609"/>
      <c r="O50" s="1609"/>
      <c r="P50" s="1609"/>
      <c r="Q50" s="1609"/>
      <c r="R50" s="1609"/>
      <c r="S50" s="863">
        <f>SUMIFS(S54:S87,F54:F87,"Mandatory",E54:E87,"=*Installation*")</f>
        <v>201724.28673586762</v>
      </c>
      <c r="T50" s="1221"/>
    </row>
    <row r="51" spans="2:20" ht="15" customHeight="1" x14ac:dyDescent="0.25">
      <c r="B51" s="1608"/>
      <c r="C51" s="1608"/>
      <c r="D51" s="1608"/>
      <c r="E51" s="1608"/>
      <c r="F51" s="1609" t="s">
        <v>156</v>
      </c>
      <c r="G51" s="1609"/>
      <c r="H51" s="1609"/>
      <c r="I51" s="1609"/>
      <c r="J51" s="1609"/>
      <c r="K51" s="1609"/>
      <c r="L51" s="1609"/>
      <c r="M51" s="1609"/>
      <c r="N51" s="1609"/>
      <c r="O51" s="1609"/>
      <c r="P51" s="1609"/>
      <c r="Q51" s="1609"/>
      <c r="R51" s="1609"/>
      <c r="S51" s="863">
        <f>SUMIFS(S54:S87,F54:F87,"Optional",E54:E87,"=*Installation*")</f>
        <v>0</v>
      </c>
      <c r="T51" s="1221"/>
    </row>
    <row r="52" spans="2:20" ht="15" customHeight="1" x14ac:dyDescent="0.25">
      <c r="B52" s="1608" t="s">
        <v>777</v>
      </c>
      <c r="C52" s="1608"/>
      <c r="D52" s="1608"/>
      <c r="E52" s="1608"/>
      <c r="F52" s="1609" t="s">
        <v>154</v>
      </c>
      <c r="G52" s="1609"/>
      <c r="H52" s="1609"/>
      <c r="I52" s="1609"/>
      <c r="J52" s="1609"/>
      <c r="K52" s="1609"/>
      <c r="L52" s="1609"/>
      <c r="M52" s="1609"/>
      <c r="N52" s="1609"/>
      <c r="O52" s="1609"/>
      <c r="P52" s="1609"/>
      <c r="Q52" s="1609"/>
      <c r="R52" s="1609"/>
      <c r="S52" s="863">
        <f>SUMIFS(S54:S87,F54:F87,"Mandatory",E54:E87,"=*Test")</f>
        <v>0</v>
      </c>
      <c r="T52" s="1221"/>
    </row>
    <row r="53" spans="2:20" ht="15" customHeight="1" x14ac:dyDescent="0.25">
      <c r="B53" s="1608"/>
      <c r="C53" s="1608"/>
      <c r="D53" s="1608"/>
      <c r="E53" s="1608"/>
      <c r="F53" s="1609" t="s">
        <v>156</v>
      </c>
      <c r="G53" s="1609"/>
      <c r="H53" s="1609"/>
      <c r="I53" s="1609"/>
      <c r="J53" s="1609"/>
      <c r="K53" s="1609"/>
      <c r="L53" s="1609"/>
      <c r="M53" s="1609"/>
      <c r="N53" s="1609"/>
      <c r="O53" s="1609"/>
      <c r="P53" s="1609"/>
      <c r="Q53" s="1609"/>
      <c r="R53" s="1609"/>
      <c r="S53" s="863">
        <f>SUMIFS(S54:S87,F54:F87,"Optional",E54:E87,"=*Test")</f>
        <v>0</v>
      </c>
      <c r="T53" s="1221"/>
    </row>
    <row r="54" spans="2:20" s="431" customFormat="1" ht="18" customHeight="1" x14ac:dyDescent="0.25">
      <c r="B54" s="945"/>
      <c r="C54" s="928"/>
      <c r="D54" s="946" t="s">
        <v>411</v>
      </c>
      <c r="E54" s="928" t="s">
        <v>412</v>
      </c>
      <c r="F54" s="947"/>
      <c r="G54" s="947"/>
      <c r="H54" s="1100"/>
      <c r="I54" s="1100"/>
      <c r="J54" s="1100"/>
      <c r="K54" s="1100"/>
      <c r="L54" s="1100"/>
      <c r="M54" s="1100"/>
      <c r="N54" s="1100"/>
      <c r="O54" s="1100"/>
      <c r="P54" s="1100"/>
      <c r="Q54" s="1100"/>
      <c r="R54" s="947"/>
      <c r="S54" s="1127"/>
      <c r="T54" s="948"/>
    </row>
    <row r="55" spans="2:20" s="431" customFormat="1" ht="21.75" customHeight="1" x14ac:dyDescent="0.25">
      <c r="B55" s="919"/>
      <c r="C55" s="1610" t="str">
        <f>CONCATENATE('Reference documents'!B15," :
PPP.EQP.PVM.03.003 Cables
PPP.PVP.FPP.01.004.01 Cables
PPP.PVP.FPP.02.002.01 Cables
PPP.PVP.CBL.02.003 Solar Cables")</f>
        <v>GRE.EEC.S.21.IT.P.18371.00.127.00 Technical Specification :
PPP.EQP.PVM.03.003 Cables
PPP.PVP.FPP.01.004.01 Cables
PPP.PVP.FPP.02.002.01 Cables
PPP.PVP.CBL.02.003 Solar Cables</v>
      </c>
      <c r="D55" s="900" t="s">
        <v>413</v>
      </c>
      <c r="E55" s="901" t="s">
        <v>414</v>
      </c>
      <c r="F55" s="902" t="s">
        <v>160</v>
      </c>
      <c r="G55" s="900" t="s">
        <v>345</v>
      </c>
      <c r="H55" s="1419">
        <v>3139</v>
      </c>
      <c r="I55" s="1290"/>
      <c r="J55" s="1290"/>
      <c r="K55" s="1297">
        <f t="shared" ref="K55:K62" si="11">I55*J55</f>
        <v>0</v>
      </c>
      <c r="L55" s="1290"/>
      <c r="M55" s="1290"/>
      <c r="N55" s="1297">
        <f t="shared" ref="N55:N62" si="12">L55*M55</f>
        <v>0</v>
      </c>
      <c r="O55" s="1298"/>
      <c r="P55" s="1290">
        <v>0.73708376230253114</v>
      </c>
      <c r="Q55" s="1298"/>
      <c r="R55" s="1291">
        <f t="shared" ref="R55:R61" si="13">P55+N55+K55</f>
        <v>0.73708376230253114</v>
      </c>
      <c r="S55" s="1292">
        <f t="shared" ref="S55:S62" si="14">IF(F55="na","",H55*R55)</f>
        <v>2313.7059298676454</v>
      </c>
      <c r="T55" s="935"/>
    </row>
    <row r="56" spans="2:20" s="431" customFormat="1" ht="20.25" customHeight="1" x14ac:dyDescent="0.25">
      <c r="B56" s="919"/>
      <c r="C56" s="1611"/>
      <c r="D56" s="900" t="s">
        <v>415</v>
      </c>
      <c r="E56" s="901" t="s">
        <v>416</v>
      </c>
      <c r="F56" s="902" t="s">
        <v>160</v>
      </c>
      <c r="G56" s="900" t="s">
        <v>345</v>
      </c>
      <c r="H56" s="1419">
        <v>6000</v>
      </c>
      <c r="I56" s="1290"/>
      <c r="J56" s="1290"/>
      <c r="K56" s="1297">
        <f t="shared" si="11"/>
        <v>0</v>
      </c>
      <c r="L56" s="1290"/>
      <c r="M56" s="1290"/>
      <c r="N56" s="1297">
        <f t="shared" si="12"/>
        <v>0</v>
      </c>
      <c r="O56" s="1298"/>
      <c r="P56" s="1290">
        <v>1.0680193290506061</v>
      </c>
      <c r="Q56" s="1298"/>
      <c r="R56" s="1291">
        <f t="shared" si="13"/>
        <v>1.0680193290506061</v>
      </c>
      <c r="S56" s="1292">
        <f t="shared" ref="S56:S57" si="15">IF(F56="na","",H56*R56)</f>
        <v>6408.1159743036369</v>
      </c>
      <c r="T56" s="935"/>
    </row>
    <row r="57" spans="2:20" s="431" customFormat="1" ht="45.6" customHeight="1" x14ac:dyDescent="0.25">
      <c r="B57" s="919"/>
      <c r="C57" s="1612"/>
      <c r="D57" s="900" t="s">
        <v>417</v>
      </c>
      <c r="E57" s="901" t="s">
        <v>418</v>
      </c>
      <c r="F57" s="902" t="s">
        <v>160</v>
      </c>
      <c r="G57" s="900" t="s">
        <v>345</v>
      </c>
      <c r="H57" s="1419">
        <v>88000</v>
      </c>
      <c r="I57" s="1290"/>
      <c r="J57" s="1290"/>
      <c r="K57" s="1297">
        <f t="shared" si="11"/>
        <v>0</v>
      </c>
      <c r="L57" s="1290"/>
      <c r="M57" s="1290"/>
      <c r="N57" s="1297">
        <f t="shared" si="12"/>
        <v>0</v>
      </c>
      <c r="O57" s="1298"/>
      <c r="P57" s="1290">
        <v>1.9620685775577582</v>
      </c>
      <c r="Q57" s="1298"/>
      <c r="R57" s="1291">
        <f t="shared" si="13"/>
        <v>1.9620685775577582</v>
      </c>
      <c r="S57" s="1292">
        <f t="shared" si="15"/>
        <v>172662.03482508272</v>
      </c>
      <c r="T57" s="935"/>
    </row>
    <row r="58" spans="2:20" s="431" customFormat="1" ht="102.95" customHeight="1" x14ac:dyDescent="0.25">
      <c r="B58" s="919"/>
      <c r="C58" s="98" t="str">
        <f>CONCATENATE('Reference documents'!B15," :
PPP.PVP.OAT.01.003 Solar Cable Fixing
PPP.PVP.DIN.05 TRENCHES AND WORKS ON CABLES
 CONSTRUCTION TECHNICAL SPECIFICATIONS")</f>
        <v>GRE.EEC.S.21.IT.P.18371.00.127.00 Technical Specification :
PPP.PVP.OAT.01.003 Solar Cable Fixing
PPP.PVP.DIN.05 TRENCHES AND WORKS ON CABLES
 CONSTRUCTION TECHNICAL SPECIFICATIONS</v>
      </c>
      <c r="D58" s="900" t="s">
        <v>419</v>
      </c>
      <c r="E58" s="901" t="s">
        <v>420</v>
      </c>
      <c r="F58" s="902" t="s">
        <v>160</v>
      </c>
      <c r="G58" s="900" t="s">
        <v>345</v>
      </c>
      <c r="H58" s="1419">
        <f>SUM(H55:H57)</f>
        <v>97139</v>
      </c>
      <c r="I58" s="1290">
        <v>3.2759188677667805E-2</v>
      </c>
      <c r="J58" s="1290">
        <v>40</v>
      </c>
      <c r="K58" s="1297">
        <f t="shared" si="11"/>
        <v>1.3103675471067122</v>
      </c>
      <c r="L58" s="1290">
        <v>1</v>
      </c>
      <c r="M58" s="1290">
        <v>0.05</v>
      </c>
      <c r="N58" s="1297">
        <f t="shared" si="12"/>
        <v>0.05</v>
      </c>
      <c r="O58" s="1298"/>
      <c r="P58" s="1290"/>
      <c r="Q58" s="1298"/>
      <c r="R58" s="1291">
        <f t="shared" si="13"/>
        <v>1.3603675471067123</v>
      </c>
      <c r="S58" s="1292">
        <f t="shared" si="14"/>
        <v>132144.74315839892</v>
      </c>
      <c r="T58" s="935"/>
    </row>
    <row r="59" spans="2:20" s="431" customFormat="1" ht="19.5" customHeight="1" x14ac:dyDescent="0.25">
      <c r="B59" s="919"/>
      <c r="C59" s="1613" t="str">
        <f>CONCATENATE('Reference documents'!B15," :
PPP.EQP.PVM.03.003 Cables
PPP.PVP.FPP.01.004.01 Cables
PPP.PVP.FPP.02.002.01 Cables
PPP.PVP.CBL.02.003 Solar Cables")</f>
        <v>GRE.EEC.S.21.IT.P.18371.00.127.00 Technical Specification :
PPP.EQP.PVM.03.003 Cables
PPP.PVP.FPP.01.004.01 Cables
PPP.PVP.FPP.02.002.01 Cables
PPP.PVP.CBL.02.003 Solar Cables</v>
      </c>
      <c r="D59" s="900" t="s">
        <v>421</v>
      </c>
      <c r="E59" s="901" t="s">
        <v>422</v>
      </c>
      <c r="F59" s="902" t="s">
        <v>160</v>
      </c>
      <c r="G59" s="900" t="s">
        <v>345</v>
      </c>
      <c r="H59" s="1101">
        <v>0</v>
      </c>
      <c r="I59" s="1290"/>
      <c r="J59" s="1290"/>
      <c r="K59" s="1297">
        <f t="shared" si="11"/>
        <v>0</v>
      </c>
      <c r="L59" s="1290"/>
      <c r="M59" s="1290"/>
      <c r="N59" s="1297">
        <f t="shared" si="12"/>
        <v>0</v>
      </c>
      <c r="O59" s="1298"/>
      <c r="P59" s="1290"/>
      <c r="Q59" s="1298"/>
      <c r="R59" s="1291">
        <f t="shared" si="13"/>
        <v>0</v>
      </c>
      <c r="S59" s="1292">
        <f t="shared" si="14"/>
        <v>0</v>
      </c>
      <c r="T59" s="935" t="s">
        <v>423</v>
      </c>
    </row>
    <row r="60" spans="2:20" s="431" customFormat="1" ht="21" customHeight="1" x14ac:dyDescent="0.25">
      <c r="B60" s="919"/>
      <c r="C60" s="1611"/>
      <c r="D60" s="900" t="s">
        <v>424</v>
      </c>
      <c r="E60" s="901" t="s">
        <v>425</v>
      </c>
      <c r="F60" s="902" t="s">
        <v>160</v>
      </c>
      <c r="G60" s="900" t="s">
        <v>345</v>
      </c>
      <c r="H60" s="1101">
        <v>0</v>
      </c>
      <c r="I60" s="1290"/>
      <c r="J60" s="1290"/>
      <c r="K60" s="1297">
        <f t="shared" si="11"/>
        <v>0</v>
      </c>
      <c r="L60" s="1290"/>
      <c r="M60" s="1290"/>
      <c r="N60" s="1297">
        <f t="shared" si="12"/>
        <v>0</v>
      </c>
      <c r="O60" s="1298"/>
      <c r="P60" s="1290"/>
      <c r="Q60" s="1298"/>
      <c r="R60" s="1291">
        <f t="shared" si="13"/>
        <v>0</v>
      </c>
      <c r="S60" s="1292">
        <f t="shared" si="14"/>
        <v>0</v>
      </c>
      <c r="T60" s="935" t="s">
        <v>423</v>
      </c>
    </row>
    <row r="61" spans="2:20" s="431" customFormat="1" ht="21" customHeight="1" x14ac:dyDescent="0.25">
      <c r="B61" s="919"/>
      <c r="C61" s="1612"/>
      <c r="D61" s="900" t="s">
        <v>426</v>
      </c>
      <c r="E61" s="901" t="s">
        <v>427</v>
      </c>
      <c r="F61" s="902" t="s">
        <v>160</v>
      </c>
      <c r="G61" s="900" t="s">
        <v>345</v>
      </c>
      <c r="H61" s="1101">
        <v>0</v>
      </c>
      <c r="I61" s="1290"/>
      <c r="J61" s="1290"/>
      <c r="K61" s="1297">
        <f t="shared" si="11"/>
        <v>0</v>
      </c>
      <c r="L61" s="1290"/>
      <c r="M61" s="1290"/>
      <c r="N61" s="1297">
        <f t="shared" si="12"/>
        <v>0</v>
      </c>
      <c r="O61" s="1298"/>
      <c r="P61" s="1290"/>
      <c r="Q61" s="1298"/>
      <c r="R61" s="1291">
        <f t="shared" si="13"/>
        <v>0</v>
      </c>
      <c r="S61" s="1292">
        <f t="shared" si="14"/>
        <v>0</v>
      </c>
      <c r="T61" s="935" t="s">
        <v>423</v>
      </c>
    </row>
    <row r="62" spans="2:20" s="431" customFormat="1" ht="89.25" x14ac:dyDescent="0.25">
      <c r="B62" s="919"/>
      <c r="C62" s="98" t="str">
        <f>CONCATENATE('Reference documents'!B15," :
PPP.PVP.OAT.01.003 Solar Cable Fixing
PPP.PVP.DIN.05 TRENCHES AND WORKS ON CABLES
 CONSTRUCTION TECHNICAL SPECIFICATIONS")</f>
        <v>GRE.EEC.S.21.IT.P.18371.00.127.00 Technical Specification :
PPP.PVP.OAT.01.003 Solar Cable Fixing
PPP.PVP.DIN.05 TRENCHES AND WORKS ON CABLES
 CONSTRUCTION TECHNICAL SPECIFICATIONS</v>
      </c>
      <c r="D62" s="900" t="s">
        <v>428</v>
      </c>
      <c r="E62" s="901" t="s">
        <v>429</v>
      </c>
      <c r="F62" s="902" t="s">
        <v>160</v>
      </c>
      <c r="G62" s="900" t="s">
        <v>345</v>
      </c>
      <c r="H62" s="1101">
        <v>0</v>
      </c>
      <c r="I62" s="1290"/>
      <c r="J62" s="1290"/>
      <c r="K62" s="1297">
        <f t="shared" si="11"/>
        <v>0</v>
      </c>
      <c r="L62" s="1290"/>
      <c r="M62" s="1290"/>
      <c r="N62" s="1297">
        <f t="shared" si="12"/>
        <v>0</v>
      </c>
      <c r="O62" s="1298"/>
      <c r="P62" s="1290"/>
      <c r="Q62" s="1298"/>
      <c r="R62" s="1291">
        <f t="shared" ref="R62" si="16">P62+N62+K62</f>
        <v>0</v>
      </c>
      <c r="S62" s="1292">
        <f t="shared" si="14"/>
        <v>0</v>
      </c>
      <c r="T62" s="935" t="s">
        <v>430</v>
      </c>
    </row>
    <row r="63" spans="2:20" s="431" customFormat="1" ht="18" customHeight="1" x14ac:dyDescent="0.25">
      <c r="B63" s="945"/>
      <c r="C63" s="928"/>
      <c r="D63" s="946" t="s">
        <v>431</v>
      </c>
      <c r="E63" s="928" t="s">
        <v>432</v>
      </c>
      <c r="F63" s="947"/>
      <c r="G63" s="947"/>
      <c r="H63" s="1100"/>
      <c r="I63" s="1100"/>
      <c r="J63" s="1100"/>
      <c r="K63" s="1100"/>
      <c r="L63" s="1100"/>
      <c r="M63" s="1100"/>
      <c r="N63" s="1100"/>
      <c r="O63" s="1100"/>
      <c r="P63" s="1100"/>
      <c r="Q63" s="1100"/>
      <c r="R63" s="947"/>
      <c r="S63" s="1127"/>
      <c r="T63" s="948"/>
    </row>
    <row r="64" spans="2:20" s="431" customFormat="1" ht="55.5" customHeight="1" x14ac:dyDescent="0.25">
      <c r="B64" s="919"/>
      <c r="C64" s="1610" t="str">
        <f>CONCATENATE('Reference documents'!B15," :
PPP.EQP.PVM.03.002 Connectors
PPP.PVP.FPP.01.004.05 DC YX Connector
PPP.PVP.FPP.01.005 DC Fast Connectors
PPP.PVP.DIN.05 TRENCHES AND WORKS ON CABLES
- CONSTRUCTION TECHNICAL SPECIFICATIONS
- VENDOR INSTALLATION PROCEDURE CERTIFICATION")</f>
        <v>GRE.EEC.S.21.IT.P.18371.00.127.00 Technical Specification :
PPP.EQP.PVM.03.002 Connectors
PPP.PVP.FPP.01.004.05 DC YX Connector
PPP.PVP.FPP.01.005 DC Fast Connectors
PPP.PVP.DIN.05 TRENCHES AND WORKS ON CABLES
- CONSTRUCTION TECHNICAL SPECIFICATIONS
- VENDOR INSTALLATION PROCEDURE CERTIFICATION</v>
      </c>
      <c r="D64" s="900" t="s">
        <v>433</v>
      </c>
      <c r="E64" s="901" t="s">
        <v>434</v>
      </c>
      <c r="F64" s="902" t="s">
        <v>160</v>
      </c>
      <c r="G64" s="900" t="s">
        <v>141</v>
      </c>
      <c r="H64" s="1419">
        <v>2279</v>
      </c>
      <c r="I64" s="1290"/>
      <c r="J64" s="1290"/>
      <c r="K64" s="1297">
        <f t="shared" ref="K64:K65" si="17">I64*J64</f>
        <v>0</v>
      </c>
      <c r="L64" s="1290"/>
      <c r="M64" s="1290"/>
      <c r="N64" s="1297">
        <f t="shared" ref="N64:N65" si="18">L64*M64</f>
        <v>0</v>
      </c>
      <c r="O64" s="1298"/>
      <c r="P64" s="1290">
        <v>5.6</v>
      </c>
      <c r="Q64" s="1298"/>
      <c r="R64" s="1291">
        <f t="shared" ref="R64:R65" si="19">P64+N64+K64</f>
        <v>5.6</v>
      </c>
      <c r="S64" s="1292">
        <f t="shared" ref="S64:S65" si="20">IF(F64="na","",H64*R64)</f>
        <v>12762.4</v>
      </c>
      <c r="T64" s="935"/>
    </row>
    <row r="65" spans="2:20" s="431" customFormat="1" ht="54.75" customHeight="1" x14ac:dyDescent="0.25">
      <c r="B65" s="919"/>
      <c r="C65" s="1614"/>
      <c r="D65" s="900" t="s">
        <v>435</v>
      </c>
      <c r="E65" s="901" t="s">
        <v>436</v>
      </c>
      <c r="F65" s="902" t="s">
        <v>160</v>
      </c>
      <c r="G65" s="900" t="s">
        <v>141</v>
      </c>
      <c r="H65" s="1419">
        <v>2279</v>
      </c>
      <c r="I65" s="1290">
        <v>0.11624999999999999</v>
      </c>
      <c r="J65" s="1290">
        <v>40</v>
      </c>
      <c r="K65" s="1297">
        <f t="shared" si="17"/>
        <v>4.6499999999999995</v>
      </c>
      <c r="L65" s="1290">
        <v>1</v>
      </c>
      <c r="M65" s="1290">
        <v>0.15</v>
      </c>
      <c r="N65" s="1297">
        <f t="shared" si="18"/>
        <v>0.15</v>
      </c>
      <c r="O65" s="1298"/>
      <c r="P65" s="1290"/>
      <c r="Q65" s="1298"/>
      <c r="R65" s="1291">
        <f t="shared" si="19"/>
        <v>4.8</v>
      </c>
      <c r="S65" s="1292">
        <f t="shared" si="20"/>
        <v>10939.199999999999</v>
      </c>
      <c r="T65" s="935"/>
    </row>
    <row r="66" spans="2:20" s="431" customFormat="1" ht="18" customHeight="1" x14ac:dyDescent="0.25">
      <c r="B66" s="945"/>
      <c r="C66" s="928"/>
      <c r="D66" s="946"/>
      <c r="E66" s="928" t="s">
        <v>778</v>
      </c>
      <c r="F66" s="947"/>
      <c r="G66" s="947"/>
      <c r="H66" s="1100"/>
      <c r="I66" s="1100"/>
      <c r="J66" s="1100"/>
      <c r="K66" s="1100"/>
      <c r="L66" s="1100"/>
      <c r="M66" s="1100"/>
      <c r="N66" s="1100"/>
      <c r="O66" s="1100"/>
      <c r="P66" s="1100"/>
      <c r="Q66" s="1100"/>
      <c r="R66" s="947"/>
      <c r="S66" s="1127"/>
      <c r="T66" s="948"/>
    </row>
    <row r="67" spans="2:20" s="431" customFormat="1" ht="29.25" customHeight="1" x14ac:dyDescent="0.25">
      <c r="B67" s="919"/>
      <c r="C67" s="98" t="s">
        <v>248</v>
      </c>
      <c r="D67" s="1375" t="s">
        <v>779</v>
      </c>
      <c r="E67" s="1370" t="s">
        <v>780</v>
      </c>
      <c r="F67" s="1376" t="s">
        <v>160</v>
      </c>
      <c r="G67" s="1375" t="s">
        <v>781</v>
      </c>
      <c r="H67" s="1101">
        <v>0</v>
      </c>
      <c r="I67" s="1290"/>
      <c r="J67" s="1290"/>
      <c r="K67" s="1297">
        <f>I67*J67</f>
        <v>0</v>
      </c>
      <c r="L67" s="1290"/>
      <c r="M67" s="1290"/>
      <c r="N67" s="1297">
        <f>L67*M67</f>
        <v>0</v>
      </c>
      <c r="O67" s="1298"/>
      <c r="P67" s="1290"/>
      <c r="Q67" s="1298"/>
      <c r="R67" s="1291">
        <f>P67+N67+K67</f>
        <v>0</v>
      </c>
      <c r="S67" s="1292">
        <f>IF(F67="na","",H67*R67)</f>
        <v>0</v>
      </c>
      <c r="T67" s="935"/>
    </row>
    <row r="68" spans="2:20" s="431" customFormat="1" ht="18" customHeight="1" x14ac:dyDescent="0.25">
      <c r="B68" s="945"/>
      <c r="C68" s="928"/>
      <c r="D68" s="946" t="s">
        <v>437</v>
      </c>
      <c r="E68" s="928" t="s">
        <v>438</v>
      </c>
      <c r="F68" s="947"/>
      <c r="G68" s="947"/>
      <c r="H68" s="1100"/>
      <c r="I68" s="1100"/>
      <c r="J68" s="1100"/>
      <c r="K68" s="1100"/>
      <c r="L68" s="1100"/>
      <c r="M68" s="1100"/>
      <c r="N68" s="1100"/>
      <c r="O68" s="1100"/>
      <c r="P68" s="1100"/>
      <c r="Q68" s="1100"/>
      <c r="R68" s="947"/>
      <c r="S68" s="1127"/>
      <c r="T68" s="948"/>
    </row>
    <row r="69" spans="2:20" s="431" customFormat="1" ht="31.5" customHeight="1" x14ac:dyDescent="0.25">
      <c r="B69" s="919"/>
      <c r="C69" s="1610" t="str">
        <f>CONCATENATE('Reference documents'!B15," :
PPP.PVP.FPP.01.004.01 Cables
PPP.PVP.CBL CABLES
PPP.PVP.CBL.02.001 Power LV DC and AC
PPP.PSS.ENG.02.003 Cable Sizing
PPP.PSS.ENG.02.003.01 LV Cables")</f>
        <v>GRE.EEC.S.21.IT.P.18371.00.127.00 Technical Specification :
PPP.PVP.FPP.01.004.01 Cables
PPP.PVP.CBL CABLES
PPP.PVP.CBL.02.001 Power LV DC and AC
PPP.PSS.ENG.02.003 Cable Sizing
PPP.PSS.ENG.02.003.01 LV Cables</v>
      </c>
      <c r="D69" s="900" t="s">
        <v>439</v>
      </c>
      <c r="E69" s="901" t="s">
        <v>440</v>
      </c>
      <c r="F69" s="902" t="s">
        <v>160</v>
      </c>
      <c r="G69" s="900" t="s">
        <v>345</v>
      </c>
      <c r="H69" s="1101">
        <v>0</v>
      </c>
      <c r="I69" s="1290"/>
      <c r="J69" s="1290"/>
      <c r="K69" s="1297">
        <f t="shared" ref="K69:K74" si="21">I69*J69</f>
        <v>0</v>
      </c>
      <c r="L69" s="1290"/>
      <c r="M69" s="1290"/>
      <c r="N69" s="1297">
        <f t="shared" ref="N69:N74" si="22">L69*M69</f>
        <v>0</v>
      </c>
      <c r="O69" s="1298"/>
      <c r="P69" s="1290"/>
      <c r="Q69" s="1298"/>
      <c r="R69" s="1291">
        <f t="shared" ref="R69:R77" si="23">P69+N69+K69</f>
        <v>0</v>
      </c>
      <c r="S69" s="1292">
        <f t="shared" ref="S69:S74" si="24">IF(F69="na","",H69*R69)</f>
        <v>0</v>
      </c>
      <c r="T69" s="935"/>
    </row>
    <row r="70" spans="2:20" s="431" customFormat="1" ht="23.25" customHeight="1" x14ac:dyDescent="0.25">
      <c r="B70" s="919"/>
      <c r="C70" s="1611"/>
      <c r="D70" s="900" t="s">
        <v>441</v>
      </c>
      <c r="E70" s="901" t="s">
        <v>442</v>
      </c>
      <c r="F70" s="902" t="s">
        <v>160</v>
      </c>
      <c r="G70" s="900" t="s">
        <v>345</v>
      </c>
      <c r="H70" s="1101">
        <v>0</v>
      </c>
      <c r="I70" s="1290"/>
      <c r="J70" s="1290"/>
      <c r="K70" s="1297">
        <f t="shared" si="21"/>
        <v>0</v>
      </c>
      <c r="L70" s="1290"/>
      <c r="M70" s="1290"/>
      <c r="N70" s="1297">
        <f t="shared" si="22"/>
        <v>0</v>
      </c>
      <c r="O70" s="1298"/>
      <c r="P70" s="1290"/>
      <c r="Q70" s="1298"/>
      <c r="R70" s="1291">
        <f t="shared" si="23"/>
        <v>0</v>
      </c>
      <c r="S70" s="1292">
        <f t="shared" si="24"/>
        <v>0</v>
      </c>
      <c r="T70" s="935"/>
    </row>
    <row r="71" spans="2:20" s="431" customFormat="1" ht="24.75" customHeight="1" x14ac:dyDescent="0.25">
      <c r="B71" s="919"/>
      <c r="C71" s="1612"/>
      <c r="D71" s="900" t="s">
        <v>443</v>
      </c>
      <c r="E71" s="901" t="s">
        <v>444</v>
      </c>
      <c r="F71" s="902" t="s">
        <v>160</v>
      </c>
      <c r="G71" s="900" t="s">
        <v>345</v>
      </c>
      <c r="H71" s="1419">
        <v>9000</v>
      </c>
      <c r="I71" s="1290"/>
      <c r="J71" s="1290"/>
      <c r="K71" s="1297">
        <f t="shared" si="21"/>
        <v>0</v>
      </c>
      <c r="L71" s="1290"/>
      <c r="M71" s="1290"/>
      <c r="N71" s="1297">
        <f t="shared" si="22"/>
        <v>0</v>
      </c>
      <c r="O71" s="1298"/>
      <c r="P71" s="1290">
        <v>17.004594338833908</v>
      </c>
      <c r="Q71" s="1298"/>
      <c r="R71" s="1291">
        <f t="shared" si="23"/>
        <v>17.004594338833908</v>
      </c>
      <c r="S71" s="1292">
        <f t="shared" si="24"/>
        <v>153041.34904950517</v>
      </c>
      <c r="T71" s="935"/>
    </row>
    <row r="72" spans="2:20" s="431" customFormat="1" ht="89.25" x14ac:dyDescent="0.25">
      <c r="B72" s="919"/>
      <c r="C72" s="98" t="str">
        <f>CONCATENATE('Reference documents'!B15," :
PPP.PVP.OAT.01.003 Solar Cable Fixing
PPP.PVP.DIN.05 TRENCHES AND WORKS ON CABLES
 CONSTRUCTION TECHNICAL SPECIFICATIONS")</f>
        <v>GRE.EEC.S.21.IT.P.18371.00.127.00 Technical Specification :
PPP.PVP.OAT.01.003 Solar Cable Fixing
PPP.PVP.DIN.05 TRENCHES AND WORKS ON CABLES
 CONSTRUCTION TECHNICAL SPECIFICATIONS</v>
      </c>
      <c r="D72" s="900" t="s">
        <v>445</v>
      </c>
      <c r="E72" s="901" t="s">
        <v>446</v>
      </c>
      <c r="F72" s="902" t="s">
        <v>160</v>
      </c>
      <c r="G72" s="900" t="s">
        <v>345</v>
      </c>
      <c r="H72" s="1419">
        <v>9000</v>
      </c>
      <c r="I72" s="1290">
        <v>0.12705457183718386</v>
      </c>
      <c r="J72" s="1290">
        <v>40</v>
      </c>
      <c r="K72" s="1297">
        <f t="shared" si="21"/>
        <v>5.082182873487354</v>
      </c>
      <c r="L72" s="1290">
        <v>1</v>
      </c>
      <c r="M72" s="1290">
        <v>0.15</v>
      </c>
      <c r="N72" s="1297">
        <f t="shared" si="22"/>
        <v>0.15</v>
      </c>
      <c r="O72" s="1298"/>
      <c r="P72" s="1290"/>
      <c r="Q72" s="1298"/>
      <c r="R72" s="1291">
        <f t="shared" si="23"/>
        <v>5.2321828734873543</v>
      </c>
      <c r="S72" s="1292">
        <f t="shared" si="24"/>
        <v>47089.645861386191</v>
      </c>
      <c r="T72" s="935" t="s">
        <v>447</v>
      </c>
    </row>
    <row r="73" spans="2:20" s="431" customFormat="1" ht="84" customHeight="1" x14ac:dyDescent="0.25">
      <c r="B73" s="919"/>
      <c r="C73" s="98" t="str">
        <f>CONCATENATE('Reference documents'!B15," :
PPP.PVP.FPP.01.004.01 Cables
PPP.PVP.CBL CABLES
PPP.PVP.CBL.02.001 Power LV DC and AC
PPP.PSS.ENG.02.003 Cable Sizing
PPP.PSS.ENG.02.003.01 LV Cables")</f>
        <v>GRE.EEC.S.21.IT.P.18371.00.127.00 Technical Specification :
PPP.PVP.FPP.01.004.01 Cables
PPP.PVP.CBL CABLES
PPP.PVP.CBL.02.001 Power LV DC and AC
PPP.PSS.ENG.02.003 Cable Sizing
PPP.PSS.ENG.02.003.01 LV Cables</v>
      </c>
      <c r="D73" s="900" t="s">
        <v>448</v>
      </c>
      <c r="E73" s="901" t="s">
        <v>449</v>
      </c>
      <c r="F73" s="902" t="s">
        <v>160</v>
      </c>
      <c r="G73" s="900" t="s">
        <v>345</v>
      </c>
      <c r="H73" s="1101">
        <v>0</v>
      </c>
      <c r="I73" s="1290"/>
      <c r="J73" s="1290"/>
      <c r="K73" s="1297">
        <f t="shared" si="21"/>
        <v>0</v>
      </c>
      <c r="L73" s="1290"/>
      <c r="M73" s="1290"/>
      <c r="N73" s="1297">
        <f t="shared" si="22"/>
        <v>0</v>
      </c>
      <c r="O73" s="1298"/>
      <c r="P73" s="1290"/>
      <c r="Q73" s="1298"/>
      <c r="R73" s="1291">
        <f t="shared" si="23"/>
        <v>0</v>
      </c>
      <c r="S73" s="1292">
        <f t="shared" si="24"/>
        <v>0</v>
      </c>
      <c r="T73" s="935" t="s">
        <v>1672</v>
      </c>
    </row>
    <row r="74" spans="2:20" s="431" customFormat="1" ht="89.25" x14ac:dyDescent="0.25">
      <c r="B74" s="919"/>
      <c r="C74" s="98" t="str">
        <f>CONCATENATE('Reference documents'!B15," :
PPP.PVP.OAT.01.003 Solar Cable Fixing
PPP.PVP.DIN.05 TRENCHES AND WORKS ON CABLES
 CONSTRUCTION TECHNICAL SPECIFICATIONS")</f>
        <v>GRE.EEC.S.21.IT.P.18371.00.127.00 Technical Specification :
PPP.PVP.OAT.01.003 Solar Cable Fixing
PPP.PVP.DIN.05 TRENCHES AND WORKS ON CABLES
 CONSTRUCTION TECHNICAL SPECIFICATIONS</v>
      </c>
      <c r="D74" s="900" t="s">
        <v>451</v>
      </c>
      <c r="E74" s="901" t="s">
        <v>452</v>
      </c>
      <c r="F74" s="902" t="s">
        <v>160</v>
      </c>
      <c r="G74" s="900" t="s">
        <v>345</v>
      </c>
      <c r="H74" s="1101">
        <v>0</v>
      </c>
      <c r="I74" s="1290"/>
      <c r="J74" s="1290"/>
      <c r="K74" s="1297">
        <f t="shared" si="21"/>
        <v>0</v>
      </c>
      <c r="L74" s="1290"/>
      <c r="M74" s="1290"/>
      <c r="N74" s="1297">
        <f t="shared" si="22"/>
        <v>0</v>
      </c>
      <c r="O74" s="1298"/>
      <c r="P74" s="1290"/>
      <c r="Q74" s="1298"/>
      <c r="R74" s="1291">
        <f t="shared" si="23"/>
        <v>0</v>
      </c>
      <c r="S74" s="1292">
        <f t="shared" si="24"/>
        <v>0</v>
      </c>
      <c r="T74" s="935"/>
    </row>
    <row r="75" spans="2:20" s="431" customFormat="1" ht="18" customHeight="1" x14ac:dyDescent="0.25">
      <c r="B75" s="945"/>
      <c r="C75" s="928"/>
      <c r="D75" s="946" t="s">
        <v>453</v>
      </c>
      <c r="E75" s="928" t="s">
        <v>454</v>
      </c>
      <c r="F75" s="947"/>
      <c r="G75" s="947"/>
      <c r="H75" s="1100"/>
      <c r="I75" s="1100"/>
      <c r="J75" s="1100"/>
      <c r="K75" s="1100"/>
      <c r="L75" s="1100"/>
      <c r="M75" s="1100"/>
      <c r="N75" s="1100"/>
      <c r="O75" s="1100"/>
      <c r="P75" s="1100"/>
      <c r="Q75" s="1100"/>
      <c r="R75" s="947"/>
      <c r="S75" s="1127"/>
      <c r="T75" s="948"/>
    </row>
    <row r="76" spans="2:20" s="431" customFormat="1" ht="81" customHeight="1" x14ac:dyDescent="0.25">
      <c r="B76" s="919"/>
      <c r="C76" s="98" t="str">
        <f>CONCATENATE('Reference documents'!B15," :
PPP.PVP.CBL.02.004.02 Barrel Connectors for Aluminium Cables
PPP.PVP.WRK.04 ELECTRICAL FIELD BOX ACTIVITIES
Refer to specific auxiliary equipment installation manual")</f>
        <v>GRE.EEC.S.21.IT.P.18371.00.127.00 Technical Specification :
PPP.PVP.CBL.02.004.02 Barrel Connectors for Aluminium Cables
PPP.PVP.WRK.04 ELECTRICAL FIELD BOX ACTIVITIES
Refer to specific auxiliary equipment installation manual</v>
      </c>
      <c r="D76" s="900" t="s">
        <v>455</v>
      </c>
      <c r="E76" s="901" t="s">
        <v>456</v>
      </c>
      <c r="F76" s="902" t="s">
        <v>160</v>
      </c>
      <c r="G76" s="900" t="s">
        <v>141</v>
      </c>
      <c r="H76" s="1101">
        <v>180</v>
      </c>
      <c r="I76" s="1290"/>
      <c r="J76" s="1290"/>
      <c r="K76" s="1297">
        <f t="shared" ref="K76:K77" si="25">I76*J76</f>
        <v>0</v>
      </c>
      <c r="L76" s="1290"/>
      <c r="M76" s="1290"/>
      <c r="N76" s="1297">
        <f t="shared" ref="N76:N77" si="26">L76*M76</f>
        <v>0</v>
      </c>
      <c r="O76" s="1298"/>
      <c r="P76" s="1290">
        <v>32.701142959295964</v>
      </c>
      <c r="Q76" s="1298"/>
      <c r="R76" s="1291">
        <f t="shared" si="23"/>
        <v>32.701142959295964</v>
      </c>
      <c r="S76" s="1292">
        <f t="shared" ref="S76:S77" si="27">IF(F76="na","",H76*R76)</f>
        <v>5886.2057326732738</v>
      </c>
      <c r="T76" s="935" t="s">
        <v>457</v>
      </c>
    </row>
    <row r="77" spans="2:20" s="431" customFormat="1" ht="102" x14ac:dyDescent="0.25">
      <c r="B77" s="919"/>
      <c r="C77" s="98" t="str">
        <f>CONCATENATE('Reference documents'!B15," :
PPP.PVP.CBL CABLES
PPP.PVP.CBL.02.002 Auxiliary Cables
- CONSTRUCTION TECHNICAL SPECIFICATIONS
- VENDOR INSTALLATION PROCEDURE SPECIFICATIONS")</f>
        <v>GRE.EEC.S.21.IT.P.18371.00.127.00 Technical Specification :
PPP.PVP.CBL CABLES
PPP.PVP.CBL.02.002 Auxiliary Cables
- CONSTRUCTION TECHNICAL SPECIFICATIONS
- VENDOR INSTALLATION PROCEDURE SPECIFICATIONS</v>
      </c>
      <c r="D77" s="900" t="s">
        <v>458</v>
      </c>
      <c r="E77" s="901" t="s">
        <v>459</v>
      </c>
      <c r="F77" s="902" t="s">
        <v>160</v>
      </c>
      <c r="G77" s="900" t="s">
        <v>141</v>
      </c>
      <c r="H77" s="1101">
        <v>180</v>
      </c>
      <c r="I77" s="1290">
        <v>0.48186771586908739</v>
      </c>
      <c r="J77" s="1290">
        <v>40</v>
      </c>
      <c r="K77" s="1297">
        <f t="shared" si="25"/>
        <v>19.274708634763495</v>
      </c>
      <c r="L77" s="1290">
        <v>1</v>
      </c>
      <c r="M77" s="1290">
        <v>1</v>
      </c>
      <c r="N77" s="1297">
        <f t="shared" si="26"/>
        <v>1</v>
      </c>
      <c r="O77" s="1298"/>
      <c r="P77" s="1290"/>
      <c r="Q77" s="1298"/>
      <c r="R77" s="1291">
        <f t="shared" si="23"/>
        <v>20.274708634763495</v>
      </c>
      <c r="S77" s="1292">
        <f t="shared" si="27"/>
        <v>3649.4475542574291</v>
      </c>
      <c r="T77" s="935"/>
    </row>
    <row r="78" spans="2:20" s="431" customFormat="1" ht="18" customHeight="1" x14ac:dyDescent="0.25">
      <c r="B78" s="945"/>
      <c r="C78" s="928"/>
      <c r="D78" s="946"/>
      <c r="E78" s="928" t="s">
        <v>783</v>
      </c>
      <c r="F78" s="947"/>
      <c r="G78" s="947"/>
      <c r="H78" s="1100"/>
      <c r="I78" s="1100"/>
      <c r="J78" s="1100"/>
      <c r="K78" s="1100"/>
      <c r="L78" s="1100"/>
      <c r="M78" s="1100"/>
      <c r="N78" s="1100"/>
      <c r="O78" s="1100"/>
      <c r="P78" s="1100"/>
      <c r="Q78" s="1100"/>
      <c r="R78" s="947"/>
      <c r="S78" s="1127"/>
      <c r="T78" s="948"/>
    </row>
    <row r="79" spans="2:20" s="431" customFormat="1" ht="25.5" x14ac:dyDescent="0.25">
      <c r="B79" s="919"/>
      <c r="C79" s="1244" t="s">
        <v>248</v>
      </c>
      <c r="D79" s="1375" t="s">
        <v>784</v>
      </c>
      <c r="E79" s="1370" t="s">
        <v>785</v>
      </c>
      <c r="F79" s="1376" t="s">
        <v>160</v>
      </c>
      <c r="G79" s="1375" t="s">
        <v>786</v>
      </c>
      <c r="H79" s="1101">
        <v>0</v>
      </c>
      <c r="I79" s="1290"/>
      <c r="J79" s="1290"/>
      <c r="K79" s="1297">
        <f>I79*J79</f>
        <v>0</v>
      </c>
      <c r="L79" s="1290"/>
      <c r="M79" s="1290"/>
      <c r="N79" s="1297">
        <f>L79*M79</f>
        <v>0</v>
      </c>
      <c r="O79" s="1298"/>
      <c r="P79" s="1290"/>
      <c r="Q79" s="1298"/>
      <c r="R79" s="1291">
        <f>P79+N79+K79</f>
        <v>0</v>
      </c>
      <c r="S79" s="1292">
        <f>IF(F79="na","",H79*R79)</f>
        <v>0</v>
      </c>
      <c r="T79" s="935"/>
    </row>
    <row r="80" spans="2:20" s="431" customFormat="1" ht="18" customHeight="1" x14ac:dyDescent="0.25">
      <c r="B80" s="945"/>
      <c r="C80" s="928"/>
      <c r="D80" s="946" t="s">
        <v>460</v>
      </c>
      <c r="E80" s="928" t="s">
        <v>461</v>
      </c>
      <c r="F80" s="947"/>
      <c r="G80" s="947"/>
      <c r="H80" s="1100"/>
      <c r="I80" s="1100"/>
      <c r="J80" s="1100"/>
      <c r="K80" s="1100"/>
      <c r="L80" s="1100"/>
      <c r="M80" s="1100"/>
      <c r="N80" s="1100"/>
      <c r="O80" s="1100"/>
      <c r="P80" s="1100"/>
      <c r="Q80" s="1100"/>
      <c r="R80" s="947"/>
      <c r="S80" s="1127"/>
      <c r="T80" s="948"/>
    </row>
    <row r="81" spans="2:20" s="431" customFormat="1" ht="73.5" customHeight="1" x14ac:dyDescent="0.25">
      <c r="B81" s="919"/>
      <c r="C81" s="98" t="str">
        <f>CONCATENATE('Reference documents'!B15," :
PPP.PVP.CBL.02.004.02 Barrel Connectors for Aluminium Cables
PPP.PVP.WRK.04 ELECTRICAL FIELD BOX ACTIVITIES
Refer to specific auxiliary equipment installation manual")</f>
        <v>GRE.EEC.S.21.IT.P.18371.00.127.00 Technical Specification :
PPP.PVP.CBL.02.004.02 Barrel Connectors for Aluminium Cables
PPP.PVP.WRK.04 ELECTRICAL FIELD BOX ACTIVITIES
Refer to specific auxiliary equipment installation manual</v>
      </c>
      <c r="D81" s="900" t="s">
        <v>462</v>
      </c>
      <c r="E81" s="901" t="s">
        <v>463</v>
      </c>
      <c r="F81" s="902" t="s">
        <v>160</v>
      </c>
      <c r="G81" s="900" t="s">
        <v>464</v>
      </c>
      <c r="H81" s="1101">
        <v>1</v>
      </c>
      <c r="I81" s="1290"/>
      <c r="J81" s="1290"/>
      <c r="K81" s="1297">
        <f t="shared" ref="K81:K82" si="28">I81*J81</f>
        <v>0</v>
      </c>
      <c r="L81" s="1290"/>
      <c r="M81" s="1290"/>
      <c r="N81" s="1297">
        <f t="shared" ref="N81:N82" si="29">L81*M81</f>
        <v>0</v>
      </c>
      <c r="O81" s="1298"/>
      <c r="P81" s="1290">
        <v>2616.0914367436771</v>
      </c>
      <c r="Q81" s="1298"/>
      <c r="R81" s="1291">
        <f t="shared" ref="R81:R82" si="30">P81+N81+K81</f>
        <v>2616.0914367436771</v>
      </c>
      <c r="S81" s="1292">
        <f>IF(F81="na","",H81*R81)</f>
        <v>2616.0914367436771</v>
      </c>
      <c r="T81" s="935"/>
    </row>
    <row r="82" spans="2:20" s="431" customFormat="1" ht="102" x14ac:dyDescent="0.25">
      <c r="B82" s="919"/>
      <c r="C82" s="98" t="str">
        <f>CONCATENATE('Reference documents'!B15," :
PPP.PVP.CBL CABLES
PPP.PVP.CBL.02.002 Auxiliary Cables
- CONSTRUCTION TECHNICAL SPECIFICATIONS
- VENDOR INSTALLATION PROCEDURE SPECIFICATIONS")</f>
        <v>GRE.EEC.S.21.IT.P.18371.00.127.00 Technical Specification :
PPP.PVP.CBL CABLES
PPP.PVP.CBL.02.002 Auxiliary Cables
- CONSTRUCTION TECHNICAL SPECIFICATIONS
- VENDOR INSTALLATION PROCEDURE SPECIFICATIONS</v>
      </c>
      <c r="D82" s="900" t="s">
        <v>465</v>
      </c>
      <c r="E82" s="901" t="s">
        <v>466</v>
      </c>
      <c r="F82" s="902" t="s">
        <v>160</v>
      </c>
      <c r="G82" s="900" t="s">
        <v>464</v>
      </c>
      <c r="H82" s="1101">
        <v>1</v>
      </c>
      <c r="I82" s="1290">
        <v>179.8562862761278</v>
      </c>
      <c r="J82" s="1290">
        <v>40</v>
      </c>
      <c r="K82" s="1297">
        <f t="shared" si="28"/>
        <v>7194.2514510451119</v>
      </c>
      <c r="L82" s="1290"/>
      <c r="M82" s="1290"/>
      <c r="N82" s="1297">
        <f t="shared" si="29"/>
        <v>0</v>
      </c>
      <c r="O82" s="1298"/>
      <c r="P82" s="1290"/>
      <c r="Q82" s="1298"/>
      <c r="R82" s="1291">
        <f t="shared" si="30"/>
        <v>7194.2514510451119</v>
      </c>
      <c r="S82" s="1292">
        <f t="shared" ref="S82" si="31">IF(F82="na","",H82*R82)</f>
        <v>7194.2514510451119</v>
      </c>
      <c r="T82" s="935"/>
    </row>
    <row r="83" spans="2:20" s="431" customFormat="1" ht="18" customHeight="1" x14ac:dyDescent="0.25">
      <c r="B83" s="945"/>
      <c r="C83" s="928"/>
      <c r="D83" s="946" t="s">
        <v>467</v>
      </c>
      <c r="E83" s="928" t="s">
        <v>468</v>
      </c>
      <c r="F83" s="947"/>
      <c r="G83" s="947"/>
      <c r="H83" s="1100"/>
      <c r="I83" s="1100"/>
      <c r="J83" s="1100"/>
      <c r="K83" s="1100"/>
      <c r="L83" s="1100"/>
      <c r="M83" s="1100"/>
      <c r="N83" s="1100"/>
      <c r="O83" s="1100"/>
      <c r="P83" s="1100"/>
      <c r="Q83" s="1100"/>
      <c r="R83" s="947"/>
      <c r="S83" s="1127"/>
      <c r="T83" s="948"/>
    </row>
    <row r="84" spans="2:20" s="431" customFormat="1" ht="51" x14ac:dyDescent="0.25">
      <c r="B84" s="919"/>
      <c r="C84" s="98" t="str">
        <f>CONCATENATE('Reference documents'!B15," :
PPP.PVP.CBL CABLES
PPP.PVP.CBL.02.002 Auxiliary Cables")</f>
        <v>GRE.EEC.S.21.IT.P.18371.00.127.00 Technical Specification :
PPP.PVP.CBL CABLES
PPP.PVP.CBL.02.002 Auxiliary Cables</v>
      </c>
      <c r="D84" s="900" t="s">
        <v>469</v>
      </c>
      <c r="E84" s="901" t="s">
        <v>470</v>
      </c>
      <c r="F84" s="902" t="s">
        <v>160</v>
      </c>
      <c r="G84" s="900" t="s">
        <v>464</v>
      </c>
      <c r="H84" s="1101">
        <v>1</v>
      </c>
      <c r="I84" s="1290"/>
      <c r="J84" s="1290"/>
      <c r="K84" s="1297">
        <f t="shared" ref="K84:K85" si="32">I84*J84</f>
        <v>0</v>
      </c>
      <c r="L84" s="1290"/>
      <c r="M84" s="1290"/>
      <c r="N84" s="1297">
        <f t="shared" ref="N84:N85" si="33">L84*M84</f>
        <v>0</v>
      </c>
      <c r="O84" s="1298"/>
      <c r="P84" s="1290">
        <v>654.02285918591929</v>
      </c>
      <c r="Q84" s="1298"/>
      <c r="R84" s="1291">
        <f t="shared" ref="R84:R85" si="34">P84+N84+K84</f>
        <v>654.02285918591929</v>
      </c>
      <c r="S84" s="1292">
        <f t="shared" ref="S84:S85" si="35">IF(F84="na","",H84*R84)</f>
        <v>654.02285918591929</v>
      </c>
      <c r="T84" s="935"/>
    </row>
    <row r="85" spans="2:20" s="431" customFormat="1" ht="102" x14ac:dyDescent="0.25">
      <c r="B85" s="919"/>
      <c r="C85" s="98" t="str">
        <f>CONCATENATE('Reference documents'!B15," 
PPP.PVP.CBL CABLES
PPP.PVP.CBL.02.002 Auxiliary Cables
- CONSTRUCTION TECHNICAL SPECIFICATIONS
- VENDOR INSTALLATION PROCEDURE SPECIFICATIONS")</f>
        <v>GRE.EEC.S.21.IT.P.18371.00.127.00 Technical Specification 
PPP.PVP.CBL CABLES
PPP.PVP.CBL.02.002 Auxiliary Cables
- CONSTRUCTION TECHNICAL SPECIFICATIONS
- VENDOR INSTALLATION PROCEDURE SPECIFICATIONS</v>
      </c>
      <c r="D85" s="900" t="s">
        <v>471</v>
      </c>
      <c r="E85" s="901" t="s">
        <v>472</v>
      </c>
      <c r="F85" s="902" t="s">
        <v>160</v>
      </c>
      <c r="G85" s="900" t="s">
        <v>464</v>
      </c>
      <c r="H85" s="1101">
        <v>1</v>
      </c>
      <c r="I85" s="1290">
        <v>17.674967769499467</v>
      </c>
      <c r="J85" s="1290">
        <v>40</v>
      </c>
      <c r="K85" s="1297">
        <f t="shared" si="32"/>
        <v>706.99871077997864</v>
      </c>
      <c r="L85" s="1290"/>
      <c r="M85" s="1290"/>
      <c r="N85" s="1297">
        <f t="shared" si="33"/>
        <v>0</v>
      </c>
      <c r="O85" s="1298"/>
      <c r="P85" s="1290"/>
      <c r="Q85" s="1298"/>
      <c r="R85" s="1291">
        <f t="shared" si="34"/>
        <v>706.99871077997864</v>
      </c>
      <c r="S85" s="1292">
        <f t="shared" si="35"/>
        <v>706.99871077997864</v>
      </c>
      <c r="T85" s="935"/>
    </row>
    <row r="86" spans="2:20" s="431" customFormat="1" ht="18" customHeight="1" x14ac:dyDescent="0.25">
      <c r="B86" s="945"/>
      <c r="C86" s="928"/>
      <c r="D86" s="946"/>
      <c r="E86" s="928" t="s">
        <v>787</v>
      </c>
      <c r="F86" s="947"/>
      <c r="G86" s="947"/>
      <c r="H86" s="1100"/>
      <c r="I86" s="1100"/>
      <c r="J86" s="1100"/>
      <c r="K86" s="1100"/>
      <c r="L86" s="1100"/>
      <c r="M86" s="1100"/>
      <c r="N86" s="1100"/>
      <c r="O86" s="1100"/>
      <c r="P86" s="1100"/>
      <c r="Q86" s="1100"/>
      <c r="R86" s="947"/>
      <c r="S86" s="1127"/>
      <c r="T86" s="948"/>
    </row>
    <row r="87" spans="2:20" s="431" customFormat="1" ht="76.5" x14ac:dyDescent="0.25">
      <c r="B87" s="919"/>
      <c r="C87" s="98" t="str">
        <f>CONCATENATE('Reference documents'!B15," :
PPP.PVP.CBL.01.001 AC Cables (sub-section named tests)
EGP.EEC.S.45.XX.P.00000.00.021.12 GRE.EEC.Q.45.XX.P.00000.00.078.04")</f>
        <v>GRE.EEC.S.21.IT.P.18371.00.127.00 Technical Specification :
PPP.PVP.CBL.01.001 AC Cables (sub-section named tests)
EGP.EEC.S.45.XX.P.00000.00.021.12 GRE.EEC.Q.45.XX.P.00000.00.078.04</v>
      </c>
      <c r="D87" s="1375" t="s">
        <v>788</v>
      </c>
      <c r="E87" s="1370" t="s">
        <v>789</v>
      </c>
      <c r="F87" s="1376" t="s">
        <v>160</v>
      </c>
      <c r="G87" s="1375" t="s">
        <v>786</v>
      </c>
      <c r="H87" s="1101">
        <v>0</v>
      </c>
      <c r="I87" s="1290"/>
      <c r="J87" s="1290"/>
      <c r="K87" s="1297">
        <f>I87*J87</f>
        <v>0</v>
      </c>
      <c r="L87" s="1290"/>
      <c r="M87" s="1290"/>
      <c r="N87" s="1297">
        <f>L87*M87</f>
        <v>0</v>
      </c>
      <c r="O87" s="1298"/>
      <c r="P87" s="1290"/>
      <c r="Q87" s="1298"/>
      <c r="R87" s="1291">
        <f>P87+N87+K87</f>
        <v>0</v>
      </c>
      <c r="S87" s="1292">
        <f>IF(F87="na","",H87*R87)</f>
        <v>0</v>
      </c>
      <c r="T87" s="935"/>
    </row>
    <row r="88" spans="2:20" ht="15" customHeight="1" x14ac:dyDescent="0.25">
      <c r="B88" s="1608" t="s">
        <v>790</v>
      </c>
      <c r="C88" s="1608"/>
      <c r="D88" s="1608"/>
      <c r="E88" s="1608"/>
      <c r="F88" s="1609" t="s">
        <v>154</v>
      </c>
      <c r="G88" s="1609"/>
      <c r="H88" s="1609"/>
      <c r="I88" s="1609"/>
      <c r="J88" s="1609"/>
      <c r="K88" s="1609"/>
      <c r="L88" s="1609"/>
      <c r="M88" s="1609"/>
      <c r="N88" s="1609"/>
      <c r="O88" s="1609"/>
      <c r="P88" s="1609"/>
      <c r="Q88" s="1609"/>
      <c r="R88" s="1609"/>
      <c r="S88" s="863">
        <f>SUMIFS(S94:S114,F94:F114,"Mandatory",E94:E114,"=*Supply")</f>
        <v>7725.3180127040778</v>
      </c>
      <c r="T88" s="1221"/>
    </row>
    <row r="89" spans="2:20" ht="15" customHeight="1" x14ac:dyDescent="0.25">
      <c r="B89" s="1608"/>
      <c r="C89" s="1608"/>
      <c r="D89" s="1608"/>
      <c r="E89" s="1608"/>
      <c r="F89" s="1609" t="s">
        <v>156</v>
      </c>
      <c r="G89" s="1609"/>
      <c r="H89" s="1609"/>
      <c r="I89" s="1609"/>
      <c r="J89" s="1609"/>
      <c r="K89" s="1609"/>
      <c r="L89" s="1609"/>
      <c r="M89" s="1609"/>
      <c r="N89" s="1609"/>
      <c r="O89" s="1609"/>
      <c r="P89" s="1609"/>
      <c r="Q89" s="1609"/>
      <c r="R89" s="1609"/>
      <c r="S89" s="863">
        <f>SUMIFS(S94:S114,F94:F114,"Optional",E94:E114,"=*Supply")</f>
        <v>0</v>
      </c>
      <c r="T89" s="1221"/>
    </row>
    <row r="90" spans="2:20" ht="15" customHeight="1" x14ac:dyDescent="0.25">
      <c r="B90" s="1608" t="s">
        <v>791</v>
      </c>
      <c r="C90" s="1608"/>
      <c r="D90" s="1608"/>
      <c r="E90" s="1608"/>
      <c r="F90" s="1609" t="s">
        <v>154</v>
      </c>
      <c r="G90" s="1609"/>
      <c r="H90" s="1609"/>
      <c r="I90" s="1609"/>
      <c r="J90" s="1609"/>
      <c r="K90" s="1609"/>
      <c r="L90" s="1609"/>
      <c r="M90" s="1609"/>
      <c r="N90" s="1609"/>
      <c r="O90" s="1609"/>
      <c r="P90" s="1609"/>
      <c r="Q90" s="1609"/>
      <c r="R90" s="1609"/>
      <c r="S90" s="863">
        <f>SUMIFS(S94:S114,F94:F114,"Mandatory",E94:E114,"=*Installation*")</f>
        <v>15052.990127023118</v>
      </c>
      <c r="T90" s="1221"/>
    </row>
    <row r="91" spans="2:20" ht="15" customHeight="1" x14ac:dyDescent="0.25">
      <c r="B91" s="1608"/>
      <c r="C91" s="1608"/>
      <c r="D91" s="1608"/>
      <c r="E91" s="1608"/>
      <c r="F91" s="1609" t="s">
        <v>156</v>
      </c>
      <c r="G91" s="1609"/>
      <c r="H91" s="1609"/>
      <c r="I91" s="1609"/>
      <c r="J91" s="1609"/>
      <c r="K91" s="1609"/>
      <c r="L91" s="1609"/>
      <c r="M91" s="1609"/>
      <c r="N91" s="1609"/>
      <c r="O91" s="1609"/>
      <c r="P91" s="1609"/>
      <c r="Q91" s="1609"/>
      <c r="R91" s="1609"/>
      <c r="S91" s="863">
        <f>SUMIFS(S94:S114,F94:F114,"Optional",E94:E114,"=*Installation*")</f>
        <v>0</v>
      </c>
      <c r="T91" s="1221"/>
    </row>
    <row r="92" spans="2:20" ht="15" customHeight="1" x14ac:dyDescent="0.25">
      <c r="B92" s="1608" t="s">
        <v>792</v>
      </c>
      <c r="C92" s="1608"/>
      <c r="D92" s="1608"/>
      <c r="E92" s="1608"/>
      <c r="F92" s="1609" t="s">
        <v>154</v>
      </c>
      <c r="G92" s="1609"/>
      <c r="H92" s="1609"/>
      <c r="I92" s="1609"/>
      <c r="J92" s="1609"/>
      <c r="K92" s="1609"/>
      <c r="L92" s="1609"/>
      <c r="M92" s="1609"/>
      <c r="N92" s="1609"/>
      <c r="O92" s="1609"/>
      <c r="P92" s="1609"/>
      <c r="Q92" s="1609"/>
      <c r="R92" s="1609"/>
      <c r="S92" s="863">
        <f>SUMIFS(S94:S114,F94:F114,"Mandatory",E94:E114,"=*Test")</f>
        <v>0</v>
      </c>
      <c r="T92" s="1221"/>
    </row>
    <row r="93" spans="2:20" ht="15" customHeight="1" x14ac:dyDescent="0.25">
      <c r="B93" s="1608"/>
      <c r="C93" s="1608"/>
      <c r="D93" s="1608"/>
      <c r="E93" s="1608"/>
      <c r="F93" s="1609" t="s">
        <v>156</v>
      </c>
      <c r="G93" s="1609"/>
      <c r="H93" s="1609"/>
      <c r="I93" s="1609"/>
      <c r="J93" s="1609"/>
      <c r="K93" s="1609"/>
      <c r="L93" s="1609"/>
      <c r="M93" s="1609"/>
      <c r="N93" s="1609"/>
      <c r="O93" s="1609"/>
      <c r="P93" s="1609"/>
      <c r="Q93" s="1609"/>
      <c r="R93" s="1609"/>
      <c r="S93" s="863">
        <f>SUMIFS(S94:S114,F94:F114,"Optional",E94:E114,"=*Test")</f>
        <v>0</v>
      </c>
      <c r="T93" s="1221"/>
    </row>
    <row r="94" spans="2:20" s="431" customFormat="1" ht="18" customHeight="1" x14ac:dyDescent="0.25">
      <c r="B94" s="945"/>
      <c r="C94" s="928"/>
      <c r="D94" s="946" t="s">
        <v>474</v>
      </c>
      <c r="E94" s="928" t="s">
        <v>475</v>
      </c>
      <c r="F94" s="947"/>
      <c r="G94" s="947"/>
      <c r="H94" s="1100"/>
      <c r="I94" s="1100"/>
      <c r="J94" s="1100"/>
      <c r="K94" s="1100"/>
      <c r="L94" s="1100"/>
      <c r="M94" s="1100"/>
      <c r="N94" s="1100"/>
      <c r="O94" s="1100"/>
      <c r="P94" s="1100"/>
      <c r="Q94" s="1100"/>
      <c r="R94" s="947"/>
      <c r="S94" s="1127"/>
      <c r="T94" s="948"/>
    </row>
    <row r="95" spans="2:20" s="431" customFormat="1" ht="51" x14ac:dyDescent="0.25">
      <c r="B95" s="919"/>
      <c r="C95" s="98" t="str">
        <f>CONCATENATE('Reference documents'!B15," :
PPP.PVP.CBL.03 SIGNAL-DATA CABLE (with all sub-sections)")</f>
        <v>GRE.EEC.S.21.IT.P.18371.00.127.00 Technical Specification :
PPP.PVP.CBL.03 SIGNAL-DATA CABLE (with all sub-sections)</v>
      </c>
      <c r="D95" s="900" t="s">
        <v>476</v>
      </c>
      <c r="E95" s="901" t="s">
        <v>477</v>
      </c>
      <c r="F95" s="902" t="s">
        <v>160</v>
      </c>
      <c r="G95" s="900" t="s">
        <v>345</v>
      </c>
      <c r="H95" s="1101">
        <v>50</v>
      </c>
      <c r="I95" s="1290"/>
      <c r="J95" s="1290"/>
      <c r="K95" s="1297">
        <f t="shared" ref="K95:K99" si="36">I95*J95</f>
        <v>0</v>
      </c>
      <c r="L95" s="1290"/>
      <c r="M95" s="1290"/>
      <c r="N95" s="1297">
        <f t="shared" ref="N95:N99" si="37">L95*M95</f>
        <v>0</v>
      </c>
      <c r="O95" s="1298"/>
      <c r="P95" s="1290">
        <v>7.8482743102310328</v>
      </c>
      <c r="Q95" s="1298"/>
      <c r="R95" s="1291">
        <f t="shared" ref="R95:R106" si="38">P95+N95+K95</f>
        <v>7.8482743102310328</v>
      </c>
      <c r="S95" s="1292">
        <f>IF(F95="na","",H95*R95)</f>
        <v>392.41371551155163</v>
      </c>
      <c r="T95" s="935"/>
    </row>
    <row r="96" spans="2:20" s="431" customFormat="1" ht="102" x14ac:dyDescent="0.25">
      <c r="B96" s="919"/>
      <c r="C96" s="98" t="str">
        <f>CONCATENATE('Reference documents'!B15," :
PPP.PVP.CBL.03 SIGNAL-DATA CABLE (with all sub-sections)
- CONSTRUCTION TECHNICAL SPECIFICATIONS
- VENDOR INSTALLATION PROCEDURE SPECIFICATIONS")</f>
        <v>GRE.EEC.S.21.IT.P.18371.00.127.00 Technical Specification :
PPP.PVP.CBL.03 SIGNAL-DATA CABLE (with all sub-sections)
- CONSTRUCTION TECHNICAL SPECIFICATIONS
- VENDOR INSTALLATION PROCEDURE SPECIFICATIONS</v>
      </c>
      <c r="D96" s="900" t="s">
        <v>478</v>
      </c>
      <c r="E96" s="901" t="s">
        <v>479</v>
      </c>
      <c r="F96" s="902" t="s">
        <v>160</v>
      </c>
      <c r="G96" s="900" t="s">
        <v>345</v>
      </c>
      <c r="H96" s="1101">
        <v>50</v>
      </c>
      <c r="I96" s="1290">
        <v>0.13055457183718386</v>
      </c>
      <c r="J96" s="1290">
        <v>40</v>
      </c>
      <c r="K96" s="1297">
        <f t="shared" si="36"/>
        <v>5.2221828734873545</v>
      </c>
      <c r="L96" s="1290">
        <v>1</v>
      </c>
      <c r="M96" s="1290">
        <v>0.01</v>
      </c>
      <c r="N96" s="1297">
        <f t="shared" si="37"/>
        <v>0.01</v>
      </c>
      <c r="O96" s="1298"/>
      <c r="P96" s="1290"/>
      <c r="Q96" s="1298"/>
      <c r="R96" s="1291">
        <f t="shared" si="38"/>
        <v>5.2321828734873543</v>
      </c>
      <c r="S96" s="1292">
        <f t="shared" ref="S96:S99" si="39">IF(F96="na","",H96*R96)</f>
        <v>261.60914367436771</v>
      </c>
      <c r="T96" s="935"/>
    </row>
    <row r="97" spans="2:20" s="431" customFormat="1" ht="51" x14ac:dyDescent="0.25">
      <c r="B97" s="919"/>
      <c r="C97" s="98" t="str">
        <f>CONCATENATE('Reference documents'!B15," :
PPP.PVP.CBL.03 SIGNAL-DATA CABLE (with all sub-sections)")</f>
        <v>GRE.EEC.S.21.IT.P.18371.00.127.00 Technical Specification :
PPP.PVP.CBL.03 SIGNAL-DATA CABLE (with all sub-sections)</v>
      </c>
      <c r="D97" s="900" t="s">
        <v>480</v>
      </c>
      <c r="E97" s="901" t="s">
        <v>481</v>
      </c>
      <c r="F97" s="902" t="s">
        <v>160</v>
      </c>
      <c r="G97" s="900" t="s">
        <v>345</v>
      </c>
      <c r="H97" s="1101">
        <v>970</v>
      </c>
      <c r="I97" s="1290"/>
      <c r="J97" s="1290"/>
      <c r="K97" s="1297">
        <f t="shared" si="36"/>
        <v>0</v>
      </c>
      <c r="L97" s="1290"/>
      <c r="M97" s="1290"/>
      <c r="N97" s="1297">
        <f t="shared" si="37"/>
        <v>0</v>
      </c>
      <c r="O97" s="1298"/>
      <c r="P97" s="1290">
        <v>6.5402285918591927</v>
      </c>
      <c r="Q97" s="1298"/>
      <c r="R97" s="1291">
        <f t="shared" si="38"/>
        <v>6.5402285918591927</v>
      </c>
      <c r="S97" s="1292">
        <f t="shared" si="39"/>
        <v>6344.0217341034167</v>
      </c>
      <c r="T97" s="935"/>
    </row>
    <row r="98" spans="2:20" s="431" customFormat="1" ht="51" x14ac:dyDescent="0.25">
      <c r="B98" s="919"/>
      <c r="C98" s="98" t="str">
        <f>CONCATENATE('Reference documents'!B15," :
PPP.PVP.CBL.03 SIGNAL-DATA CABLE (with all sub-sections)")</f>
        <v>GRE.EEC.S.21.IT.P.18371.00.127.00 Technical Specification :
PPP.PVP.CBL.03 SIGNAL-DATA CABLE (with all sub-sections)</v>
      </c>
      <c r="D98" s="900" t="s">
        <v>482</v>
      </c>
      <c r="E98" s="901" t="s">
        <v>483</v>
      </c>
      <c r="F98" s="902" t="s">
        <v>160</v>
      </c>
      <c r="G98" s="900" t="s">
        <v>345</v>
      </c>
      <c r="H98" s="1101">
        <v>0</v>
      </c>
      <c r="I98" s="1290"/>
      <c r="J98" s="1290"/>
      <c r="K98" s="1297">
        <f t="shared" si="36"/>
        <v>0</v>
      </c>
      <c r="L98" s="1290"/>
      <c r="M98" s="1290"/>
      <c r="N98" s="1297">
        <f t="shared" si="37"/>
        <v>0</v>
      </c>
      <c r="O98" s="1298"/>
      <c r="P98" s="1290"/>
      <c r="Q98" s="1298"/>
      <c r="R98" s="1291">
        <f t="shared" si="38"/>
        <v>0</v>
      </c>
      <c r="S98" s="1292">
        <f t="shared" si="39"/>
        <v>0</v>
      </c>
      <c r="T98" s="935"/>
    </row>
    <row r="99" spans="2:20" s="431" customFormat="1" ht="102" x14ac:dyDescent="0.25">
      <c r="B99" s="919"/>
      <c r="C99" s="98" t="str">
        <f>CONCATENATE('Reference documents'!B15," :
PPP.PVP.CBL.03 SIGNAL-DATA CABLE (with all sub-sections)
- CONSTRUCTION TECHNICAL SPECIFICATIONS
- VENDOR INSTALLATION PROCEDURE SPECIFICATIONS")</f>
        <v>GRE.EEC.S.21.IT.P.18371.00.127.00 Technical Specification :
PPP.PVP.CBL.03 SIGNAL-DATA CABLE (with all sub-sections)
- CONSTRUCTION TECHNICAL SPECIFICATIONS
- VENDOR INSTALLATION PROCEDURE SPECIFICATIONS</v>
      </c>
      <c r="D99" s="900" t="s">
        <v>484</v>
      </c>
      <c r="E99" s="901" t="s">
        <v>485</v>
      </c>
      <c r="F99" s="902" t="s">
        <v>160</v>
      </c>
      <c r="G99" s="900" t="s">
        <v>345</v>
      </c>
      <c r="H99" s="1101">
        <v>970</v>
      </c>
      <c r="I99" s="1290">
        <v>0.32601142959295965</v>
      </c>
      <c r="J99" s="1290">
        <v>40</v>
      </c>
      <c r="K99" s="1297">
        <f t="shared" si="36"/>
        <v>13.040457183718386</v>
      </c>
      <c r="L99" s="1290">
        <v>1</v>
      </c>
      <c r="M99" s="1290">
        <v>0.04</v>
      </c>
      <c r="N99" s="1297">
        <f t="shared" si="37"/>
        <v>0.04</v>
      </c>
      <c r="O99" s="1298"/>
      <c r="P99" s="1290"/>
      <c r="Q99" s="1298"/>
      <c r="R99" s="1291">
        <f t="shared" si="38"/>
        <v>13.080457183718385</v>
      </c>
      <c r="S99" s="1292">
        <f t="shared" si="39"/>
        <v>12688.043468206833</v>
      </c>
      <c r="T99" s="935"/>
    </row>
    <row r="100" spans="2:20" s="431" customFormat="1" ht="18" customHeight="1" x14ac:dyDescent="0.25">
      <c r="B100" s="945"/>
      <c r="C100" s="928"/>
      <c r="D100" s="946" t="s">
        <v>486</v>
      </c>
      <c r="E100" s="928" t="s">
        <v>487</v>
      </c>
      <c r="F100" s="947"/>
      <c r="G100" s="947"/>
      <c r="H100" s="1100"/>
      <c r="I100" s="1100"/>
      <c r="J100" s="1100"/>
      <c r="K100" s="1100"/>
      <c r="L100" s="1100"/>
      <c r="M100" s="1100"/>
      <c r="N100" s="1100"/>
      <c r="O100" s="1100"/>
      <c r="P100" s="1100"/>
      <c r="Q100" s="1100"/>
      <c r="R100" s="947"/>
      <c r="S100" s="1127"/>
      <c r="T100" s="948"/>
    </row>
    <row r="101" spans="2:20" s="431" customFormat="1" ht="51" x14ac:dyDescent="0.25">
      <c r="B101" s="919"/>
      <c r="C101" s="98" t="str">
        <f>CONCATENATE('Reference documents'!B15," :
PPP.PVP.CBL.03 SIGNAL-DATA CABLE (with all sub-sections)")</f>
        <v>GRE.EEC.S.21.IT.P.18371.00.127.00 Technical Specification :
PPP.PVP.CBL.03 SIGNAL-DATA CABLE (with all sub-sections)</v>
      </c>
      <c r="D101" s="900" t="s">
        <v>488</v>
      </c>
      <c r="E101" s="901" t="s">
        <v>489</v>
      </c>
      <c r="F101" s="902" t="s">
        <v>160</v>
      </c>
      <c r="G101" s="900" t="s">
        <v>141</v>
      </c>
      <c r="H101" s="1101">
        <v>12</v>
      </c>
      <c r="I101" s="1290"/>
      <c r="J101" s="1290"/>
      <c r="K101" s="1297">
        <f t="shared" ref="K101:K106" si="40">I101*J101</f>
        <v>0</v>
      </c>
      <c r="L101" s="1290"/>
      <c r="M101" s="1290"/>
      <c r="N101" s="1297">
        <f t="shared" ref="N101:N106" si="41">L101*M101</f>
        <v>0</v>
      </c>
      <c r="O101" s="1298"/>
      <c r="P101" s="1290">
        <v>3.9241371551155164</v>
      </c>
      <c r="Q101" s="1298"/>
      <c r="R101" s="1291">
        <f t="shared" si="38"/>
        <v>3.9241371551155164</v>
      </c>
      <c r="S101" s="1292">
        <f t="shared" ref="S101:S106" si="42">IF(F101="na","",H101*R101)</f>
        <v>47.089645861386195</v>
      </c>
      <c r="T101" s="935"/>
    </row>
    <row r="102" spans="2:20" s="431" customFormat="1" ht="102" x14ac:dyDescent="0.25">
      <c r="B102" s="919"/>
      <c r="C102" s="98" t="str">
        <f>CONCATENATE('Reference documents'!B15," :
PPP.PVP.CBL.03 SIGNAL-DATA CABLE (with all sub-sections)
- CONSTRUCTION TECHNICAL SPECIFICATIONS
- VENDOR INSTALLATION PROCEDURE SPECIFICATIONS")</f>
        <v>GRE.EEC.S.21.IT.P.18371.00.127.00 Technical Specification :
PPP.PVP.CBL.03 SIGNAL-DATA CABLE (with all sub-sections)
- CONSTRUCTION TECHNICAL SPECIFICATIONS
- VENDOR INSTALLATION PROCEDURE SPECIFICATIONS</v>
      </c>
      <c r="D102" s="900" t="s">
        <v>490</v>
      </c>
      <c r="E102" s="901" t="s">
        <v>491</v>
      </c>
      <c r="F102" s="902" t="s">
        <v>160</v>
      </c>
      <c r="G102" s="900" t="s">
        <v>141</v>
      </c>
      <c r="H102" s="1101">
        <v>12</v>
      </c>
      <c r="I102" s="1290">
        <v>0.13080457183718386</v>
      </c>
      <c r="J102" s="1290">
        <v>40</v>
      </c>
      <c r="K102" s="1297">
        <f t="shared" si="40"/>
        <v>5.2321828734873543</v>
      </c>
      <c r="L102" s="1290"/>
      <c r="M102" s="1290"/>
      <c r="N102" s="1297">
        <f t="shared" si="41"/>
        <v>0</v>
      </c>
      <c r="O102" s="1298"/>
      <c r="P102" s="1290"/>
      <c r="Q102" s="1298"/>
      <c r="R102" s="1291">
        <f t="shared" si="38"/>
        <v>5.2321828734873543</v>
      </c>
      <c r="S102" s="1292">
        <f t="shared" si="42"/>
        <v>62.786194481848256</v>
      </c>
      <c r="T102" s="935"/>
    </row>
    <row r="103" spans="2:20" s="431" customFormat="1" ht="51" x14ac:dyDescent="0.25">
      <c r="B103" s="919"/>
      <c r="C103" s="98" t="str">
        <f>CONCATENATE('Reference documents'!B15," :
PPP.PVP.CBL.03 SIGNAL-DATA CABLE (with all sub-sections)")</f>
        <v>GRE.EEC.S.21.IT.P.18371.00.127.00 Technical Specification :
PPP.PVP.CBL.03 SIGNAL-DATA CABLE (with all sub-sections)</v>
      </c>
      <c r="D103" s="900" t="s">
        <v>492</v>
      </c>
      <c r="E103" s="901" t="s">
        <v>493</v>
      </c>
      <c r="F103" s="902" t="s">
        <v>160</v>
      </c>
      <c r="G103" s="900" t="s">
        <v>141</v>
      </c>
      <c r="H103" s="1101">
        <v>0</v>
      </c>
      <c r="I103" s="1290"/>
      <c r="J103" s="1290"/>
      <c r="K103" s="1297">
        <f t="shared" si="40"/>
        <v>0</v>
      </c>
      <c r="L103" s="1290"/>
      <c r="M103" s="1290"/>
      <c r="N103" s="1297">
        <f t="shared" si="41"/>
        <v>0</v>
      </c>
      <c r="O103" s="1298"/>
      <c r="P103" s="1290"/>
      <c r="Q103" s="1298"/>
      <c r="R103" s="1291">
        <f t="shared" si="38"/>
        <v>0</v>
      </c>
      <c r="S103" s="1292">
        <f t="shared" si="42"/>
        <v>0</v>
      </c>
      <c r="T103" s="935"/>
    </row>
    <row r="104" spans="2:20" s="431" customFormat="1" ht="51" x14ac:dyDescent="0.25">
      <c r="B104" s="919"/>
      <c r="C104" s="98" t="str">
        <f>CONCATENATE('Reference documents'!B15," :
PPP.PVP.CBL.03 SIGNAL-DATA CABLE (with all sub-sections)")</f>
        <v>GRE.EEC.S.21.IT.P.18371.00.127.00 Technical Specification :
PPP.PVP.CBL.03 SIGNAL-DATA CABLE (with all sub-sections)</v>
      </c>
      <c r="D104" s="900" t="s">
        <v>494</v>
      </c>
      <c r="E104" s="901" t="s">
        <v>495</v>
      </c>
      <c r="F104" s="902" t="s">
        <v>160</v>
      </c>
      <c r="G104" s="900" t="s">
        <v>141</v>
      </c>
      <c r="H104" s="1101">
        <v>12</v>
      </c>
      <c r="I104" s="1290"/>
      <c r="J104" s="1290"/>
      <c r="K104" s="1297">
        <f t="shared" si="40"/>
        <v>0</v>
      </c>
      <c r="L104" s="1290"/>
      <c r="M104" s="1290"/>
      <c r="N104" s="1297">
        <f t="shared" si="41"/>
        <v>0</v>
      </c>
      <c r="O104" s="1298"/>
      <c r="P104" s="1290">
        <v>78.482743102310323</v>
      </c>
      <c r="Q104" s="1298"/>
      <c r="R104" s="1291">
        <f t="shared" si="38"/>
        <v>78.482743102310323</v>
      </c>
      <c r="S104" s="1292">
        <f t="shared" si="42"/>
        <v>941.79291722772382</v>
      </c>
      <c r="T104" s="935"/>
    </row>
    <row r="105" spans="2:20" s="431" customFormat="1" ht="102" x14ac:dyDescent="0.25">
      <c r="B105" s="919"/>
      <c r="C105" s="98" t="str">
        <f>CONCATENATE('Reference documents'!B15," :
PPP.PVP.CBL.03 SIGNAL-DATA CABLE (with all sub-sections)
- CONSTRUCTION TECHNICAL SPECIFICATIONS
- VENDOR INSTALLATION PROCEDURE SPECIFICATIONS")</f>
        <v>GRE.EEC.S.21.IT.P.18371.00.127.00 Technical Specification :
PPP.PVP.CBL.03 SIGNAL-DATA CABLE (with all sub-sections)
- CONSTRUCTION TECHNICAL SPECIFICATIONS
- VENDOR INSTALLATION PROCEDURE SPECIFICATIONS</v>
      </c>
      <c r="D105" s="900" t="s">
        <v>496</v>
      </c>
      <c r="E105" s="901" t="s">
        <v>497</v>
      </c>
      <c r="F105" s="902" t="s">
        <v>160</v>
      </c>
      <c r="G105" s="900" t="s">
        <v>141</v>
      </c>
      <c r="H105" s="1101">
        <v>0</v>
      </c>
      <c r="I105" s="1290"/>
      <c r="J105" s="1290"/>
      <c r="K105" s="1297">
        <f t="shared" si="40"/>
        <v>0</v>
      </c>
      <c r="L105" s="1290"/>
      <c r="M105" s="1290"/>
      <c r="N105" s="1297">
        <f t="shared" si="41"/>
        <v>0</v>
      </c>
      <c r="O105" s="1298"/>
      <c r="P105" s="1290"/>
      <c r="Q105" s="1298"/>
      <c r="R105" s="1291">
        <f t="shared" si="38"/>
        <v>0</v>
      </c>
      <c r="S105" s="1292">
        <f t="shared" si="42"/>
        <v>0</v>
      </c>
      <c r="T105" s="935"/>
    </row>
    <row r="106" spans="2:20" s="431" customFormat="1" ht="102" x14ac:dyDescent="0.25">
      <c r="B106" s="919"/>
      <c r="C106" s="98" t="str">
        <f>CONCATENATE('Reference documents'!B15," :
PPP.PVP.CBL.03 SIGNAL-DATA CABLE (with all sub-sections)
- CONSTRUCTION TECHNICAL SPECIFICATIONS
- VENDOR INSTALLATION PROCEDURE SPECIFICATIONS")</f>
        <v>GRE.EEC.S.21.IT.P.18371.00.127.00 Technical Specification :
PPP.PVP.CBL.03 SIGNAL-DATA CABLE (with all sub-sections)
- CONSTRUCTION TECHNICAL SPECIFICATIONS
- VENDOR INSTALLATION PROCEDURE SPECIFICATIONS</v>
      </c>
      <c r="D106" s="900" t="s">
        <v>498</v>
      </c>
      <c r="E106" s="901" t="s">
        <v>499</v>
      </c>
      <c r="F106" s="902" t="s">
        <v>160</v>
      </c>
      <c r="G106" s="900" t="s">
        <v>141</v>
      </c>
      <c r="H106" s="1101">
        <v>12</v>
      </c>
      <c r="I106" s="1290">
        <v>4.2511485847084751</v>
      </c>
      <c r="J106" s="1290">
        <v>40</v>
      </c>
      <c r="K106" s="1297">
        <f t="shared" si="40"/>
        <v>170.045943388339</v>
      </c>
      <c r="L106" s="1290"/>
      <c r="M106" s="1290"/>
      <c r="N106" s="1297">
        <f t="shared" si="41"/>
        <v>0</v>
      </c>
      <c r="O106" s="1298"/>
      <c r="P106" s="1290"/>
      <c r="Q106" s="1298"/>
      <c r="R106" s="1291">
        <f t="shared" si="38"/>
        <v>170.045943388339</v>
      </c>
      <c r="S106" s="1292">
        <f t="shared" si="42"/>
        <v>2040.5513206600681</v>
      </c>
      <c r="T106" s="935"/>
    </row>
    <row r="107" spans="2:20" s="431" customFormat="1" ht="18" customHeight="1" x14ac:dyDescent="0.25">
      <c r="B107" s="945"/>
      <c r="C107" s="928"/>
      <c r="D107" s="946"/>
      <c r="E107" s="928" t="s">
        <v>793</v>
      </c>
      <c r="F107" s="947"/>
      <c r="G107" s="947"/>
      <c r="H107" s="1100"/>
      <c r="I107" s="1100"/>
      <c r="J107" s="1100"/>
      <c r="K107" s="1100"/>
      <c r="L107" s="1100"/>
      <c r="M107" s="1100"/>
      <c r="N107" s="1100"/>
      <c r="O107" s="1100"/>
      <c r="P107" s="1100"/>
      <c r="Q107" s="1100"/>
      <c r="R107" s="947"/>
      <c r="S107" s="1127"/>
      <c r="T107" s="948"/>
    </row>
    <row r="108" spans="2:20" s="431" customFormat="1" ht="63.75" customHeight="1" x14ac:dyDescent="0.25">
      <c r="B108" s="919"/>
      <c r="C108" s="1610" t="str">
        <f>CONCATENATE('Reference documents'!B15," :
PPP.PVP.CBL.01.001 AC Cables (sub-section named tests)
EGP.EEC.S.45.XX.P.00000.00.021.12 GRE.EEC.Q.45.XX.P.00000.00.078.04")</f>
        <v>GRE.EEC.S.21.IT.P.18371.00.127.00 Technical Specification :
PPP.PVP.CBL.01.001 AC Cables (sub-section named tests)
EGP.EEC.S.45.XX.P.00000.00.021.12 GRE.EEC.Q.45.XX.P.00000.00.078.04</v>
      </c>
      <c r="D108" s="1375" t="s">
        <v>794</v>
      </c>
      <c r="E108" s="1370" t="s">
        <v>795</v>
      </c>
      <c r="F108" s="1376" t="s">
        <v>160</v>
      </c>
      <c r="G108" s="1375" t="s">
        <v>786</v>
      </c>
      <c r="H108" s="1101">
        <v>0</v>
      </c>
      <c r="I108" s="1290"/>
      <c r="J108" s="1290"/>
      <c r="K108" s="1297">
        <f t="shared" ref="K108:K112" si="43">I108*J108</f>
        <v>0</v>
      </c>
      <c r="L108" s="1290"/>
      <c r="M108" s="1290"/>
      <c r="N108" s="1297">
        <f t="shared" ref="N108:N112" si="44">L108*M108</f>
        <v>0</v>
      </c>
      <c r="O108" s="1298"/>
      <c r="P108" s="1290"/>
      <c r="Q108" s="1298"/>
      <c r="R108" s="1291">
        <f t="shared" ref="R108:R112" si="45">P108+N108+K108</f>
        <v>0</v>
      </c>
      <c r="S108" s="1292">
        <f t="shared" ref="S108:S112" si="46">IF(F108="na","",H108*R108)</f>
        <v>0</v>
      </c>
      <c r="T108" s="935"/>
    </row>
    <row r="109" spans="2:20" s="431" customFormat="1" ht="25.5" x14ac:dyDescent="0.25">
      <c r="B109" s="919"/>
      <c r="C109" s="1611"/>
      <c r="D109" s="1375" t="s">
        <v>796</v>
      </c>
      <c r="E109" s="1370" t="s">
        <v>797</v>
      </c>
      <c r="F109" s="1376" t="s">
        <v>160</v>
      </c>
      <c r="G109" s="1375" t="s">
        <v>786</v>
      </c>
      <c r="H109" s="1101">
        <v>0</v>
      </c>
      <c r="I109" s="1290"/>
      <c r="J109" s="1290"/>
      <c r="K109" s="1297">
        <f t="shared" si="43"/>
        <v>0</v>
      </c>
      <c r="L109" s="1290"/>
      <c r="M109" s="1290"/>
      <c r="N109" s="1297">
        <f t="shared" si="44"/>
        <v>0</v>
      </c>
      <c r="O109" s="1298"/>
      <c r="P109" s="1290"/>
      <c r="Q109" s="1298"/>
      <c r="R109" s="1291">
        <f t="shared" si="45"/>
        <v>0</v>
      </c>
      <c r="S109" s="1292">
        <f t="shared" si="46"/>
        <v>0</v>
      </c>
      <c r="T109" s="935"/>
    </row>
    <row r="110" spans="2:20" s="431" customFormat="1" ht="25.5" x14ac:dyDescent="0.25">
      <c r="B110" s="919"/>
      <c r="C110" s="1612"/>
      <c r="D110" s="1375" t="s">
        <v>798</v>
      </c>
      <c r="E110" s="1370" t="s">
        <v>799</v>
      </c>
      <c r="F110" s="1376" t="s">
        <v>160</v>
      </c>
      <c r="G110" s="1375" t="s">
        <v>786</v>
      </c>
      <c r="H110" s="1101">
        <v>0</v>
      </c>
      <c r="I110" s="1290"/>
      <c r="J110" s="1290"/>
      <c r="K110" s="1297">
        <f t="shared" si="43"/>
        <v>0</v>
      </c>
      <c r="L110" s="1290"/>
      <c r="M110" s="1290"/>
      <c r="N110" s="1297">
        <f t="shared" si="44"/>
        <v>0</v>
      </c>
      <c r="O110" s="1298"/>
      <c r="P110" s="1290"/>
      <c r="Q110" s="1298"/>
      <c r="R110" s="1291">
        <f t="shared" si="45"/>
        <v>0</v>
      </c>
      <c r="S110" s="1292">
        <f t="shared" si="46"/>
        <v>0</v>
      </c>
      <c r="T110" s="935"/>
    </row>
    <row r="111" spans="2:20" s="431" customFormat="1" ht="76.5" x14ac:dyDescent="0.25">
      <c r="B111" s="919"/>
      <c r="C111" s="98" t="str">
        <f>CONCATENATE('Reference documents'!B15," :
PPP.PVP.CBL.01.001 AC Cables (sub-section named tests)
EGP.EEC.S.45.XX.P.00000.00.021.12 GRE.EEC.Q.45.XX.P.00000.00.078.04")</f>
        <v>GRE.EEC.S.21.IT.P.18371.00.127.00 Technical Specification :
PPP.PVP.CBL.01.001 AC Cables (sub-section named tests)
EGP.EEC.S.45.XX.P.00000.00.021.12 GRE.EEC.Q.45.XX.P.00000.00.078.04</v>
      </c>
      <c r="D111" s="1375" t="s">
        <v>800</v>
      </c>
      <c r="E111" s="1370" t="s">
        <v>801</v>
      </c>
      <c r="F111" s="1376" t="s">
        <v>160</v>
      </c>
      <c r="G111" s="1375" t="s">
        <v>786</v>
      </c>
      <c r="H111" s="1101">
        <v>0</v>
      </c>
      <c r="I111" s="1290"/>
      <c r="J111" s="1290"/>
      <c r="K111" s="1297">
        <f t="shared" si="43"/>
        <v>0</v>
      </c>
      <c r="L111" s="1290"/>
      <c r="M111" s="1290"/>
      <c r="N111" s="1297">
        <f t="shared" si="44"/>
        <v>0</v>
      </c>
      <c r="O111" s="1298"/>
      <c r="P111" s="1290"/>
      <c r="Q111" s="1298"/>
      <c r="R111" s="1291">
        <f t="shared" si="45"/>
        <v>0</v>
      </c>
      <c r="S111" s="1292">
        <f t="shared" si="46"/>
        <v>0</v>
      </c>
      <c r="T111" s="935"/>
    </row>
    <row r="112" spans="2:20" s="431" customFormat="1" ht="102" x14ac:dyDescent="0.25">
      <c r="B112" s="919"/>
      <c r="C112" s="98" t="str">
        <f>CONCATENATE('Reference documents'!B15," 
PPP.PVP.CBL.03 SIGNAL-DATA CABLE (with all sub-sections)
PPP.PVP.CBL.01.001 AC Cables (sub-section named tests)
EGP.EEC.S.45.XX.P.00000.00.021.12 GRE.EEC.Q.45.XX.P.00000.00.078.04")</f>
        <v>GRE.EEC.S.21.IT.P.18371.00.127.00 Technical Specification 
PPP.PVP.CBL.03 SIGNAL-DATA CABLE (with all sub-sections)
PPP.PVP.CBL.01.001 AC Cables (sub-section named tests)
EGP.EEC.S.45.XX.P.00000.00.021.12 GRE.EEC.Q.45.XX.P.00000.00.078.04</v>
      </c>
      <c r="D112" s="1375" t="s">
        <v>802</v>
      </c>
      <c r="E112" s="1370" t="s">
        <v>803</v>
      </c>
      <c r="F112" s="1376" t="s">
        <v>160</v>
      </c>
      <c r="G112" s="1375" t="s">
        <v>786</v>
      </c>
      <c r="H112" s="1101">
        <v>0</v>
      </c>
      <c r="I112" s="1290"/>
      <c r="J112" s="1290"/>
      <c r="K112" s="1297">
        <f t="shared" si="43"/>
        <v>0</v>
      </c>
      <c r="L112" s="1290"/>
      <c r="M112" s="1290"/>
      <c r="N112" s="1297">
        <f t="shared" si="44"/>
        <v>0</v>
      </c>
      <c r="O112" s="1298"/>
      <c r="P112" s="1290"/>
      <c r="Q112" s="1298"/>
      <c r="R112" s="1291">
        <f t="shared" si="45"/>
        <v>0</v>
      </c>
      <c r="S112" s="1292">
        <f t="shared" si="46"/>
        <v>0</v>
      </c>
      <c r="T112" s="935"/>
    </row>
    <row r="113" spans="2:20" s="431" customFormat="1" ht="18" customHeight="1" x14ac:dyDescent="0.25">
      <c r="B113" s="945"/>
      <c r="C113" s="928"/>
      <c r="D113" s="946" t="s">
        <v>500</v>
      </c>
      <c r="E113" s="928" t="s">
        <v>501</v>
      </c>
      <c r="F113" s="947"/>
      <c r="G113" s="947"/>
      <c r="H113" s="1100"/>
      <c r="I113" s="1100"/>
      <c r="J113" s="1100"/>
      <c r="K113" s="1100"/>
      <c r="L113" s="1100"/>
      <c r="M113" s="1100"/>
      <c r="N113" s="1100"/>
      <c r="O113" s="1100"/>
      <c r="P113" s="1100"/>
      <c r="Q113" s="1100"/>
      <c r="R113" s="947"/>
      <c r="S113" s="1127"/>
      <c r="T113" s="948"/>
    </row>
    <row r="114" spans="2:20" s="431" customFormat="1" ht="31.5" customHeight="1" x14ac:dyDescent="0.25">
      <c r="B114" s="919"/>
      <c r="C114" s="1333" t="str">
        <f>CONCATENATE('Reference documents'!B15,
"PPP.PVP.DIN.05.003 Hanger Structures Cableway")</f>
        <v>GRE.EEC.S.21.IT.P.18371.00.127.00 Technical SpecificationPPP.PVP.DIN.05.003 Hanger Structures Cableway</v>
      </c>
      <c r="D114" s="900" t="s">
        <v>502</v>
      </c>
      <c r="E114" s="901" t="s">
        <v>503</v>
      </c>
      <c r="F114" s="902" t="s">
        <v>167</v>
      </c>
      <c r="G114" s="900" t="s">
        <v>345</v>
      </c>
      <c r="H114" s="1101">
        <v>0</v>
      </c>
      <c r="I114" s="1290"/>
      <c r="J114" s="1290"/>
      <c r="K114" s="1297">
        <f>I114*J114</f>
        <v>0</v>
      </c>
      <c r="L114" s="1290"/>
      <c r="M114" s="1290"/>
      <c r="N114" s="1297">
        <f>L114*M114</f>
        <v>0</v>
      </c>
      <c r="O114" s="1298"/>
      <c r="P114" s="1290"/>
      <c r="Q114" s="1298"/>
      <c r="R114" s="1291">
        <f>P114+N114+K114</f>
        <v>0</v>
      </c>
      <c r="S114" s="1292">
        <f>IF(F114="na","",H114*R114)</f>
        <v>0</v>
      </c>
      <c r="T114" s="935"/>
    </row>
    <row r="115" spans="2:20" ht="15" customHeight="1" x14ac:dyDescent="0.25">
      <c r="B115" s="1608" t="s">
        <v>102</v>
      </c>
      <c r="C115" s="1608"/>
      <c r="D115" s="1608"/>
      <c r="E115" s="1608"/>
      <c r="F115" s="1609" t="s">
        <v>154</v>
      </c>
      <c r="G115" s="1609"/>
      <c r="H115" s="1609"/>
      <c r="I115" s="1609"/>
      <c r="J115" s="1609"/>
      <c r="K115" s="1609"/>
      <c r="L115" s="1609"/>
      <c r="M115" s="1609"/>
      <c r="N115" s="1609"/>
      <c r="O115" s="1609"/>
      <c r="P115" s="1609"/>
      <c r="Q115" s="1609"/>
      <c r="R115" s="1609"/>
      <c r="S115" s="863">
        <f>SUMIFS(S121:S142,F121:F142,"Mandatory",E121:E142,"=*Supply")</f>
        <v>99869.380803521693</v>
      </c>
      <c r="T115" s="1221"/>
    </row>
    <row r="116" spans="2:20" ht="15" customHeight="1" x14ac:dyDescent="0.25">
      <c r="B116" s="1608"/>
      <c r="C116" s="1608"/>
      <c r="D116" s="1608"/>
      <c r="E116" s="1608"/>
      <c r="F116" s="1609" t="s">
        <v>156</v>
      </c>
      <c r="G116" s="1609"/>
      <c r="H116" s="1609"/>
      <c r="I116" s="1609"/>
      <c r="J116" s="1609"/>
      <c r="K116" s="1609"/>
      <c r="L116" s="1609"/>
      <c r="M116" s="1609"/>
      <c r="N116" s="1609"/>
      <c r="O116" s="1609"/>
      <c r="P116" s="1609"/>
      <c r="Q116" s="1609"/>
      <c r="R116" s="1609"/>
      <c r="S116" s="863">
        <f>SUMIFS(S121:S142,F121:F142,"Optional",E121:E142,"=*Supply")</f>
        <v>0</v>
      </c>
      <c r="T116" s="1221"/>
    </row>
    <row r="117" spans="2:20" ht="15" customHeight="1" x14ac:dyDescent="0.25">
      <c r="B117" s="1608" t="s">
        <v>89</v>
      </c>
      <c r="C117" s="1608"/>
      <c r="D117" s="1608"/>
      <c r="E117" s="1608"/>
      <c r="F117" s="1609" t="s">
        <v>154</v>
      </c>
      <c r="G117" s="1609"/>
      <c r="H117" s="1609"/>
      <c r="I117" s="1609"/>
      <c r="J117" s="1609"/>
      <c r="K117" s="1609"/>
      <c r="L117" s="1609"/>
      <c r="M117" s="1609"/>
      <c r="N117" s="1609"/>
      <c r="O117" s="1609"/>
      <c r="P117" s="1609"/>
      <c r="Q117" s="1609"/>
      <c r="R117" s="1609"/>
      <c r="S117" s="863">
        <f>SUMIFS(S121:S142,F121:F142,"Mandatory",E121:E142,"=*Installation*")</f>
        <v>68413.30018733014</v>
      </c>
      <c r="T117" s="1221"/>
    </row>
    <row r="118" spans="2:20" ht="15" customHeight="1" x14ac:dyDescent="0.25">
      <c r="B118" s="1608"/>
      <c r="C118" s="1608"/>
      <c r="D118" s="1608"/>
      <c r="E118" s="1608"/>
      <c r="F118" s="1609" t="s">
        <v>156</v>
      </c>
      <c r="G118" s="1609"/>
      <c r="H118" s="1609"/>
      <c r="I118" s="1609"/>
      <c r="J118" s="1609"/>
      <c r="K118" s="1609"/>
      <c r="L118" s="1609"/>
      <c r="M118" s="1609"/>
      <c r="N118" s="1609"/>
      <c r="O118" s="1609"/>
      <c r="P118" s="1609"/>
      <c r="Q118" s="1609"/>
      <c r="R118" s="1609"/>
      <c r="S118" s="863">
        <f>SUMIFS(S121:S142,F121:F142,"Optional",E121:E142,"=*Installation*")</f>
        <v>0</v>
      </c>
      <c r="T118" s="1221"/>
    </row>
    <row r="119" spans="2:20" ht="15" customHeight="1" x14ac:dyDescent="0.25">
      <c r="B119" s="1608" t="s">
        <v>804</v>
      </c>
      <c r="C119" s="1608"/>
      <c r="D119" s="1608"/>
      <c r="E119" s="1608"/>
      <c r="F119" s="1609" t="s">
        <v>154</v>
      </c>
      <c r="G119" s="1609"/>
      <c r="H119" s="1609"/>
      <c r="I119" s="1609"/>
      <c r="J119" s="1609"/>
      <c r="K119" s="1609"/>
      <c r="L119" s="1609"/>
      <c r="M119" s="1609"/>
      <c r="N119" s="1609"/>
      <c r="O119" s="1609"/>
      <c r="P119" s="1609"/>
      <c r="Q119" s="1609"/>
      <c r="R119" s="1609"/>
      <c r="S119" s="863">
        <f>SUMIFS(S121:S142,F121:F142,"Mandatory",E121:E142,"=*Test")</f>
        <v>0</v>
      </c>
      <c r="T119" s="1221"/>
    </row>
    <row r="120" spans="2:20" ht="15" customHeight="1" x14ac:dyDescent="0.25">
      <c r="B120" s="1608"/>
      <c r="C120" s="1608"/>
      <c r="D120" s="1608"/>
      <c r="E120" s="1608"/>
      <c r="F120" s="1609" t="s">
        <v>156</v>
      </c>
      <c r="G120" s="1609"/>
      <c r="H120" s="1609"/>
      <c r="I120" s="1609"/>
      <c r="J120" s="1609"/>
      <c r="K120" s="1609"/>
      <c r="L120" s="1609"/>
      <c r="M120" s="1609"/>
      <c r="N120" s="1609"/>
      <c r="O120" s="1609"/>
      <c r="P120" s="1609"/>
      <c r="Q120" s="1609"/>
      <c r="R120" s="1609"/>
      <c r="S120" s="863">
        <f>SUMIFS(S121:S142,F121:F142,"Optional",E121:E142,"=*Test")</f>
        <v>0</v>
      </c>
      <c r="T120" s="1221"/>
    </row>
    <row r="121" spans="2:20" s="431" customFormat="1" ht="18" customHeight="1" x14ac:dyDescent="0.25">
      <c r="B121" s="945"/>
      <c r="C121" s="928"/>
      <c r="D121" s="946" t="s">
        <v>505</v>
      </c>
      <c r="E121" s="928" t="s">
        <v>506</v>
      </c>
      <c r="F121" s="947"/>
      <c r="G121" s="947"/>
      <c r="H121" s="1100"/>
      <c r="I121" s="1100"/>
      <c r="J121" s="1100"/>
      <c r="K121" s="1100"/>
      <c r="L121" s="1100"/>
      <c r="M121" s="1100"/>
      <c r="N121" s="1100"/>
      <c r="O121" s="1100"/>
      <c r="P121" s="1100"/>
      <c r="Q121" s="1100"/>
      <c r="R121" s="947"/>
      <c r="S121" s="1127"/>
      <c r="T121" s="948"/>
    </row>
    <row r="122" spans="2:20" s="1325" customFormat="1" ht="102" x14ac:dyDescent="0.25">
      <c r="B122" s="1326"/>
      <c r="C122" s="98"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22" s="1327" t="s">
        <v>507</v>
      </c>
      <c r="E122" s="1328" t="s">
        <v>508</v>
      </c>
      <c r="F122" s="902" t="s">
        <v>160</v>
      </c>
      <c r="G122" s="900" t="s">
        <v>345</v>
      </c>
      <c r="H122" s="1101">
        <v>1200</v>
      </c>
      <c r="I122" s="1290"/>
      <c r="J122" s="1290"/>
      <c r="K122" s="1297">
        <f t="shared" ref="K122:K131" si="47">I122*J122</f>
        <v>0</v>
      </c>
      <c r="L122" s="1290"/>
      <c r="M122" s="1290"/>
      <c r="N122" s="1297">
        <f t="shared" ref="N122:N131" si="48">L122*M122</f>
        <v>0</v>
      </c>
      <c r="O122" s="1298"/>
      <c r="P122" s="1290">
        <v>9.8103428877887904</v>
      </c>
      <c r="Q122" s="1298"/>
      <c r="R122" s="1291">
        <f t="shared" ref="R122:R123" si="49">P122+N122+K122</f>
        <v>9.8103428877887904</v>
      </c>
      <c r="S122" s="1292">
        <f>IF(F122="na","",H122*R122)</f>
        <v>11772.411465346548</v>
      </c>
      <c r="T122" s="935"/>
    </row>
    <row r="123" spans="2:20" s="1314" customFormat="1" ht="102" x14ac:dyDescent="0.25">
      <c r="B123" s="919"/>
      <c r="C123" s="98"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23" s="900" t="s">
        <v>509</v>
      </c>
      <c r="E123" s="901" t="s">
        <v>510</v>
      </c>
      <c r="F123" s="902" t="s">
        <v>160</v>
      </c>
      <c r="G123" s="900" t="s">
        <v>345</v>
      </c>
      <c r="H123" s="1101">
        <v>1200</v>
      </c>
      <c r="I123" s="1293">
        <v>0.19375000000000001</v>
      </c>
      <c r="J123" s="1293">
        <v>40</v>
      </c>
      <c r="K123" s="1295">
        <f t="shared" si="47"/>
        <v>7.75</v>
      </c>
      <c r="L123" s="1293">
        <v>1</v>
      </c>
      <c r="M123" s="1293">
        <v>0.05</v>
      </c>
      <c r="N123" s="1295">
        <f t="shared" si="48"/>
        <v>0.05</v>
      </c>
      <c r="O123" s="1296"/>
      <c r="P123" s="1290"/>
      <c r="Q123" s="1296"/>
      <c r="R123" s="1291">
        <f t="shared" si="49"/>
        <v>7.8</v>
      </c>
      <c r="S123" s="1124">
        <f t="shared" ref="S123:S131" si="50">IF(F123="na","",H123*R123)</f>
        <v>9360</v>
      </c>
      <c r="T123" s="935"/>
    </row>
    <row r="124" spans="2:20" s="1324" customFormat="1" ht="102" x14ac:dyDescent="0.25">
      <c r="B124" s="1322"/>
      <c r="C124" s="98"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24" s="100" t="s">
        <v>511</v>
      </c>
      <c r="E124" s="98" t="s">
        <v>512</v>
      </c>
      <c r="F124" s="855" t="s">
        <v>160</v>
      </c>
      <c r="G124" s="100" t="s">
        <v>345</v>
      </c>
      <c r="H124" s="1319">
        <v>0</v>
      </c>
      <c r="I124" s="1315"/>
      <c r="J124" s="1315"/>
      <c r="K124" s="1316">
        <f t="shared" si="47"/>
        <v>0</v>
      </c>
      <c r="L124" s="1315"/>
      <c r="M124" s="1315"/>
      <c r="N124" s="1316">
        <f t="shared" si="48"/>
        <v>0</v>
      </c>
      <c r="O124" s="1317"/>
      <c r="P124" s="1290"/>
      <c r="Q124" s="1317"/>
      <c r="R124" s="1318">
        <f t="shared" ref="R124:R131" si="51">P124+N124+K124</f>
        <v>0</v>
      </c>
      <c r="S124" s="1194">
        <f t="shared" si="50"/>
        <v>0</v>
      </c>
      <c r="T124" s="1323"/>
    </row>
    <row r="125" spans="2:20" s="1324" customFormat="1" ht="102" x14ac:dyDescent="0.25">
      <c r="B125" s="1322"/>
      <c r="C125" s="98"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25" s="100" t="s">
        <v>513</v>
      </c>
      <c r="E125" s="98" t="s">
        <v>514</v>
      </c>
      <c r="F125" s="855" t="s">
        <v>160</v>
      </c>
      <c r="G125" s="100" t="s">
        <v>345</v>
      </c>
      <c r="H125" s="1319">
        <v>0</v>
      </c>
      <c r="I125" s="1315"/>
      <c r="J125" s="1315"/>
      <c r="K125" s="1316">
        <f t="shared" si="47"/>
        <v>0</v>
      </c>
      <c r="L125" s="1315"/>
      <c r="M125" s="1315"/>
      <c r="N125" s="1316">
        <f t="shared" si="48"/>
        <v>0</v>
      </c>
      <c r="O125" s="1317"/>
      <c r="P125" s="1315"/>
      <c r="Q125" s="1317"/>
      <c r="R125" s="1318">
        <f t="shared" si="51"/>
        <v>0</v>
      </c>
      <c r="S125" s="1194">
        <f t="shared" si="50"/>
        <v>0</v>
      </c>
      <c r="T125" s="1323"/>
    </row>
    <row r="126" spans="2:20" s="1324" customFormat="1" ht="102" x14ac:dyDescent="0.25">
      <c r="B126" s="1322"/>
      <c r="C126" s="98"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26" s="100" t="s">
        <v>515</v>
      </c>
      <c r="E126" s="98" t="s">
        <v>516</v>
      </c>
      <c r="F126" s="855" t="s">
        <v>160</v>
      </c>
      <c r="G126" s="100" t="s">
        <v>345</v>
      </c>
      <c r="H126" s="1319">
        <v>6200</v>
      </c>
      <c r="I126" s="1315"/>
      <c r="J126" s="1315"/>
      <c r="K126" s="1316">
        <f t="shared" si="47"/>
        <v>0</v>
      </c>
      <c r="L126" s="1315"/>
      <c r="M126" s="1315"/>
      <c r="N126" s="1316">
        <f t="shared" si="48"/>
        <v>0</v>
      </c>
      <c r="O126" s="1317"/>
      <c r="P126" s="1315">
        <v>12.426434324532465</v>
      </c>
      <c r="Q126" s="1317"/>
      <c r="R126" s="1291">
        <f t="shared" si="51"/>
        <v>12.426434324532465</v>
      </c>
      <c r="S126" s="1194">
        <f t="shared" si="50"/>
        <v>77043.892812101287</v>
      </c>
      <c r="T126" s="1323"/>
    </row>
    <row r="127" spans="2:20" s="1324" customFormat="1" ht="102" x14ac:dyDescent="0.25">
      <c r="B127" s="1322"/>
      <c r="C127" s="98"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27" s="100" t="s">
        <v>517</v>
      </c>
      <c r="E127" s="98" t="s">
        <v>518</v>
      </c>
      <c r="F127" s="855" t="s">
        <v>160</v>
      </c>
      <c r="G127" s="100" t="s">
        <v>345</v>
      </c>
      <c r="H127" s="1319">
        <v>6200</v>
      </c>
      <c r="I127" s="1315">
        <v>0.19375000000000001</v>
      </c>
      <c r="J127" s="1315">
        <v>40</v>
      </c>
      <c r="K127" s="1316">
        <f t="shared" si="47"/>
        <v>7.75</v>
      </c>
      <c r="L127" s="1315">
        <v>1</v>
      </c>
      <c r="M127" s="1315">
        <v>0.05</v>
      </c>
      <c r="N127" s="1316">
        <f t="shared" si="48"/>
        <v>0.05</v>
      </c>
      <c r="O127" s="1317"/>
      <c r="P127" s="1315"/>
      <c r="Q127" s="1317"/>
      <c r="R127" s="1291">
        <f t="shared" si="51"/>
        <v>7.8</v>
      </c>
      <c r="S127" s="1194">
        <f t="shared" si="50"/>
        <v>48360</v>
      </c>
      <c r="T127" s="1323"/>
    </row>
    <row r="128" spans="2:20" s="431" customFormat="1" ht="102" x14ac:dyDescent="0.25">
      <c r="B128" s="956"/>
      <c r="C128" s="98"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28" s="933" t="s">
        <v>519</v>
      </c>
      <c r="E128" s="1321" t="s">
        <v>520</v>
      </c>
      <c r="F128" s="932" t="s">
        <v>160</v>
      </c>
      <c r="G128" s="933" t="s">
        <v>345</v>
      </c>
      <c r="H128" s="1103">
        <v>0</v>
      </c>
      <c r="I128" s="1055"/>
      <c r="J128" s="1055"/>
      <c r="K128" s="1056">
        <f t="shared" si="47"/>
        <v>0</v>
      </c>
      <c r="L128" s="1055"/>
      <c r="M128" s="1055"/>
      <c r="N128" s="1056">
        <f t="shared" si="48"/>
        <v>0</v>
      </c>
      <c r="O128" s="1057"/>
      <c r="P128" s="1055"/>
      <c r="Q128" s="1057"/>
      <c r="R128" s="1261">
        <f t="shared" si="51"/>
        <v>0</v>
      </c>
      <c r="S128" s="1125">
        <f t="shared" si="50"/>
        <v>0</v>
      </c>
      <c r="T128" s="957"/>
    </row>
    <row r="129" spans="2:20" s="1324" customFormat="1" ht="102" x14ac:dyDescent="0.25">
      <c r="B129" s="1322"/>
      <c r="C129" s="98"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29" s="100" t="s">
        <v>521</v>
      </c>
      <c r="E129" s="98" t="s">
        <v>522</v>
      </c>
      <c r="F129" s="855" t="s">
        <v>160</v>
      </c>
      <c r="G129" s="100" t="s">
        <v>345</v>
      </c>
      <c r="H129" s="1319">
        <v>0</v>
      </c>
      <c r="I129" s="1315"/>
      <c r="J129" s="1315"/>
      <c r="K129" s="1316">
        <f t="shared" si="47"/>
        <v>0</v>
      </c>
      <c r="L129" s="1315"/>
      <c r="M129" s="1315"/>
      <c r="N129" s="1316">
        <f t="shared" si="48"/>
        <v>0</v>
      </c>
      <c r="O129" s="1317"/>
      <c r="P129" s="1315"/>
      <c r="Q129" s="1317"/>
      <c r="R129" s="1318">
        <f t="shared" si="51"/>
        <v>0</v>
      </c>
      <c r="S129" s="1194">
        <f t="shared" si="50"/>
        <v>0</v>
      </c>
      <c r="T129" s="1323"/>
    </row>
    <row r="130" spans="2:20" s="1324" customFormat="1" ht="102" x14ac:dyDescent="0.25">
      <c r="B130" s="1322"/>
      <c r="C130" s="98"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30" s="100" t="s">
        <v>523</v>
      </c>
      <c r="E130" s="98" t="s">
        <v>524</v>
      </c>
      <c r="F130" s="855" t="s">
        <v>160</v>
      </c>
      <c r="G130" s="100" t="s">
        <v>345</v>
      </c>
      <c r="H130" s="1319">
        <v>50</v>
      </c>
      <c r="I130" s="1315"/>
      <c r="J130" s="1315"/>
      <c r="K130" s="1316">
        <f t="shared" si="47"/>
        <v>0</v>
      </c>
      <c r="L130" s="1315"/>
      <c r="M130" s="1315"/>
      <c r="N130" s="1316">
        <f t="shared" si="48"/>
        <v>0</v>
      </c>
      <c r="O130" s="1317"/>
      <c r="P130" s="1315">
        <v>37.935129949419611</v>
      </c>
      <c r="Q130" s="1317"/>
      <c r="R130" s="1291">
        <f t="shared" si="51"/>
        <v>37.935129949419611</v>
      </c>
      <c r="S130" s="1194">
        <f t="shared" si="50"/>
        <v>1896.7564974709805</v>
      </c>
      <c r="T130" s="1323"/>
    </row>
    <row r="131" spans="2:20" s="431" customFormat="1" ht="102" x14ac:dyDescent="0.25">
      <c r="B131" s="919"/>
      <c r="C131" s="98"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31" s="900" t="s">
        <v>525</v>
      </c>
      <c r="E131" s="901" t="s">
        <v>526</v>
      </c>
      <c r="F131" s="902" t="s">
        <v>160</v>
      </c>
      <c r="G131" s="900" t="s">
        <v>345</v>
      </c>
      <c r="H131" s="1101">
        <v>50</v>
      </c>
      <c r="I131" s="1293"/>
      <c r="J131" s="1293"/>
      <c r="K131" s="1295">
        <f t="shared" si="47"/>
        <v>0</v>
      </c>
      <c r="L131" s="1293"/>
      <c r="M131" s="1293"/>
      <c r="N131" s="1295">
        <f t="shared" si="48"/>
        <v>0</v>
      </c>
      <c r="O131" s="1296"/>
      <c r="P131" s="1293">
        <v>11.118917398967817</v>
      </c>
      <c r="Q131" s="1296"/>
      <c r="R131" s="1291">
        <f t="shared" si="51"/>
        <v>11.118917398967817</v>
      </c>
      <c r="S131" s="1124">
        <f t="shared" si="50"/>
        <v>555.94586994839085</v>
      </c>
      <c r="T131" s="935"/>
    </row>
    <row r="132" spans="2:20" s="431" customFormat="1" ht="18" customHeight="1" x14ac:dyDescent="0.25">
      <c r="B132" s="945"/>
      <c r="C132" s="928"/>
      <c r="D132" s="946" t="s">
        <v>527</v>
      </c>
      <c r="E132" s="928" t="s">
        <v>528</v>
      </c>
      <c r="F132" s="947"/>
      <c r="G132" s="947"/>
      <c r="H132" s="1100"/>
      <c r="I132" s="1100"/>
      <c r="J132" s="1100"/>
      <c r="K132" s="1100"/>
      <c r="L132" s="1100"/>
      <c r="M132" s="1100"/>
      <c r="N132" s="1100"/>
      <c r="O132" s="1100"/>
      <c r="P132" s="1100"/>
      <c r="Q132" s="1100"/>
      <c r="R132" s="947"/>
      <c r="S132" s="1127"/>
      <c r="T132" s="948"/>
    </row>
    <row r="133" spans="2:20" s="431" customFormat="1" ht="102" x14ac:dyDescent="0.25">
      <c r="B133" s="919"/>
      <c r="C133" s="98"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33" s="900" t="s">
        <v>529</v>
      </c>
      <c r="E133" s="901" t="s">
        <v>530</v>
      </c>
      <c r="F133" s="902" t="s">
        <v>160</v>
      </c>
      <c r="G133" s="900" t="s">
        <v>141</v>
      </c>
      <c r="H133" s="1101">
        <v>200</v>
      </c>
      <c r="I133" s="1290"/>
      <c r="J133" s="1290"/>
      <c r="K133" s="1297">
        <f t="shared" ref="K133:K134" si="52">I133*J133</f>
        <v>0</v>
      </c>
      <c r="L133" s="1290"/>
      <c r="M133" s="1290"/>
      <c r="N133" s="1297">
        <f t="shared" ref="N133:N134" si="53">L133*M133</f>
        <v>0</v>
      </c>
      <c r="O133" s="1298"/>
      <c r="P133" s="1290">
        <v>9.1563200286028703</v>
      </c>
      <c r="Q133" s="1298"/>
      <c r="R133" s="1291">
        <f t="shared" ref="R133:R134" si="54">P133+N133+K133</f>
        <v>9.1563200286028703</v>
      </c>
      <c r="S133" s="1292">
        <f t="shared" ref="S133:S134" si="55">IF(F133="na","",H133*R133)</f>
        <v>1831.264005720574</v>
      </c>
      <c r="T133" s="935"/>
    </row>
    <row r="134" spans="2:20" s="431" customFormat="1" ht="102" x14ac:dyDescent="0.25">
      <c r="B134" s="919"/>
      <c r="C134" s="98"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34" s="900" t="s">
        <v>531</v>
      </c>
      <c r="E134" s="901" t="s">
        <v>532</v>
      </c>
      <c r="F134" s="902" t="s">
        <v>160</v>
      </c>
      <c r="G134" s="900" t="s">
        <v>141</v>
      </c>
      <c r="H134" s="1101">
        <v>200</v>
      </c>
      <c r="I134" s="1293">
        <v>0.33471257255225562</v>
      </c>
      <c r="J134" s="1293">
        <v>40</v>
      </c>
      <c r="K134" s="1295">
        <f t="shared" si="52"/>
        <v>13.388502902090224</v>
      </c>
      <c r="L134" s="1293">
        <v>1</v>
      </c>
      <c r="M134" s="1293">
        <v>1</v>
      </c>
      <c r="N134" s="1295">
        <f t="shared" si="53"/>
        <v>1</v>
      </c>
      <c r="O134" s="1296"/>
      <c r="P134" s="1293"/>
      <c r="Q134" s="1296"/>
      <c r="R134" s="1291">
        <f t="shared" si="54"/>
        <v>14.388502902090224</v>
      </c>
      <c r="S134" s="1124">
        <f t="shared" si="55"/>
        <v>2877.7005804180449</v>
      </c>
      <c r="T134" s="935"/>
    </row>
    <row r="135" spans="2:20" s="431" customFormat="1" ht="18" customHeight="1" x14ac:dyDescent="0.25">
      <c r="B135" s="945"/>
      <c r="C135" s="928"/>
      <c r="D135" s="946" t="s">
        <v>533</v>
      </c>
      <c r="E135" s="928" t="s">
        <v>534</v>
      </c>
      <c r="F135" s="947"/>
      <c r="G135" s="947"/>
      <c r="H135" s="1100"/>
      <c r="I135" s="1100"/>
      <c r="J135" s="1100"/>
      <c r="K135" s="1100"/>
      <c r="L135" s="1100"/>
      <c r="M135" s="1100"/>
      <c r="N135" s="1100"/>
      <c r="O135" s="1100"/>
      <c r="P135" s="1100"/>
      <c r="Q135" s="1100"/>
      <c r="R135" s="947"/>
      <c r="S135" s="1127"/>
      <c r="T135" s="948"/>
    </row>
    <row r="136" spans="2:20" s="431" customFormat="1" ht="102" x14ac:dyDescent="0.25">
      <c r="B136" s="919"/>
      <c r="C136" s="98"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36" s="900" t="s">
        <v>535</v>
      </c>
      <c r="E136" s="901" t="s">
        <v>536</v>
      </c>
      <c r="F136" s="902" t="s">
        <v>160</v>
      </c>
      <c r="G136" s="900" t="s">
        <v>141</v>
      </c>
      <c r="H136" s="1101">
        <v>10</v>
      </c>
      <c r="I136" s="1290"/>
      <c r="J136" s="1290"/>
      <c r="K136" s="1297">
        <f t="shared" ref="K136:K137" si="56">I136*J136</f>
        <v>0</v>
      </c>
      <c r="L136" s="1290"/>
      <c r="M136" s="1290"/>
      <c r="N136" s="1297">
        <f t="shared" ref="N136:N137" si="57">L136*M136</f>
        <v>0</v>
      </c>
      <c r="O136" s="1298"/>
      <c r="P136" s="1290">
        <v>78.482743102310309</v>
      </c>
      <c r="Q136" s="1298"/>
      <c r="R136" s="1291">
        <f t="shared" ref="R136:R137" si="58">P136+N136+K136</f>
        <v>78.482743102310309</v>
      </c>
      <c r="S136" s="1292">
        <f t="shared" ref="S136:S137" si="59">IF(F136="na","",H136*R136)</f>
        <v>784.82743102310314</v>
      </c>
      <c r="T136" s="935" t="s">
        <v>537</v>
      </c>
    </row>
    <row r="137" spans="2:20" s="431" customFormat="1" ht="102" x14ac:dyDescent="0.25">
      <c r="B137" s="919"/>
      <c r="C137" s="98"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37" s="900" t="s">
        <v>538</v>
      </c>
      <c r="E137" s="901" t="s">
        <v>539</v>
      </c>
      <c r="F137" s="902" t="s">
        <v>160</v>
      </c>
      <c r="G137" s="900" t="s">
        <v>141</v>
      </c>
      <c r="H137" s="1101">
        <v>10</v>
      </c>
      <c r="I137" s="1293">
        <v>2.5910914367436773</v>
      </c>
      <c r="J137" s="1293">
        <v>40</v>
      </c>
      <c r="K137" s="1295">
        <f t="shared" si="56"/>
        <v>103.6436574697471</v>
      </c>
      <c r="L137" s="1293">
        <v>1</v>
      </c>
      <c r="M137" s="1293">
        <v>1</v>
      </c>
      <c r="N137" s="1295">
        <f t="shared" si="57"/>
        <v>1</v>
      </c>
      <c r="O137" s="1296"/>
      <c r="P137" s="1293"/>
      <c r="Q137" s="1296"/>
      <c r="R137" s="1291">
        <f t="shared" si="58"/>
        <v>104.6436574697471</v>
      </c>
      <c r="S137" s="1124">
        <f t="shared" si="59"/>
        <v>1046.4365746974709</v>
      </c>
      <c r="T137" s="935"/>
    </row>
    <row r="138" spans="2:20" s="431" customFormat="1" ht="18" customHeight="1" x14ac:dyDescent="0.25">
      <c r="B138" s="945"/>
      <c r="C138" s="928"/>
      <c r="D138" s="946" t="s">
        <v>540</v>
      </c>
      <c r="E138" s="928" t="s">
        <v>541</v>
      </c>
      <c r="F138" s="947"/>
      <c r="G138" s="947"/>
      <c r="H138" s="1100"/>
      <c r="I138" s="1100"/>
      <c r="J138" s="1100"/>
      <c r="K138" s="1100"/>
      <c r="L138" s="1100"/>
      <c r="M138" s="1100"/>
      <c r="N138" s="1100"/>
      <c r="O138" s="1100"/>
      <c r="P138" s="1100"/>
      <c r="Q138" s="1100"/>
      <c r="R138" s="947"/>
      <c r="S138" s="1127"/>
      <c r="T138" s="948"/>
    </row>
    <row r="139" spans="2:20" s="431" customFormat="1" ht="102" x14ac:dyDescent="0.25">
      <c r="B139" s="919"/>
      <c r="C139" s="98"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39" s="900" t="s">
        <v>542</v>
      </c>
      <c r="E139" s="901" t="s">
        <v>543</v>
      </c>
      <c r="F139" s="902" t="s">
        <v>160</v>
      </c>
      <c r="G139" s="900" t="s">
        <v>141</v>
      </c>
      <c r="H139" s="1320">
        <v>500</v>
      </c>
      <c r="I139" s="1290"/>
      <c r="J139" s="1290"/>
      <c r="K139" s="1297">
        <f t="shared" ref="K139:K140" si="60">I139*J139</f>
        <v>0</v>
      </c>
      <c r="L139" s="1290"/>
      <c r="M139" s="1290"/>
      <c r="N139" s="1297">
        <f t="shared" ref="N139:N140" si="61">L139*M139</f>
        <v>0</v>
      </c>
      <c r="O139" s="1298"/>
      <c r="P139" s="1290">
        <v>13.080457183718387</v>
      </c>
      <c r="Q139" s="1298"/>
      <c r="R139" s="1291">
        <f t="shared" ref="R139:R140" si="62">P139+N139+K139</f>
        <v>13.080457183718387</v>
      </c>
      <c r="S139" s="1292">
        <f t="shared" ref="S139:S140" si="63">IF(F139="na","",H139*R139)</f>
        <v>6540.2285918591933</v>
      </c>
      <c r="T139" s="935"/>
    </row>
    <row r="140" spans="2:20" s="431" customFormat="1" ht="102" x14ac:dyDescent="0.25">
      <c r="B140" s="919"/>
      <c r="C140" s="98" t="str">
        <f>CONCATENATE('Reference documents'!B15," :
PPP.PVP.DIN.07 EARTHING SYSTEM with all subsections
- CONSTRUCTION TECHNICAL SPECIFICATIONS
- VENDOR INSTALLATION PROCEDURE SPECIFICATIONS")</f>
        <v>GRE.EEC.S.21.IT.P.18371.00.127.00 Technical Specification :
PPP.PVP.DIN.07 EARTHING SYSTEM with all subsections
- CONSTRUCTION TECHNICAL SPECIFICATIONS
- VENDOR INSTALLATION PROCEDURE SPECIFICATIONS</v>
      </c>
      <c r="D140" s="900" t="s">
        <v>544</v>
      </c>
      <c r="E140" s="901" t="s">
        <v>545</v>
      </c>
      <c r="F140" s="902" t="s">
        <v>160</v>
      </c>
      <c r="G140" s="900" t="s">
        <v>141</v>
      </c>
      <c r="H140" s="1101">
        <v>500</v>
      </c>
      <c r="I140" s="1293">
        <v>0.28566085811331166</v>
      </c>
      <c r="J140" s="1293">
        <v>40</v>
      </c>
      <c r="K140" s="1295">
        <f t="shared" si="60"/>
        <v>11.426434324532465</v>
      </c>
      <c r="L140" s="1293">
        <v>1</v>
      </c>
      <c r="M140" s="1293">
        <v>1</v>
      </c>
      <c r="N140" s="1295">
        <f t="shared" si="61"/>
        <v>1</v>
      </c>
      <c r="O140" s="1296"/>
      <c r="P140" s="1293"/>
      <c r="Q140" s="1296"/>
      <c r="R140" s="1291">
        <f t="shared" si="62"/>
        <v>12.426434324532465</v>
      </c>
      <c r="S140" s="1124">
        <f t="shared" si="63"/>
        <v>6213.2171622662327</v>
      </c>
      <c r="T140" s="935"/>
    </row>
    <row r="141" spans="2:20" s="431" customFormat="1" ht="18" customHeight="1" x14ac:dyDescent="0.25">
      <c r="B141" s="945"/>
      <c r="C141" s="928"/>
      <c r="D141" s="946"/>
      <c r="E141" s="928" t="s">
        <v>805</v>
      </c>
      <c r="F141" s="947"/>
      <c r="G141" s="947"/>
      <c r="H141" s="1100"/>
      <c r="I141" s="1100"/>
      <c r="J141" s="1100"/>
      <c r="K141" s="1100"/>
      <c r="L141" s="1100"/>
      <c r="M141" s="1100"/>
      <c r="N141" s="1100"/>
      <c r="O141" s="1100"/>
      <c r="P141" s="1100"/>
      <c r="Q141" s="1100"/>
      <c r="R141" s="947"/>
      <c r="S141" s="1127"/>
      <c r="T141" s="948"/>
    </row>
    <row r="142" spans="2:20" s="431" customFormat="1" ht="79.5" customHeight="1" x14ac:dyDescent="0.25">
      <c r="B142" s="919"/>
      <c r="C142" s="98" t="str">
        <f>CONCATENATE('Reference documents'!B15," :
PPP.PVP.CBL.01.001 AC Cables (sub-section named tests)
EGP.EEC.S.45.XX.P.00000.00.021.12 GRE.EEC.Q.45.XX.P.00000.00.078.04")</f>
        <v>GRE.EEC.S.21.IT.P.18371.00.127.00 Technical Specification :
PPP.PVP.CBL.01.001 AC Cables (sub-section named tests)
EGP.EEC.S.45.XX.P.00000.00.021.12 GRE.EEC.Q.45.XX.P.00000.00.078.04</v>
      </c>
      <c r="D142" s="900" t="s">
        <v>806</v>
      </c>
      <c r="E142" s="901" t="s">
        <v>807</v>
      </c>
      <c r="F142" s="902" t="s">
        <v>160</v>
      </c>
      <c r="G142" s="900" t="s">
        <v>464</v>
      </c>
      <c r="H142" s="1101">
        <v>0</v>
      </c>
      <c r="I142" s="1290"/>
      <c r="J142" s="1290"/>
      <c r="K142" s="1297">
        <f t="shared" ref="K142" si="64">I142*J142</f>
        <v>0</v>
      </c>
      <c r="L142" s="1290"/>
      <c r="M142" s="1290"/>
      <c r="N142" s="1297">
        <f t="shared" ref="N142" si="65">L142*M142</f>
        <v>0</v>
      </c>
      <c r="O142" s="1298"/>
      <c r="P142" s="1290"/>
      <c r="Q142" s="1298"/>
      <c r="R142" s="1291">
        <f t="shared" ref="R142" si="66">P142+N142+K142</f>
        <v>0</v>
      </c>
      <c r="S142" s="1292">
        <f t="shared" ref="S142" si="67">IF(F142="na","",H142*R142)</f>
        <v>0</v>
      </c>
      <c r="T142" s="935"/>
    </row>
    <row r="143" spans="2:20" ht="15" customHeight="1" x14ac:dyDescent="0.25">
      <c r="B143" s="1608" t="s">
        <v>93</v>
      </c>
      <c r="C143" s="1608"/>
      <c r="D143" s="1608"/>
      <c r="E143" s="1608"/>
      <c r="F143" s="1609" t="s">
        <v>154</v>
      </c>
      <c r="G143" s="1609"/>
      <c r="H143" s="1609"/>
      <c r="I143" s="1609"/>
      <c r="J143" s="1609"/>
      <c r="K143" s="1609"/>
      <c r="L143" s="1609"/>
      <c r="M143" s="1609"/>
      <c r="N143" s="1609"/>
      <c r="O143" s="1609"/>
      <c r="P143" s="1609"/>
      <c r="Q143" s="1609"/>
      <c r="R143" s="1609"/>
      <c r="S143" s="863">
        <f>SUMIFS(S149:S152,F149:F152,"Mandatory",E149:E152,"=*Supply")</f>
        <v>654.02285918591929</v>
      </c>
      <c r="T143" s="1221"/>
    </row>
    <row r="144" spans="2:20" ht="15" customHeight="1" x14ac:dyDescent="0.25">
      <c r="B144" s="1608"/>
      <c r="C144" s="1608"/>
      <c r="D144" s="1608"/>
      <c r="E144" s="1608"/>
      <c r="F144" s="1609" t="s">
        <v>156</v>
      </c>
      <c r="G144" s="1609"/>
      <c r="H144" s="1609"/>
      <c r="I144" s="1609"/>
      <c r="J144" s="1609"/>
      <c r="K144" s="1609"/>
      <c r="L144" s="1609"/>
      <c r="M144" s="1609"/>
      <c r="N144" s="1609"/>
      <c r="O144" s="1609"/>
      <c r="P144" s="1609"/>
      <c r="Q144" s="1609"/>
      <c r="R144" s="1609"/>
      <c r="S144" s="863">
        <f>SUMIFS(S149:S152,F149:F152,"Optional",E149:E152,"=*Supply")</f>
        <v>7500</v>
      </c>
      <c r="T144" s="1221"/>
    </row>
    <row r="145" spans="2:20" ht="15" customHeight="1" x14ac:dyDescent="0.25">
      <c r="B145" s="1608" t="s">
        <v>808</v>
      </c>
      <c r="C145" s="1608"/>
      <c r="D145" s="1608"/>
      <c r="E145" s="1608"/>
      <c r="F145" s="1609" t="s">
        <v>154</v>
      </c>
      <c r="G145" s="1609"/>
      <c r="H145" s="1609"/>
      <c r="I145" s="1609"/>
      <c r="J145" s="1609"/>
      <c r="K145" s="1609"/>
      <c r="L145" s="1609"/>
      <c r="M145" s="1609"/>
      <c r="N145" s="1609"/>
      <c r="O145" s="1609"/>
      <c r="P145" s="1609"/>
      <c r="Q145" s="1609"/>
      <c r="R145" s="1609"/>
      <c r="S145" s="863">
        <f>SUMIFS(S149:S152,F149:F152,"Mandatory",E149:E152,"=*Installation*")</f>
        <v>850.22971694169519</v>
      </c>
      <c r="T145" s="1221"/>
    </row>
    <row r="146" spans="2:20" ht="15" customHeight="1" x14ac:dyDescent="0.25">
      <c r="B146" s="1608"/>
      <c r="C146" s="1608"/>
      <c r="D146" s="1608"/>
      <c r="E146" s="1608"/>
      <c r="F146" s="1609" t="s">
        <v>156</v>
      </c>
      <c r="G146" s="1609"/>
      <c r="H146" s="1609"/>
      <c r="I146" s="1609"/>
      <c r="J146" s="1609"/>
      <c r="K146" s="1609"/>
      <c r="L146" s="1609"/>
      <c r="M146" s="1609"/>
      <c r="N146" s="1609"/>
      <c r="O146" s="1609"/>
      <c r="P146" s="1609"/>
      <c r="Q146" s="1609"/>
      <c r="R146" s="1609"/>
      <c r="S146" s="863">
        <f>SUMIFS(S149:S152,F149:F152,"Optional",E149:E152,"=*Installation*")</f>
        <v>780</v>
      </c>
      <c r="T146" s="1221"/>
    </row>
    <row r="147" spans="2:20" s="171" customFormat="1" ht="15" customHeight="1" x14ac:dyDescent="0.2">
      <c r="B147" s="926"/>
      <c r="C147" s="927"/>
      <c r="D147" s="941" t="s">
        <v>547</v>
      </c>
      <c r="E147" s="928" t="s">
        <v>548</v>
      </c>
      <c r="F147" s="929"/>
      <c r="G147" s="929"/>
      <c r="H147" s="1102"/>
      <c r="I147" s="1102"/>
      <c r="J147" s="1102"/>
      <c r="K147" s="1102"/>
      <c r="L147" s="1102"/>
      <c r="M147" s="1102"/>
      <c r="N147" s="1102"/>
      <c r="O147" s="1102"/>
      <c r="P147" s="1102"/>
      <c r="Q147" s="1102"/>
      <c r="R147" s="929"/>
      <c r="S147" s="1128"/>
      <c r="T147" s="930"/>
    </row>
    <row r="148" spans="2:20" s="171" customFormat="1" ht="30" customHeight="1" x14ac:dyDescent="0.2">
      <c r="B148" s="926"/>
      <c r="C148" s="927"/>
      <c r="D148" s="941" t="s">
        <v>549</v>
      </c>
      <c r="E148" s="928" t="s">
        <v>550</v>
      </c>
      <c r="F148" s="929"/>
      <c r="G148" s="929"/>
      <c r="H148" s="1102"/>
      <c r="I148" s="1102"/>
      <c r="J148" s="1102"/>
      <c r="K148" s="1102"/>
      <c r="L148" s="1102"/>
      <c r="M148" s="1102"/>
      <c r="N148" s="1102"/>
      <c r="O148" s="1102"/>
      <c r="P148" s="1102"/>
      <c r="Q148" s="1102"/>
      <c r="R148" s="929"/>
      <c r="S148" s="1128"/>
      <c r="T148" s="930"/>
    </row>
    <row r="149" spans="2:20" s="431" customFormat="1" ht="114.75" x14ac:dyDescent="0.25">
      <c r="B149" s="919"/>
      <c r="C149" s="98" t="str">
        <f>CONCATENATE('Reference documents'!B15," :
PPP.PVP.MVC.03.004 Anti-Rodent System
PPP.PVP.OAT.01.002 Equipment Sealing
PPP.PVP.DIN.02.002 Foundation
PPP.PVP.DIN.02.003 Concrete Structure Sealing
PPP.PVP.WRK.04 ELECTRICAL FIELD BOX ACTIVITIES")</f>
        <v>GRE.EEC.S.21.IT.P.18371.00.127.00 Technical Specification :
PPP.PVP.MVC.03.004 Anti-Rodent System
PPP.PVP.OAT.01.002 Equipment Sealing
PPP.PVP.DIN.02.002 Foundation
PPP.PVP.DIN.02.003 Concrete Structure Sealing
PPP.PVP.WRK.04 ELECTRICAL FIELD BOX ACTIVITIES</v>
      </c>
      <c r="D149" s="900" t="s">
        <v>551</v>
      </c>
      <c r="E149" s="901" t="s">
        <v>552</v>
      </c>
      <c r="F149" s="902" t="s">
        <v>160</v>
      </c>
      <c r="G149" s="900" t="s">
        <v>553</v>
      </c>
      <c r="H149" s="1101">
        <v>10</v>
      </c>
      <c r="I149" s="1290"/>
      <c r="J149" s="1290"/>
      <c r="K149" s="1297">
        <f t="shared" ref="K149:K150" si="68">I149*J149</f>
        <v>0</v>
      </c>
      <c r="L149" s="1290"/>
      <c r="M149" s="1290"/>
      <c r="N149" s="1297">
        <f t="shared" ref="N149:N150" si="69">L149*M149</f>
        <v>0</v>
      </c>
      <c r="O149" s="1298"/>
      <c r="P149" s="1290">
        <v>65.402285918591929</v>
      </c>
      <c r="Q149" s="1298"/>
      <c r="R149" s="1291">
        <f t="shared" ref="R149:R150" si="70">P149+N149+K149</f>
        <v>65.402285918591929</v>
      </c>
      <c r="S149" s="1292">
        <f>IF(F149="na","",H149*R149)</f>
        <v>654.02285918591929</v>
      </c>
      <c r="T149" s="935"/>
    </row>
    <row r="150" spans="2:20" s="431" customFormat="1" ht="165.75" x14ac:dyDescent="0.25">
      <c r="B150" s="919"/>
      <c r="C150" s="98" t="str">
        <f>CONCATENATE('Reference documents'!B15,"
PPP.PVP.MVC.03.004 Anti-Rodent System
PPP.PVP.OAT.01.002 Equipment Sealing
PPP.PVP.DIN.02.002 Foundation","
PPP.PVP.DIN.02.003 Concrete Structure Sealing
PPP.PVP.WRK.04 ELECTRICAL FIELD BOX ACTIVITIES
- CONSTRUCTION TECHNICAL SPECIFICATIONS
- VENDOR INSTALLATION PROCEDURE SPECIFICATIONS")</f>
        <v>GRE.EEC.S.21.IT.P.18371.00.127.00 Technical Specification
PPP.PVP.MVC.03.004 Anti-Rodent System
PPP.PVP.OAT.01.002 Equipment Sealing
PPP.PVP.DIN.02.002 Foundation
PPP.PVP.DIN.02.003 Concrete Structure Sealing
PPP.PVP.WRK.04 ELECTRICAL FIELD BOX ACTIVITIES
- CONSTRUCTION TECHNICAL SPECIFICATIONS
- VENDOR INSTALLATION PROCEDURE SPECIFICATIONS</v>
      </c>
      <c r="D150" s="900" t="s">
        <v>554</v>
      </c>
      <c r="E150" s="901" t="s">
        <v>555</v>
      </c>
      <c r="F150" s="902" t="s">
        <v>160</v>
      </c>
      <c r="G150" s="900" t="s">
        <v>553</v>
      </c>
      <c r="H150" s="1101">
        <v>10</v>
      </c>
      <c r="I150" s="1293">
        <v>2.1005742923542376</v>
      </c>
      <c r="J150" s="1293">
        <v>40</v>
      </c>
      <c r="K150" s="1295">
        <f t="shared" si="68"/>
        <v>84.022971694169513</v>
      </c>
      <c r="L150" s="1293">
        <v>1</v>
      </c>
      <c r="M150" s="1293">
        <v>1</v>
      </c>
      <c r="N150" s="1295">
        <f t="shared" si="69"/>
        <v>1</v>
      </c>
      <c r="O150" s="1296"/>
      <c r="P150" s="1293"/>
      <c r="Q150" s="1296"/>
      <c r="R150" s="1291">
        <f t="shared" si="70"/>
        <v>85.022971694169513</v>
      </c>
      <c r="S150" s="1124">
        <f t="shared" ref="S150" si="71">IF(F150="na","",H150*R150)</f>
        <v>850.22971694169519</v>
      </c>
      <c r="T150" s="935"/>
    </row>
    <row r="151" spans="2:20" s="431" customFormat="1" ht="153" x14ac:dyDescent="0.25">
      <c r="B151" s="919"/>
      <c r="C151" s="1427" t="s">
        <v>1673</v>
      </c>
      <c r="D151" s="900" t="s">
        <v>1674</v>
      </c>
      <c r="E151" s="901" t="s">
        <v>2609</v>
      </c>
      <c r="F151" s="902" t="s">
        <v>167</v>
      </c>
      <c r="G151" s="900" t="s">
        <v>464</v>
      </c>
      <c r="H151" s="1419">
        <v>1</v>
      </c>
      <c r="I151" s="1293"/>
      <c r="J151" s="1293"/>
      <c r="K151" s="1295">
        <f>I151*J151</f>
        <v>0</v>
      </c>
      <c r="L151" s="1293"/>
      <c r="M151" s="1293"/>
      <c r="N151" s="1295">
        <f>L151*M151</f>
        <v>0</v>
      </c>
      <c r="O151" s="1057"/>
      <c r="P151" s="1055">
        <v>7500</v>
      </c>
      <c r="Q151" s="1057"/>
      <c r="R151" s="1291">
        <f>P151+N151+K151</f>
        <v>7500</v>
      </c>
      <c r="S151" s="1292">
        <f>IF(F151="na","",H151*R151)</f>
        <v>7500</v>
      </c>
      <c r="T151" s="935"/>
    </row>
    <row r="152" spans="2:20" s="431" customFormat="1" ht="153" x14ac:dyDescent="0.25">
      <c r="B152" s="919"/>
      <c r="C152" s="1427" t="s">
        <v>1673</v>
      </c>
      <c r="D152" s="900" t="s">
        <v>1675</v>
      </c>
      <c r="E152" s="901" t="s">
        <v>1676</v>
      </c>
      <c r="F152" s="902" t="s">
        <v>167</v>
      </c>
      <c r="G152" s="900" t="s">
        <v>464</v>
      </c>
      <c r="H152" s="1419">
        <v>1</v>
      </c>
      <c r="I152" s="1055">
        <v>19.5</v>
      </c>
      <c r="J152" s="1055">
        <v>40</v>
      </c>
      <c r="K152" s="1295">
        <f>I152*J152</f>
        <v>780</v>
      </c>
      <c r="L152" s="1055"/>
      <c r="M152" s="1055"/>
      <c r="N152" s="1297">
        <f>L152*M152</f>
        <v>0</v>
      </c>
      <c r="O152" s="1057"/>
      <c r="P152" s="1055"/>
      <c r="Q152" s="1057"/>
      <c r="R152" s="1291">
        <f>P152+N152+K152</f>
        <v>780</v>
      </c>
      <c r="S152" s="1124">
        <f>IF(F152="na","",H152*R152)</f>
        <v>780</v>
      </c>
      <c r="T152" s="935"/>
    </row>
    <row r="153" spans="2:20" ht="15" customHeight="1" x14ac:dyDescent="0.25">
      <c r="B153" s="1608" t="s">
        <v>103</v>
      </c>
      <c r="C153" s="1608"/>
      <c r="D153" s="1608"/>
      <c r="E153" s="1608"/>
      <c r="F153" s="1605" t="s">
        <v>154</v>
      </c>
      <c r="G153" s="1606"/>
      <c r="H153" s="1606"/>
      <c r="I153" s="1606"/>
      <c r="J153" s="1606"/>
      <c r="K153" s="1606"/>
      <c r="L153" s="1606"/>
      <c r="M153" s="1606"/>
      <c r="N153" s="1606"/>
      <c r="O153" s="1606"/>
      <c r="P153" s="1606"/>
      <c r="Q153" s="1606"/>
      <c r="R153" s="1607"/>
      <c r="S153" s="863">
        <f>SUMIFS(S159:S177,F159:F177,"Mandatory",E159:E177,"=*Supply")</f>
        <v>154022.38333828401</v>
      </c>
      <c r="T153" s="1221"/>
    </row>
    <row r="154" spans="2:20" ht="15" customHeight="1" x14ac:dyDescent="0.25">
      <c r="B154" s="1608"/>
      <c r="C154" s="1608"/>
      <c r="D154" s="1608"/>
      <c r="E154" s="1608"/>
      <c r="F154" s="1609" t="s">
        <v>156</v>
      </c>
      <c r="G154" s="1609"/>
      <c r="H154" s="1609"/>
      <c r="I154" s="1609"/>
      <c r="J154" s="1609"/>
      <c r="K154" s="1609"/>
      <c r="L154" s="1609"/>
      <c r="M154" s="1609"/>
      <c r="N154" s="1609"/>
      <c r="O154" s="1609"/>
      <c r="P154" s="1609"/>
      <c r="Q154" s="1609"/>
      <c r="R154" s="1609"/>
      <c r="S154" s="863">
        <f>SUMIFS(S159:S177,F159:F177,"Optional",E159:E177,"=*Supply")</f>
        <v>0</v>
      </c>
      <c r="T154" s="1221"/>
    </row>
    <row r="155" spans="2:20" ht="15" customHeight="1" x14ac:dyDescent="0.25">
      <c r="B155" s="1608" t="s">
        <v>809</v>
      </c>
      <c r="C155" s="1608"/>
      <c r="D155" s="1608"/>
      <c r="E155" s="1608"/>
      <c r="F155" s="1609" t="s">
        <v>154</v>
      </c>
      <c r="G155" s="1609"/>
      <c r="H155" s="1609"/>
      <c r="I155" s="1609"/>
      <c r="J155" s="1609"/>
      <c r="K155" s="1609"/>
      <c r="L155" s="1609"/>
      <c r="M155" s="1609"/>
      <c r="N155" s="1609"/>
      <c r="O155" s="1609"/>
      <c r="P155" s="1609"/>
      <c r="Q155" s="1609"/>
      <c r="R155" s="1609"/>
      <c r="S155" s="863">
        <f>SUMIFS(S159:S177,F159:F177,"Mandatory",E159:E177,"=*Installation*")</f>
        <v>60274.746702574317</v>
      </c>
      <c r="T155" s="1221"/>
    </row>
    <row r="156" spans="2:20" ht="15" customHeight="1" x14ac:dyDescent="0.25">
      <c r="B156" s="1608"/>
      <c r="C156" s="1608"/>
      <c r="D156" s="1608"/>
      <c r="E156" s="1608"/>
      <c r="F156" s="1609" t="s">
        <v>156</v>
      </c>
      <c r="G156" s="1609"/>
      <c r="H156" s="1609"/>
      <c r="I156" s="1609"/>
      <c r="J156" s="1609"/>
      <c r="K156" s="1609"/>
      <c r="L156" s="1609"/>
      <c r="M156" s="1609"/>
      <c r="N156" s="1609"/>
      <c r="O156" s="1609"/>
      <c r="P156" s="1609"/>
      <c r="Q156" s="1609"/>
      <c r="R156" s="1609"/>
      <c r="S156" s="863">
        <f>SUMIFS(S159:S177,F159:F177,"Optional",E159:E177,"=*Installation*")</f>
        <v>0</v>
      </c>
      <c r="T156" s="1221"/>
    </row>
    <row r="157" spans="2:20" ht="15" customHeight="1" x14ac:dyDescent="0.25">
      <c r="B157" s="1599" t="s">
        <v>810</v>
      </c>
      <c r="C157" s="1600"/>
      <c r="D157" s="1600"/>
      <c r="E157" s="1601"/>
      <c r="F157" s="1605" t="s">
        <v>154</v>
      </c>
      <c r="G157" s="1606"/>
      <c r="H157" s="1606"/>
      <c r="I157" s="1606"/>
      <c r="J157" s="1606"/>
      <c r="K157" s="1606"/>
      <c r="L157" s="1606"/>
      <c r="M157" s="1606"/>
      <c r="N157" s="1606"/>
      <c r="O157" s="1606"/>
      <c r="P157" s="1606"/>
      <c r="Q157" s="1606"/>
      <c r="R157" s="1607"/>
      <c r="S157" s="863">
        <f>SUMIFS(S159:S177,F159:F177,"Mandatory",E159:E177,"=*Test")</f>
        <v>0</v>
      </c>
      <c r="T157" s="1221"/>
    </row>
    <row r="158" spans="2:20" ht="15" customHeight="1" x14ac:dyDescent="0.25">
      <c r="B158" s="1602"/>
      <c r="C158" s="1603"/>
      <c r="D158" s="1603"/>
      <c r="E158" s="1604"/>
      <c r="F158" s="1605" t="s">
        <v>156</v>
      </c>
      <c r="G158" s="1606"/>
      <c r="H158" s="1606"/>
      <c r="I158" s="1606"/>
      <c r="J158" s="1606"/>
      <c r="K158" s="1606"/>
      <c r="L158" s="1606"/>
      <c r="M158" s="1606"/>
      <c r="N158" s="1606"/>
      <c r="O158" s="1606"/>
      <c r="P158" s="1606"/>
      <c r="Q158" s="1606"/>
      <c r="R158" s="1607"/>
      <c r="S158" s="863">
        <f>SUMIFS(S159:S177,F159:F177,"Optional",E159:E177,"=*Test")</f>
        <v>0</v>
      </c>
      <c r="T158" s="1221"/>
    </row>
    <row r="159" spans="2:20" s="431" customFormat="1" ht="18" customHeight="1" x14ac:dyDescent="0.25">
      <c r="B159" s="945"/>
      <c r="C159" s="928"/>
      <c r="D159" s="946" t="s">
        <v>557</v>
      </c>
      <c r="E159" s="928" t="s">
        <v>94</v>
      </c>
      <c r="F159" s="947"/>
      <c r="G159" s="947"/>
      <c r="H159" s="1100"/>
      <c r="I159" s="1100"/>
      <c r="J159" s="1100"/>
      <c r="K159" s="1100"/>
      <c r="L159" s="1100"/>
      <c r="M159" s="1100"/>
      <c r="N159" s="1100"/>
      <c r="O159" s="1100"/>
      <c r="P159" s="1100"/>
      <c r="Q159" s="1100"/>
      <c r="R159" s="947"/>
      <c r="S159" s="1127"/>
      <c r="T159" s="948"/>
    </row>
    <row r="160" spans="2:20" s="171" customFormat="1" ht="31.5" customHeight="1" x14ac:dyDescent="0.2">
      <c r="B160" s="926"/>
      <c r="C160" s="927"/>
      <c r="D160" s="946" t="s">
        <v>558</v>
      </c>
      <c r="E160" s="928" t="s">
        <v>559</v>
      </c>
      <c r="F160" s="929"/>
      <c r="G160" s="929"/>
      <c r="H160" s="1102"/>
      <c r="I160" s="1102"/>
      <c r="J160" s="1102"/>
      <c r="K160" s="1102"/>
      <c r="L160" s="1102"/>
      <c r="M160" s="1102"/>
      <c r="N160" s="1102"/>
      <c r="O160" s="1102"/>
      <c r="P160" s="1102"/>
      <c r="Q160" s="1102"/>
      <c r="R160" s="929"/>
      <c r="S160" s="1128"/>
      <c r="T160" s="930"/>
    </row>
    <row r="161" spans="2:20" s="431" customFormat="1" ht="127.5" x14ac:dyDescent="0.25">
      <c r="B161" s="919"/>
      <c r="C161" s="98" t="str">
        <f>CONCATENATE('Reference documents'!B15,":
PPP.PVP.DIN.03 SECURITY SYSTEM (with all sub-section)
- CONSTRUCTION TECHNICAL SPECIFICATIONS
- VENDOR INSTALLATION AND TESTING PROCEDURE SPECIFICATIONS
- COMMISIONING TECHNICAL SPECIFICATIONS")</f>
        <v>GRE.EEC.S.21.IT.P.18371.00.127.00 Technical Specification:
PPP.PVP.DIN.03 SECURITY SYSTEM (with all sub-section)
- CONSTRUCTION TECHNICAL SPECIFICATIONS
- VENDOR INSTALLATION AND TESTING PROCEDURE SPECIFICATIONS
- COMMISIONING TECHNICAL SPECIFICATIONS</v>
      </c>
      <c r="D161" s="900" t="s">
        <v>560</v>
      </c>
      <c r="E161" s="901" t="s">
        <v>561</v>
      </c>
      <c r="F161" s="902" t="s">
        <v>160</v>
      </c>
      <c r="G161" s="900" t="s">
        <v>141</v>
      </c>
      <c r="H161" s="1101">
        <v>1</v>
      </c>
      <c r="I161" s="1290"/>
      <c r="J161" s="1290"/>
      <c r="K161" s="1297">
        <f t="shared" ref="K161:K172" si="72">I161*J161</f>
        <v>0</v>
      </c>
      <c r="L161" s="1290"/>
      <c r="M161" s="1290"/>
      <c r="N161" s="1297">
        <f t="shared" ref="N161:N172" si="73">L161*M161</f>
        <v>0</v>
      </c>
      <c r="O161" s="1298"/>
      <c r="P161" s="1290">
        <v>9156.3200286028696</v>
      </c>
      <c r="Q161" s="1298"/>
      <c r="R161" s="1291">
        <f>P161+N161+K161</f>
        <v>9156.3200286028696</v>
      </c>
      <c r="S161" s="1292">
        <f t="shared" ref="S161:S172" si="74">IF(F161="na","",H161*R161)</f>
        <v>9156.3200286028696</v>
      </c>
      <c r="T161" s="935"/>
    </row>
    <row r="162" spans="2:20" s="431" customFormat="1" ht="127.5" x14ac:dyDescent="0.25">
      <c r="B162" s="919"/>
      <c r="C162" s="98" t="str">
        <f>CONCATENATE('Reference documents'!B15," :
PPP.PVP.DIN.03 SECURITY SYSTEM (with all sub-section)
- CONSTRUCTION TECHNICAL SPECIFICATIONS
- VENDOR INSTALLATION AND TESTING PROCEDURE SPECIFICATIONS
- COMMISIONING TECHNICAL SPECIFICATIONS")</f>
        <v>GRE.EEC.S.21.IT.P.18371.00.127.00 Technical Specification :
PPP.PVP.DIN.03 SECURITY SYSTEM (with all sub-section)
- CONSTRUCTION TECHNICAL SPECIFICATIONS
- VENDOR INSTALLATION AND TESTING PROCEDURE SPECIFICATIONS
- COMMISIONING TECHNICAL SPECIFICATIONS</v>
      </c>
      <c r="D162" s="900" t="s">
        <v>562</v>
      </c>
      <c r="E162" s="901" t="s">
        <v>563</v>
      </c>
      <c r="F162" s="902" t="s">
        <v>160</v>
      </c>
      <c r="G162" s="900" t="s">
        <v>141</v>
      </c>
      <c r="H162" s="1101">
        <v>1</v>
      </c>
      <c r="I162" s="1315">
        <v>63.076423073707439</v>
      </c>
      <c r="J162" s="1315">
        <v>40</v>
      </c>
      <c r="K162" s="1316">
        <f t="shared" si="72"/>
        <v>2523.0569229482976</v>
      </c>
      <c r="L162" s="1315">
        <v>1</v>
      </c>
      <c r="M162" s="1315">
        <v>250</v>
      </c>
      <c r="N162" s="1316">
        <f t="shared" si="73"/>
        <v>250</v>
      </c>
      <c r="O162" s="1317"/>
      <c r="P162" s="1315"/>
      <c r="Q162" s="1317"/>
      <c r="R162" s="1291">
        <f>P162+N162+K162</f>
        <v>2773.0569229482976</v>
      </c>
      <c r="S162" s="1194">
        <f t="shared" si="74"/>
        <v>2773.0569229482976</v>
      </c>
      <c r="T162" s="935"/>
    </row>
    <row r="163" spans="2:20" s="431" customFormat="1" ht="127.5" x14ac:dyDescent="0.25">
      <c r="B163" s="919"/>
      <c r="C163" s="98" t="str">
        <f>CONCATENATE('Reference documents'!B15," :
PPP.PVP.DIN.03 SECURITY SYSTEM (with all sub-section)
- CONSTRUCTION TECHNICAL SPECIFICATIONS
- VENDOR INSTALLATION AND TESTING PROCEDURE SPECIFICATIONS
- COMMISIONING TECHNICAL SPECIFICATIONS")</f>
        <v>GRE.EEC.S.21.IT.P.18371.00.127.00 Technical Specification :
PPP.PVP.DIN.03 SECURITY SYSTEM (with all sub-section)
- CONSTRUCTION TECHNICAL SPECIFICATIONS
- VENDOR INSTALLATION AND TESTING PROCEDURE SPECIFICATIONS
- COMMISIONING TECHNICAL SPECIFICATIONS</v>
      </c>
      <c r="D163" s="900" t="s">
        <v>564</v>
      </c>
      <c r="E163" s="901" t="s">
        <v>565</v>
      </c>
      <c r="F163" s="902" t="s">
        <v>160</v>
      </c>
      <c r="G163" s="900" t="s">
        <v>141</v>
      </c>
      <c r="H163" s="1101">
        <v>1</v>
      </c>
      <c r="I163" s="1315"/>
      <c r="J163" s="1315"/>
      <c r="K163" s="1316">
        <f t="shared" si="72"/>
        <v>0</v>
      </c>
      <c r="L163" s="1315"/>
      <c r="M163" s="1315"/>
      <c r="N163" s="1316">
        <f t="shared" si="73"/>
        <v>0</v>
      </c>
      <c r="O163" s="1317"/>
      <c r="P163" s="1315">
        <v>1962.0685775577579</v>
      </c>
      <c r="Q163" s="1317"/>
      <c r="R163" s="1291">
        <f t="shared" ref="R163:R172" si="75">P163+N163+K163</f>
        <v>1962.0685775577579</v>
      </c>
      <c r="S163" s="1194">
        <f t="shared" si="74"/>
        <v>1962.0685775577579</v>
      </c>
      <c r="T163" s="935"/>
    </row>
    <row r="164" spans="2:20" s="431" customFormat="1" ht="127.5" x14ac:dyDescent="0.25">
      <c r="B164" s="919"/>
      <c r="C164" s="98" t="str">
        <f>CONCATENATE('Reference documents'!B15," :
PPP.PVP.DIN.03 SECURITY SYSTEM (with all sub-section)
- CONSTRUCTION TECHNICAL SPECIFICATIONS
- VENDOR INSTALLATION AND TESTING PROCEDURE SPECIFICATIONS
- COMMISIONING TECHNICAL SPECIFICATIONS")</f>
        <v>GRE.EEC.S.21.IT.P.18371.00.127.00 Technical Specification :
PPP.PVP.DIN.03 SECURITY SYSTEM (with all sub-section)
- CONSTRUCTION TECHNICAL SPECIFICATIONS
- VENDOR INSTALLATION AND TESTING PROCEDURE SPECIFICATIONS
- COMMISIONING TECHNICAL SPECIFICATIONS</v>
      </c>
      <c r="D164" s="900" t="s">
        <v>566</v>
      </c>
      <c r="E164" s="901" t="s">
        <v>567</v>
      </c>
      <c r="F164" s="902" t="s">
        <v>160</v>
      </c>
      <c r="G164" s="900" t="s">
        <v>141</v>
      </c>
      <c r="H164" s="1101">
        <v>1</v>
      </c>
      <c r="I164" s="1315">
        <v>36.683325832783318</v>
      </c>
      <c r="J164" s="1315">
        <v>40</v>
      </c>
      <c r="K164" s="1316">
        <f t="shared" si="72"/>
        <v>1467.3330333113327</v>
      </c>
      <c r="L164" s="1315">
        <v>1</v>
      </c>
      <c r="M164" s="1315">
        <v>50</v>
      </c>
      <c r="N164" s="1316">
        <f t="shared" si="73"/>
        <v>50</v>
      </c>
      <c r="O164" s="1317"/>
      <c r="P164" s="1315"/>
      <c r="Q164" s="1317"/>
      <c r="R164" s="1291">
        <f t="shared" si="75"/>
        <v>1517.3330333113327</v>
      </c>
      <c r="S164" s="1194">
        <f t="shared" si="74"/>
        <v>1517.3330333113327</v>
      </c>
      <c r="T164" s="935"/>
    </row>
    <row r="165" spans="2:20" s="431" customFormat="1" ht="127.5" x14ac:dyDescent="0.25">
      <c r="B165" s="919"/>
      <c r="C165" s="98" t="str">
        <f>CONCATENATE('Reference documents'!B15," :
PPP.PVP.DIN.03 SECURITY SYSTEM (with all sub-section)
- CONSTRUCTION TECHNICAL SPECIFICATIONS
- VENDOR INSTALLATION AND TESTING PROCEDURE SPECIFICATIONS
- COMMISIONING TECHNICAL SPECIFICATIONS")</f>
        <v>GRE.EEC.S.21.IT.P.18371.00.127.00 Technical Specification :
PPP.PVP.DIN.03 SECURITY SYSTEM (with all sub-section)
- CONSTRUCTION TECHNICAL SPECIFICATIONS
- VENDOR INSTALLATION AND TESTING PROCEDURE SPECIFICATIONS
- COMMISIONING TECHNICAL SPECIFICATIONS</v>
      </c>
      <c r="D165" s="900" t="s">
        <v>568</v>
      </c>
      <c r="E165" s="901" t="s">
        <v>569</v>
      </c>
      <c r="F165" s="902" t="s">
        <v>160</v>
      </c>
      <c r="G165" s="900" t="s">
        <v>141</v>
      </c>
      <c r="H165" s="1101">
        <v>10</v>
      </c>
      <c r="I165" s="1315"/>
      <c r="J165" s="1315"/>
      <c r="K165" s="1316">
        <f t="shared" si="72"/>
        <v>0</v>
      </c>
      <c r="L165" s="1315"/>
      <c r="M165" s="1315"/>
      <c r="N165" s="1316">
        <f t="shared" si="73"/>
        <v>0</v>
      </c>
      <c r="O165" s="1317"/>
      <c r="P165" s="1315">
        <v>1831.264005720574</v>
      </c>
      <c r="Q165" s="1317"/>
      <c r="R165" s="1291">
        <f t="shared" si="75"/>
        <v>1831.264005720574</v>
      </c>
      <c r="S165" s="1194">
        <f t="shared" si="74"/>
        <v>18312.640057205739</v>
      </c>
      <c r="T165" s="935"/>
    </row>
    <row r="166" spans="2:20" s="431" customFormat="1" ht="127.5" x14ac:dyDescent="0.25">
      <c r="B166" s="919"/>
      <c r="C166" s="98" t="str">
        <f>CONCATENATE('Reference documents'!B15," :
PPP.PVP.DIN.03 SECURITY SYSTEM (with all sub-section)
- CONSTRUCTION TECHNICAL SPECIFICATIONS
- VENDOR INSTALLATION AND TESTING PROCEDURE SPECIFICATIONS
- COMMISIONING TECHNICAL SPECIFICATIONS")</f>
        <v>GRE.EEC.S.21.IT.P.18371.00.127.00 Technical Specification :
PPP.PVP.DIN.03 SECURITY SYSTEM (with all sub-section)
- CONSTRUCTION TECHNICAL SPECIFICATIONS
- VENDOR INSTALLATION AND TESTING PROCEDURE SPECIFICATIONS
- COMMISIONING TECHNICAL SPECIFICATIONS</v>
      </c>
      <c r="D166" s="900" t="s">
        <v>570</v>
      </c>
      <c r="E166" s="901" t="s">
        <v>571</v>
      </c>
      <c r="F166" s="902" t="s">
        <v>160</v>
      </c>
      <c r="G166" s="900" t="s">
        <v>141</v>
      </c>
      <c r="H166" s="1101">
        <v>10</v>
      </c>
      <c r="I166" s="1315">
        <v>32.778154388888922</v>
      </c>
      <c r="J166" s="1315">
        <v>40</v>
      </c>
      <c r="K166" s="1316">
        <f t="shared" si="72"/>
        <v>1311.126175555557</v>
      </c>
      <c r="L166" s="1315">
        <v>1</v>
      </c>
      <c r="M166" s="1315">
        <v>10</v>
      </c>
      <c r="N166" s="1316">
        <f t="shared" si="73"/>
        <v>10</v>
      </c>
      <c r="O166" s="1317"/>
      <c r="P166" s="1315"/>
      <c r="Q166" s="1317"/>
      <c r="R166" s="1291">
        <f t="shared" si="75"/>
        <v>1321.126175555557</v>
      </c>
      <c r="S166" s="1194">
        <f t="shared" si="74"/>
        <v>13211.26175555557</v>
      </c>
      <c r="T166" s="935"/>
    </row>
    <row r="167" spans="2:20" s="431" customFormat="1" ht="127.5" x14ac:dyDescent="0.25">
      <c r="B167" s="919"/>
      <c r="C167" s="98" t="str">
        <f>CONCATENATE('Reference documents'!B15," :
PPP.PVP.DIN.03 SECURITY SYSTEM (with all sub-section)
- CONSTRUCTION TECHNICAL SPECIFICATIONS
- VENDOR INSTALLATION AND TESTING PROCEDURE SPECIFICATIONS
- COMMISIONING TECHNICAL SPECIFICATIONS")</f>
        <v>GRE.EEC.S.21.IT.P.18371.00.127.00 Technical Specification :
PPP.PVP.DIN.03 SECURITY SYSTEM (with all sub-section)
- CONSTRUCTION TECHNICAL SPECIFICATIONS
- VENDOR INSTALLATION AND TESTING PROCEDURE SPECIFICATIONS
- COMMISIONING TECHNICAL SPECIFICATIONS</v>
      </c>
      <c r="D167" s="900" t="s">
        <v>572</v>
      </c>
      <c r="E167" s="901" t="s">
        <v>573</v>
      </c>
      <c r="F167" s="902" t="s">
        <v>160</v>
      </c>
      <c r="G167" s="900" t="s">
        <v>141</v>
      </c>
      <c r="H167" s="1101">
        <v>1500</v>
      </c>
      <c r="I167" s="1315"/>
      <c r="J167" s="1315"/>
      <c r="K167" s="1316">
        <f t="shared" si="72"/>
        <v>0</v>
      </c>
      <c r="L167" s="1315"/>
      <c r="M167" s="1315"/>
      <c r="N167" s="1316">
        <f t="shared" si="73"/>
        <v>0</v>
      </c>
      <c r="O167" s="1317"/>
      <c r="P167" s="1315">
        <v>5.2321828734873543</v>
      </c>
      <c r="Q167" s="1317"/>
      <c r="R167" s="1291">
        <f t="shared" si="75"/>
        <v>5.2321828734873543</v>
      </c>
      <c r="S167" s="1194">
        <f t="shared" si="74"/>
        <v>7848.2743102310314</v>
      </c>
      <c r="T167" s="935"/>
    </row>
    <row r="168" spans="2:20" s="431" customFormat="1" ht="127.5" x14ac:dyDescent="0.25">
      <c r="B168" s="919"/>
      <c r="C168" s="98" t="str">
        <f>CONCATENATE('Reference documents'!B15," :
PPP.PVP.DIN.03 SECURITY SYSTEM (with all sub-section)
- CONSTRUCTION TECHNICAL SPECIFICATIONS
- VENDOR INSTALLATION AND TESTING PROCEDURE SPECIFICATIONS
- COMMISIONING TECHNICAL SPECIFICATIONS")</f>
        <v>GRE.EEC.S.21.IT.P.18371.00.127.00 Technical Specification :
PPP.PVP.DIN.03 SECURITY SYSTEM (with all sub-section)
- CONSTRUCTION TECHNICAL SPECIFICATIONS
- VENDOR INSTALLATION AND TESTING PROCEDURE SPECIFICATIONS
- COMMISIONING TECHNICAL SPECIFICATIONS</v>
      </c>
      <c r="D168" s="900" t="s">
        <v>575</v>
      </c>
      <c r="E168" s="901" t="s">
        <v>576</v>
      </c>
      <c r="F168" s="902" t="s">
        <v>160</v>
      </c>
      <c r="G168" s="900" t="s">
        <v>141</v>
      </c>
      <c r="H168" s="1101">
        <v>1500</v>
      </c>
      <c r="I168" s="1315">
        <v>0.11647411465346547</v>
      </c>
      <c r="J168" s="1315">
        <v>40</v>
      </c>
      <c r="K168" s="1316">
        <f t="shared" si="72"/>
        <v>4.6589645861386186</v>
      </c>
      <c r="L168" s="1315">
        <v>1</v>
      </c>
      <c r="M168" s="1315">
        <v>0.05</v>
      </c>
      <c r="N168" s="1316">
        <f t="shared" si="73"/>
        <v>0.05</v>
      </c>
      <c r="O168" s="1317"/>
      <c r="P168" s="1315"/>
      <c r="Q168" s="1317"/>
      <c r="R168" s="1291">
        <f t="shared" si="75"/>
        <v>4.7089645861386185</v>
      </c>
      <c r="S168" s="1194">
        <f t="shared" si="74"/>
        <v>7063.4468792079279</v>
      </c>
      <c r="T168" s="935"/>
    </row>
    <row r="169" spans="2:20" s="431" customFormat="1" ht="127.5" x14ac:dyDescent="0.25">
      <c r="B169" s="919"/>
      <c r="C169" s="98" t="str">
        <f>CONCATENATE('Reference documents'!B15," :
PPP.PVP.DIN.03 SECURITY SYSTEM (with all sub-section)
- CONSTRUCTION TECHNICAL SPECIFICATIONS
- VENDOR INSTALLATION AND TESTING PROCEDURE SPECIFICATIONS
- COMMISIONING TECHNICAL SPECIFICATIONS")</f>
        <v>GRE.EEC.S.21.IT.P.18371.00.127.00 Technical Specification :
PPP.PVP.DIN.03 SECURITY SYSTEM (with all sub-section)
- CONSTRUCTION TECHNICAL SPECIFICATIONS
- VENDOR INSTALLATION AND TESTING PROCEDURE SPECIFICATIONS
- COMMISIONING TECHNICAL SPECIFICATIONS</v>
      </c>
      <c r="D169" s="900" t="s">
        <v>577</v>
      </c>
      <c r="E169" s="901" t="s">
        <v>578</v>
      </c>
      <c r="F169" s="902" t="s">
        <v>160</v>
      </c>
      <c r="G169" s="900" t="s">
        <v>141</v>
      </c>
      <c r="H169" s="1101">
        <v>1500</v>
      </c>
      <c r="I169" s="1315"/>
      <c r="J169" s="1315"/>
      <c r="K169" s="1316">
        <f t="shared" si="72"/>
        <v>0</v>
      </c>
      <c r="L169" s="1315"/>
      <c r="M169" s="1315"/>
      <c r="N169" s="1316">
        <f t="shared" si="73"/>
        <v>0</v>
      </c>
      <c r="O169" s="1317"/>
      <c r="P169" s="1315">
        <v>10.464365746974709</v>
      </c>
      <c r="Q169" s="1317"/>
      <c r="R169" s="1291">
        <f t="shared" si="75"/>
        <v>10.464365746974709</v>
      </c>
      <c r="S169" s="1194">
        <f t="shared" si="74"/>
        <v>15696.548620462063</v>
      </c>
      <c r="T169" s="935"/>
    </row>
    <row r="170" spans="2:20" s="431" customFormat="1" ht="127.5" x14ac:dyDescent="0.25">
      <c r="B170" s="919"/>
      <c r="C170" s="98" t="str">
        <f>CONCATENATE('Reference documents'!B15," :
PPP.PVP.DIN.03 SECURITY SYSTEM (with all sub-section)
- CONSTRUCTION TECHNICAL SPECIFICATIONS
- VENDOR INSTALLATION AND TESTING PROCEDURE SPECIFICATIONS
- COMMISIONING TECHNICAL SPECIFICATIONS")</f>
        <v>GRE.EEC.S.21.IT.P.18371.00.127.00 Technical Specification :
PPP.PVP.DIN.03 SECURITY SYSTEM (with all sub-section)
- CONSTRUCTION TECHNICAL SPECIFICATIONS
- VENDOR INSTALLATION AND TESTING PROCEDURE SPECIFICATIONS
- COMMISIONING TECHNICAL SPECIFICATIONS</v>
      </c>
      <c r="D170" s="900" t="s">
        <v>579</v>
      </c>
      <c r="E170" s="901" t="s">
        <v>580</v>
      </c>
      <c r="F170" s="902" t="s">
        <v>160</v>
      </c>
      <c r="G170" s="900" t="s">
        <v>141</v>
      </c>
      <c r="H170" s="1101">
        <v>1500</v>
      </c>
      <c r="I170" s="1315">
        <v>0.14967525761276143</v>
      </c>
      <c r="J170" s="1315">
        <v>40</v>
      </c>
      <c r="K170" s="1316">
        <f t="shared" si="72"/>
        <v>5.9870103045104575</v>
      </c>
      <c r="L170" s="1315">
        <v>1</v>
      </c>
      <c r="M170" s="1315">
        <v>0.03</v>
      </c>
      <c r="N170" s="1316">
        <f t="shared" si="73"/>
        <v>0.03</v>
      </c>
      <c r="O170" s="1317"/>
      <c r="P170" s="1315"/>
      <c r="Q170" s="1317"/>
      <c r="R170" s="1291">
        <f t="shared" si="75"/>
        <v>6.0170103045104577</v>
      </c>
      <c r="S170" s="1194">
        <f t="shared" si="74"/>
        <v>9025.5154567656864</v>
      </c>
      <c r="T170" s="935"/>
    </row>
    <row r="171" spans="2:20" s="431" customFormat="1" ht="127.5" x14ac:dyDescent="0.25">
      <c r="B171" s="919"/>
      <c r="C171" s="98" t="str">
        <f>CONCATENATE('Reference documents'!B15," :
PPP.PVP.DIN.03 SECURITY SYSTEM (with all sub-section)
- CONSTRUCTION TECHNICAL SPECIFICATIONS
- VENDOR INSTALLATION AND TESTING PROCEDURE SPECIFICATIONS
- COMMISIONING TECHNICAL SPECIFICATIONS")</f>
        <v>GRE.EEC.S.21.IT.P.18371.00.127.00 Technical Specification :
PPP.PVP.DIN.03 SECURITY SYSTEM (with all sub-section)
- CONSTRUCTION TECHNICAL SPECIFICATIONS
- VENDOR INSTALLATION AND TESTING PROCEDURE SPECIFICATIONS
- COMMISIONING TECHNICAL SPECIFICATIONS</v>
      </c>
      <c r="D171" s="900" t="s">
        <v>581</v>
      </c>
      <c r="E171" s="901" t="s">
        <v>582</v>
      </c>
      <c r="F171" s="902" t="s">
        <v>160</v>
      </c>
      <c r="G171" s="900" t="s">
        <v>141</v>
      </c>
      <c r="H171" s="1101">
        <f>1500/50</f>
        <v>30</v>
      </c>
      <c r="I171" s="1315"/>
      <c r="J171" s="1315"/>
      <c r="K171" s="1316">
        <f t="shared" si="72"/>
        <v>0</v>
      </c>
      <c r="L171" s="1315"/>
      <c r="M171" s="1315"/>
      <c r="N171" s="1316">
        <f t="shared" si="73"/>
        <v>0</v>
      </c>
      <c r="O171" s="1317"/>
      <c r="P171" s="1315">
        <v>3270.1142959295967</v>
      </c>
      <c r="Q171" s="1317"/>
      <c r="R171" s="1291">
        <f t="shared" si="75"/>
        <v>3270.1142959295967</v>
      </c>
      <c r="S171" s="1194">
        <f t="shared" si="74"/>
        <v>98103.428877887898</v>
      </c>
      <c r="T171" s="1452" t="s">
        <v>2616</v>
      </c>
    </row>
    <row r="172" spans="2:20" s="431" customFormat="1" ht="127.5" x14ac:dyDescent="0.25">
      <c r="B172" s="919"/>
      <c r="C172" s="98" t="str">
        <f>CONCATENATE('Reference documents'!B15," :
PPP.PVP.DIN.03 SECURITY SYSTEM (with all sub-section)
- CONSTRUCTION TECHNICAL SPECIFICATIONS
- VENDOR INSTALLATION AND TESTING PROCEDURE SPECIFICATIONS
- COMMISIONING TECHNICAL SPECIFICATIONS")</f>
        <v>GRE.EEC.S.21.IT.P.18371.00.127.00 Technical Specification :
PPP.PVP.DIN.03 SECURITY SYSTEM (with all sub-section)
- CONSTRUCTION TECHNICAL SPECIFICATIONS
- VENDOR INSTALLATION AND TESTING PROCEDURE SPECIFICATIONS
- COMMISIONING TECHNICAL SPECIFICATIONS</v>
      </c>
      <c r="D172" s="900" t="s">
        <v>584</v>
      </c>
      <c r="E172" s="901" t="s">
        <v>585</v>
      </c>
      <c r="F172" s="902" t="s">
        <v>160</v>
      </c>
      <c r="G172" s="900" t="s">
        <v>141</v>
      </c>
      <c r="H172" s="1101">
        <f>1500/50</f>
        <v>30</v>
      </c>
      <c r="I172" s="1290">
        <v>10.753445754125426</v>
      </c>
      <c r="J172" s="1290">
        <v>40</v>
      </c>
      <c r="K172" s="1297">
        <f t="shared" si="72"/>
        <v>430.13783016501702</v>
      </c>
      <c r="L172" s="1290">
        <v>1</v>
      </c>
      <c r="M172" s="1290">
        <v>80</v>
      </c>
      <c r="N172" s="1297">
        <f t="shared" si="73"/>
        <v>80</v>
      </c>
      <c r="O172" s="1298"/>
      <c r="P172" s="1290"/>
      <c r="Q172" s="1298"/>
      <c r="R172" s="1291">
        <f t="shared" si="75"/>
        <v>510.13783016501702</v>
      </c>
      <c r="S172" s="1292">
        <f t="shared" si="74"/>
        <v>15304.134904950512</v>
      </c>
      <c r="T172" s="935"/>
    </row>
    <row r="173" spans="2:20" s="431" customFormat="1" ht="18" customHeight="1" x14ac:dyDescent="0.25">
      <c r="B173" s="945"/>
      <c r="C173" s="928"/>
      <c r="D173" s="946" t="s">
        <v>586</v>
      </c>
      <c r="E173" s="928" t="s">
        <v>587</v>
      </c>
      <c r="F173" s="947"/>
      <c r="G173" s="947"/>
      <c r="H173" s="1100"/>
      <c r="I173" s="1100"/>
      <c r="J173" s="1100"/>
      <c r="K173" s="1100"/>
      <c r="L173" s="1100"/>
      <c r="M173" s="1100"/>
      <c r="N173" s="1100"/>
      <c r="O173" s="1100"/>
      <c r="P173" s="1100"/>
      <c r="Q173" s="1100"/>
      <c r="R173" s="947"/>
      <c r="S173" s="1127"/>
      <c r="T173" s="948"/>
    </row>
    <row r="174" spans="2:20" s="431" customFormat="1" ht="51" x14ac:dyDescent="0.25">
      <c r="B174" s="919"/>
      <c r="C174" s="98" t="str">
        <f>CONCATENATE('Reference documents'!B15," :
PPP.PVP.MVC.03.002 Normal and Emergency Lighting Systems ")</f>
        <v xml:space="preserve">GRE.EEC.S.21.IT.P.18371.00.127.00 Technical Specification :
PPP.PVP.MVC.03.002 Normal and Emergency Lighting Systems </v>
      </c>
      <c r="D174" s="900" t="s">
        <v>588</v>
      </c>
      <c r="E174" s="901" t="s">
        <v>589</v>
      </c>
      <c r="F174" s="902" t="s">
        <v>160</v>
      </c>
      <c r="G174" s="900" t="s">
        <v>141</v>
      </c>
      <c r="H174" s="1101">
        <v>15</v>
      </c>
      <c r="I174" s="1290"/>
      <c r="J174" s="1290"/>
      <c r="K174" s="1297">
        <f t="shared" ref="K174:K175" si="76">I174*J174</f>
        <v>0</v>
      </c>
      <c r="L174" s="1290"/>
      <c r="M174" s="1290"/>
      <c r="N174" s="1297">
        <f t="shared" ref="N174:N175" si="77">L174*M174</f>
        <v>0</v>
      </c>
      <c r="O174" s="1298"/>
      <c r="P174" s="1290">
        <v>196.20685775577579</v>
      </c>
      <c r="Q174" s="1298"/>
      <c r="R174" s="1291">
        <f t="shared" ref="R174:R175" si="78">P174+N174+K174</f>
        <v>196.20685775577579</v>
      </c>
      <c r="S174" s="1292">
        <f>IF(F174="na","",H174*R174)</f>
        <v>2943.1028663366369</v>
      </c>
      <c r="T174" s="935" t="s">
        <v>590</v>
      </c>
    </row>
    <row r="175" spans="2:20" s="431" customFormat="1" ht="51" x14ac:dyDescent="0.25">
      <c r="B175" s="919"/>
      <c r="C175" s="98" t="str">
        <f>CONCATENATE('Reference documents'!B15," :
PPP.PVP.MVC.03.002 Normal and Emergency Lighting Systems")</f>
        <v>GRE.EEC.S.21.IT.P.18371.00.127.00 Technical Specification :
PPP.PVP.MVC.03.002 Normal and Emergency Lighting Systems</v>
      </c>
      <c r="D175" s="900" t="s">
        <v>591</v>
      </c>
      <c r="E175" s="901" t="s">
        <v>592</v>
      </c>
      <c r="F175" s="902" t="s">
        <v>160</v>
      </c>
      <c r="G175" s="900" t="s">
        <v>141</v>
      </c>
      <c r="H175" s="1101">
        <v>15</v>
      </c>
      <c r="I175" s="1290">
        <v>15.966662916391661</v>
      </c>
      <c r="J175" s="1290">
        <v>40</v>
      </c>
      <c r="K175" s="1297">
        <f t="shared" si="76"/>
        <v>638.66651665566644</v>
      </c>
      <c r="L175" s="1290">
        <v>1.5</v>
      </c>
      <c r="M175" s="1290">
        <v>80</v>
      </c>
      <c r="N175" s="1297">
        <f t="shared" si="77"/>
        <v>120</v>
      </c>
      <c r="O175" s="1298"/>
      <c r="P175" s="1290"/>
      <c r="Q175" s="1298"/>
      <c r="R175" s="1291">
        <f t="shared" si="78"/>
        <v>758.66651665566644</v>
      </c>
      <c r="S175" s="1292">
        <f t="shared" ref="S175" si="79">IF(F175="na","",H175*R175)</f>
        <v>11379.997749834996</v>
      </c>
      <c r="T175" s="935"/>
    </row>
    <row r="176" spans="2:20" s="431" customFormat="1" ht="13.15" customHeight="1" x14ac:dyDescent="0.25">
      <c r="B176" s="945"/>
      <c r="C176" s="928"/>
      <c r="D176" s="946"/>
      <c r="E176" s="928" t="s">
        <v>811</v>
      </c>
      <c r="F176" s="947"/>
      <c r="G176" s="947"/>
      <c r="H176" s="1100"/>
      <c r="I176" s="1100"/>
      <c r="J176" s="1100"/>
      <c r="K176" s="1100"/>
      <c r="L176" s="1100"/>
      <c r="M176" s="1100"/>
      <c r="N176" s="1100"/>
      <c r="O176" s="1100"/>
      <c r="P176" s="1100"/>
      <c r="Q176" s="1100"/>
      <c r="R176" s="947"/>
      <c r="S176" s="1127"/>
      <c r="T176" s="948"/>
    </row>
    <row r="177" spans="2:20" s="431" customFormat="1" ht="25.5" x14ac:dyDescent="0.25">
      <c r="B177" s="956"/>
      <c r="C177" s="1286" t="s">
        <v>248</v>
      </c>
      <c r="D177" s="933"/>
      <c r="E177" s="1273" t="s">
        <v>812</v>
      </c>
      <c r="F177" s="932" t="s">
        <v>160</v>
      </c>
      <c r="G177" s="933" t="s">
        <v>464</v>
      </c>
      <c r="H177" s="1101">
        <v>0</v>
      </c>
      <c r="I177" s="1290"/>
      <c r="J177" s="1290"/>
      <c r="K177" s="1297">
        <f t="shared" ref="K177" si="80">I177*J177</f>
        <v>0</v>
      </c>
      <c r="L177" s="1290"/>
      <c r="M177" s="1290"/>
      <c r="N177" s="1297">
        <f t="shared" ref="N177" si="81">L177*M177</f>
        <v>0</v>
      </c>
      <c r="O177" s="1298"/>
      <c r="P177" s="1290"/>
      <c r="Q177" s="1298"/>
      <c r="R177" s="1291">
        <f t="shared" ref="R177" si="82">P177+N177+K177</f>
        <v>0</v>
      </c>
      <c r="S177" s="1292">
        <f t="shared" ref="S177" si="83">IF(F177="na","",H177*R177)</f>
        <v>0</v>
      </c>
      <c r="T177" s="957"/>
    </row>
    <row r="178" spans="2:20" ht="15" customHeight="1" x14ac:dyDescent="0.25">
      <c r="B178" s="1608" t="s">
        <v>98</v>
      </c>
      <c r="C178" s="1608"/>
      <c r="D178" s="1608"/>
      <c r="E178" s="1608"/>
      <c r="F178" s="1609" t="s">
        <v>154</v>
      </c>
      <c r="G178" s="1609"/>
      <c r="H178" s="1609"/>
      <c r="I178" s="1609"/>
      <c r="J178" s="1609"/>
      <c r="K178" s="1609"/>
      <c r="L178" s="1609"/>
      <c r="M178" s="1609"/>
      <c r="N178" s="1609"/>
      <c r="O178" s="1609"/>
      <c r="P178" s="1609"/>
      <c r="Q178" s="1609"/>
      <c r="R178" s="1609"/>
      <c r="S178" s="863">
        <f>SUMIFS(S183:S186,F183:F186,"Mandatory",E183:E186,"=*Supply")</f>
        <v>26160.914367436773</v>
      </c>
      <c r="T178" s="1221"/>
    </row>
    <row r="179" spans="2:20" ht="15" customHeight="1" x14ac:dyDescent="0.25">
      <c r="B179" s="1608"/>
      <c r="C179" s="1608"/>
      <c r="D179" s="1608"/>
      <c r="E179" s="1608"/>
      <c r="F179" s="1609" t="s">
        <v>156</v>
      </c>
      <c r="G179" s="1609"/>
      <c r="H179" s="1609"/>
      <c r="I179" s="1609"/>
      <c r="J179" s="1609"/>
      <c r="K179" s="1609"/>
      <c r="L179" s="1609"/>
      <c r="M179" s="1609"/>
      <c r="N179" s="1609"/>
      <c r="O179" s="1609"/>
      <c r="P179" s="1609"/>
      <c r="Q179" s="1609"/>
      <c r="R179" s="1609"/>
      <c r="S179" s="863">
        <f>SUMIFS(S183:S186,F183:F186,"Optional",E183:E186,"=*Supply")</f>
        <v>0</v>
      </c>
      <c r="T179" s="1221"/>
    </row>
    <row r="180" spans="2:20" ht="15" customHeight="1" x14ac:dyDescent="0.25">
      <c r="B180" s="1599" t="s">
        <v>90</v>
      </c>
      <c r="C180" s="1600"/>
      <c r="D180" s="1600"/>
      <c r="E180" s="1601"/>
      <c r="F180" s="1605" t="s">
        <v>154</v>
      </c>
      <c r="G180" s="1606"/>
      <c r="H180" s="1606"/>
      <c r="I180" s="1606"/>
      <c r="J180" s="1606"/>
      <c r="K180" s="1606"/>
      <c r="L180" s="1606"/>
      <c r="M180" s="1606"/>
      <c r="N180" s="1606"/>
      <c r="O180" s="1606"/>
      <c r="P180" s="1606"/>
      <c r="Q180" s="1606"/>
      <c r="R180" s="1607"/>
      <c r="S180" s="863">
        <f>SUMIFS(S183:S186,F183:F186,"Mandatory",E183:E186,"=*Installation*")</f>
        <v>13603.675471067123</v>
      </c>
      <c r="T180" s="1221"/>
    </row>
    <row r="181" spans="2:20" ht="15" customHeight="1" x14ac:dyDescent="0.25">
      <c r="B181" s="1602"/>
      <c r="C181" s="1603"/>
      <c r="D181" s="1603"/>
      <c r="E181" s="1604"/>
      <c r="F181" s="1605" t="s">
        <v>156</v>
      </c>
      <c r="G181" s="1606"/>
      <c r="H181" s="1606"/>
      <c r="I181" s="1606"/>
      <c r="J181" s="1606"/>
      <c r="K181" s="1606"/>
      <c r="L181" s="1606"/>
      <c r="M181" s="1606"/>
      <c r="N181" s="1606"/>
      <c r="O181" s="1606"/>
      <c r="P181" s="1606"/>
      <c r="Q181" s="1606"/>
      <c r="R181" s="1607"/>
      <c r="S181" s="863">
        <f>SUMIFS(S183:S186,F183:F186,"Optional",E183:E186,"=*Installation*")</f>
        <v>0</v>
      </c>
      <c r="T181" s="1221"/>
    </row>
    <row r="182" spans="2:20" s="180" customFormat="1" ht="48" x14ac:dyDescent="0.25">
      <c r="B182" s="949"/>
      <c r="C182" s="946"/>
      <c r="D182" s="946" t="s">
        <v>594</v>
      </c>
      <c r="E182" s="952" t="s">
        <v>595</v>
      </c>
      <c r="F182" s="950"/>
      <c r="G182" s="950"/>
      <c r="H182" s="1100"/>
      <c r="I182" s="1100"/>
      <c r="J182" s="1100"/>
      <c r="K182" s="1100"/>
      <c r="L182" s="1100"/>
      <c r="M182" s="1100"/>
      <c r="N182" s="1100"/>
      <c r="O182" s="1100"/>
      <c r="P182" s="1100"/>
      <c r="Q182" s="1100"/>
      <c r="R182" s="950"/>
      <c r="S182" s="1129"/>
      <c r="T182" s="951" t="s">
        <v>596</v>
      </c>
    </row>
    <row r="183" spans="2:20" s="431" customFormat="1" ht="25.5" x14ac:dyDescent="0.2">
      <c r="B183" s="919"/>
      <c r="C183" s="1168" t="str">
        <f>CONCATENATE('Reference documents'!B15,"PPP.PVP.CBL.03 SIGNAL-DATA CABLE")</f>
        <v>GRE.EEC.S.21.IT.P.18371.00.127.00 Technical SpecificationPPP.PVP.CBL.03 SIGNAL-DATA CABLE</v>
      </c>
      <c r="D183" s="900" t="s">
        <v>597</v>
      </c>
      <c r="E183" s="901" t="s">
        <v>598</v>
      </c>
      <c r="F183" s="902" t="s">
        <v>160</v>
      </c>
      <c r="G183" s="900" t="s">
        <v>141</v>
      </c>
      <c r="H183" s="1101">
        <v>4</v>
      </c>
      <c r="I183" s="1290"/>
      <c r="J183" s="1290"/>
      <c r="K183" s="1297">
        <f t="shared" ref="K183:K186" si="84">I183*J183</f>
        <v>0</v>
      </c>
      <c r="L183" s="1290"/>
      <c r="M183" s="1290"/>
      <c r="N183" s="1297">
        <f t="shared" ref="N183:N186" si="85">L183*M183</f>
        <v>0</v>
      </c>
      <c r="O183" s="1298"/>
      <c r="P183" s="1290">
        <v>2616.0914367436771</v>
      </c>
      <c r="Q183" s="1298"/>
      <c r="R183" s="1291">
        <f t="shared" ref="R183:R186" si="86">P183+N183+K183</f>
        <v>2616.0914367436771</v>
      </c>
      <c r="S183" s="1415">
        <f>IF(F183="na","",H183*R183)</f>
        <v>10464.365746974709</v>
      </c>
      <c r="T183" s="935" t="s">
        <v>1677</v>
      </c>
    </row>
    <row r="184" spans="2:20" s="431" customFormat="1" ht="25.5" x14ac:dyDescent="0.2">
      <c r="B184" s="919"/>
      <c r="C184" s="1168" t="str">
        <f>CONCATENATE('Reference documents'!B15,"PPP.PVP.CBL.03 SIGNAL-DATA CABLE")</f>
        <v>GRE.EEC.S.21.IT.P.18371.00.127.00 Technical SpecificationPPP.PVP.CBL.03 SIGNAL-DATA CABLE</v>
      </c>
      <c r="D184" s="900" t="s">
        <v>599</v>
      </c>
      <c r="E184" s="901" t="s">
        <v>600</v>
      </c>
      <c r="F184" s="902" t="s">
        <v>160</v>
      </c>
      <c r="G184" s="900" t="s">
        <v>141</v>
      </c>
      <c r="H184" s="1101">
        <v>4</v>
      </c>
      <c r="I184" s="1290">
        <v>34.413211536853723</v>
      </c>
      <c r="J184" s="1290">
        <v>40</v>
      </c>
      <c r="K184" s="1297">
        <f t="shared" si="84"/>
        <v>1376.528461474149</v>
      </c>
      <c r="L184" s="1290">
        <v>1</v>
      </c>
      <c r="M184" s="1290">
        <v>10</v>
      </c>
      <c r="N184" s="1297">
        <f t="shared" si="85"/>
        <v>10</v>
      </c>
      <c r="O184" s="1298"/>
      <c r="P184" s="1290"/>
      <c r="Q184" s="1298"/>
      <c r="R184" s="1291">
        <f t="shared" si="86"/>
        <v>1386.528461474149</v>
      </c>
      <c r="S184" s="1415">
        <f t="shared" ref="S184:S186" si="87">IF(F184="na","",H184*R184)</f>
        <v>5546.1138458965961</v>
      </c>
      <c r="T184" s="935" t="s">
        <v>1677</v>
      </c>
    </row>
    <row r="185" spans="2:20" s="431" customFormat="1" ht="25.5" x14ac:dyDescent="0.2">
      <c r="B185" s="919"/>
      <c r="C185" s="1168" t="str">
        <f>CONCATENATE('Reference documents'!B15,"PPP.PVP.CBL.03 SIGNAL-DATA CABLE")</f>
        <v>GRE.EEC.S.21.IT.P.18371.00.127.00 Technical SpecificationPPP.PVP.CBL.03 SIGNAL-DATA CABLE</v>
      </c>
      <c r="D185" s="900" t="s">
        <v>601</v>
      </c>
      <c r="E185" s="901" t="s">
        <v>602</v>
      </c>
      <c r="F185" s="902" t="s">
        <v>160</v>
      </c>
      <c r="G185" s="900" t="s">
        <v>141</v>
      </c>
      <c r="H185" s="1101">
        <v>4</v>
      </c>
      <c r="I185" s="1290"/>
      <c r="J185" s="1290"/>
      <c r="K185" s="1297">
        <f t="shared" si="84"/>
        <v>0</v>
      </c>
      <c r="L185" s="1290"/>
      <c r="M185" s="1290"/>
      <c r="N185" s="1297">
        <f t="shared" si="85"/>
        <v>0</v>
      </c>
      <c r="O185" s="1298"/>
      <c r="P185" s="1290">
        <v>3924.1371551155157</v>
      </c>
      <c r="Q185" s="1298"/>
      <c r="R185" s="1291">
        <f t="shared" si="86"/>
        <v>3924.1371551155157</v>
      </c>
      <c r="S185" s="1415">
        <f t="shared" si="87"/>
        <v>15696.548620462063</v>
      </c>
      <c r="T185" s="935" t="s">
        <v>1677</v>
      </c>
    </row>
    <row r="186" spans="2:20" s="431" customFormat="1" ht="25.5" x14ac:dyDescent="0.2">
      <c r="B186" s="919"/>
      <c r="C186" s="1168" t="str">
        <f>CONCATENATE('Reference documents'!B15,"PPP.PVP.CBL.03 SIGNAL-DATA CABLE")</f>
        <v>GRE.EEC.S.21.IT.P.18371.00.127.00 Technical SpecificationPPP.PVP.CBL.03 SIGNAL-DATA CABLE</v>
      </c>
      <c r="D186" s="900" t="s">
        <v>603</v>
      </c>
      <c r="E186" s="901" t="s">
        <v>604</v>
      </c>
      <c r="F186" s="902" t="s">
        <v>160</v>
      </c>
      <c r="G186" s="900" t="s">
        <v>141</v>
      </c>
      <c r="H186" s="1101">
        <v>4</v>
      </c>
      <c r="I186" s="1290">
        <v>49.35976015731579</v>
      </c>
      <c r="J186" s="1290">
        <v>40</v>
      </c>
      <c r="K186" s="1297">
        <f t="shared" si="84"/>
        <v>1974.3904062926317</v>
      </c>
      <c r="L186" s="1290">
        <v>1</v>
      </c>
      <c r="M186" s="1290">
        <v>40</v>
      </c>
      <c r="N186" s="1297">
        <f t="shared" si="85"/>
        <v>40</v>
      </c>
      <c r="O186" s="1298"/>
      <c r="P186" s="1290"/>
      <c r="Q186" s="1298"/>
      <c r="R186" s="1291">
        <f t="shared" si="86"/>
        <v>2014.3904062926317</v>
      </c>
      <c r="S186" s="1415">
        <f t="shared" si="87"/>
        <v>8057.5616251705269</v>
      </c>
      <c r="T186" s="935" t="s">
        <v>1677</v>
      </c>
    </row>
    <row r="187" spans="2:20" ht="15" customHeight="1" x14ac:dyDescent="0.25">
      <c r="B187" s="1608" t="s">
        <v>105</v>
      </c>
      <c r="C187" s="1608"/>
      <c r="D187" s="1608"/>
      <c r="E187" s="1608"/>
      <c r="F187" s="1609" t="s">
        <v>154</v>
      </c>
      <c r="G187" s="1609"/>
      <c r="H187" s="1609"/>
      <c r="I187" s="1609"/>
      <c r="J187" s="1609"/>
      <c r="K187" s="1609"/>
      <c r="L187" s="1609"/>
      <c r="M187" s="1609"/>
      <c r="N187" s="1609"/>
      <c r="O187" s="1609"/>
      <c r="P187" s="1609"/>
      <c r="Q187" s="1609"/>
      <c r="R187" s="1609"/>
      <c r="S187" s="863">
        <f>SUMIFS(S192:S206,F192:F206,"Mandatory",E192:E206,"=*Supply")</f>
        <v>0</v>
      </c>
      <c r="T187" s="1221"/>
    </row>
    <row r="188" spans="2:20" ht="15" customHeight="1" x14ac:dyDescent="0.25">
      <c r="B188" s="1608"/>
      <c r="C188" s="1608"/>
      <c r="D188" s="1608"/>
      <c r="E188" s="1608"/>
      <c r="F188" s="1609" t="s">
        <v>156</v>
      </c>
      <c r="G188" s="1609"/>
      <c r="H188" s="1609"/>
      <c r="I188" s="1609"/>
      <c r="J188" s="1609"/>
      <c r="K188" s="1609"/>
      <c r="L188" s="1609"/>
      <c r="M188" s="1609"/>
      <c r="N188" s="1609"/>
      <c r="O188" s="1609"/>
      <c r="P188" s="1609"/>
      <c r="Q188" s="1609"/>
      <c r="R188" s="1609"/>
      <c r="S188" s="863">
        <f>SUMIFS(S192:S206,F192:F206,"Optional",E192:E206,"=*Supply")</f>
        <v>0</v>
      </c>
      <c r="T188" s="1221"/>
    </row>
    <row r="189" spans="2:20" ht="15" customHeight="1" x14ac:dyDescent="0.25">
      <c r="B189" s="1599" t="s">
        <v>813</v>
      </c>
      <c r="C189" s="1600"/>
      <c r="D189" s="1600"/>
      <c r="E189" s="1601"/>
      <c r="F189" s="1605" t="s">
        <v>154</v>
      </c>
      <c r="G189" s="1606"/>
      <c r="H189" s="1606"/>
      <c r="I189" s="1606"/>
      <c r="J189" s="1606"/>
      <c r="K189" s="1606"/>
      <c r="L189" s="1606"/>
      <c r="M189" s="1606"/>
      <c r="N189" s="1606"/>
      <c r="O189" s="1606"/>
      <c r="P189" s="1606"/>
      <c r="Q189" s="1606"/>
      <c r="R189" s="1607"/>
      <c r="S189" s="863">
        <f>SUMIFS(S192:S206,F192:F206,"Mandatory",E192:E206,"=*Installation*")</f>
        <v>118718.22939942806</v>
      </c>
      <c r="T189" s="1221"/>
    </row>
    <row r="190" spans="2:20" ht="15" customHeight="1" x14ac:dyDescent="0.25">
      <c r="B190" s="1602"/>
      <c r="C190" s="1603"/>
      <c r="D190" s="1603"/>
      <c r="E190" s="1604"/>
      <c r="F190" s="1605" t="s">
        <v>156</v>
      </c>
      <c r="G190" s="1606"/>
      <c r="H190" s="1606"/>
      <c r="I190" s="1606"/>
      <c r="J190" s="1606"/>
      <c r="K190" s="1606"/>
      <c r="L190" s="1606"/>
      <c r="M190" s="1606"/>
      <c r="N190" s="1606"/>
      <c r="O190" s="1606"/>
      <c r="P190" s="1606"/>
      <c r="Q190" s="1606"/>
      <c r="R190" s="1607"/>
      <c r="S190" s="863">
        <f>SUMIFS(S192:S206,F192:F206,"Optional",E192:E206,"=*Installation*")</f>
        <v>0</v>
      </c>
      <c r="T190" s="1221"/>
    </row>
    <row r="191" spans="2:20" s="431" customFormat="1" ht="18" customHeight="1" x14ac:dyDescent="0.25">
      <c r="B191" s="945"/>
      <c r="C191" s="928"/>
      <c r="D191" s="946" t="s">
        <v>606</v>
      </c>
      <c r="E191" s="928" t="s">
        <v>607</v>
      </c>
      <c r="F191" s="947"/>
      <c r="G191" s="947"/>
      <c r="H191" s="1100"/>
      <c r="I191" s="1100"/>
      <c r="J191" s="1100"/>
      <c r="K191" s="1100"/>
      <c r="L191" s="1100"/>
      <c r="M191" s="1100"/>
      <c r="N191" s="1100"/>
      <c r="O191" s="1100"/>
      <c r="P191" s="1100"/>
      <c r="Q191" s="1100"/>
      <c r="R191" s="947"/>
      <c r="S191" s="1127"/>
      <c r="T191" s="948"/>
    </row>
    <row r="192" spans="2:20" s="431" customFormat="1" ht="18" customHeight="1" x14ac:dyDescent="0.25">
      <c r="B192" s="945"/>
      <c r="C192" s="928"/>
      <c r="D192" s="946" t="s">
        <v>608</v>
      </c>
      <c r="E192" s="928" t="s">
        <v>609</v>
      </c>
      <c r="F192" s="947"/>
      <c r="G192" s="947"/>
      <c r="H192" s="1100"/>
      <c r="I192" s="1100"/>
      <c r="J192" s="1100"/>
      <c r="K192" s="1100"/>
      <c r="L192" s="1100"/>
      <c r="M192" s="1100"/>
      <c r="N192" s="1100"/>
      <c r="O192" s="1100"/>
      <c r="P192" s="1100"/>
      <c r="Q192" s="1100"/>
      <c r="R192" s="947"/>
      <c r="S192" s="1127"/>
      <c r="T192" s="948" t="s">
        <v>610</v>
      </c>
    </row>
    <row r="193" spans="2:22" s="431" customFormat="1" ht="63.75" x14ac:dyDescent="0.25">
      <c r="B193" s="919"/>
      <c r="C193" s="1350" t="str">
        <f>CONCATENATE('Reference documents'!B15," :
PPP.PVP.MVC.01.001.01 MV Switchgear (MV SWGR)
- VENDOR INSTALLATION PROCEDURE OR SPECIFIC DESIGN REQUIREMENTS SPECIFICATIONS")</f>
        <v>GRE.EEC.S.21.IT.P.18371.00.127.00 Technical Specification :
PPP.PVP.MVC.01.001.01 MV Switchgear (MV SWGR)
- VENDOR INSTALLATION PROCEDURE OR SPECIFIC DESIGN REQUIREMENTS SPECIFICATIONS</v>
      </c>
      <c r="D193" s="900" t="s">
        <v>611</v>
      </c>
      <c r="E193" s="901" t="s">
        <v>612</v>
      </c>
      <c r="F193" s="902" t="s">
        <v>160</v>
      </c>
      <c r="G193" s="900" t="s">
        <v>141</v>
      </c>
      <c r="H193" s="1101">
        <v>0</v>
      </c>
      <c r="I193" s="1290"/>
      <c r="J193" s="1290"/>
      <c r="K193" s="1297">
        <f t="shared" ref="K193:K194" si="88">I193*J193</f>
        <v>0</v>
      </c>
      <c r="L193" s="1290"/>
      <c r="M193" s="1290"/>
      <c r="N193" s="1297">
        <f t="shared" ref="N193:N194" si="89">L193*M193</f>
        <v>0</v>
      </c>
      <c r="O193" s="1298"/>
      <c r="P193" s="1290"/>
      <c r="Q193" s="1298"/>
      <c r="R193" s="1291">
        <f>P193+N193+K193</f>
        <v>0</v>
      </c>
      <c r="S193" s="1292">
        <f>IF(F193="na","",H193*R193)</f>
        <v>0</v>
      </c>
      <c r="T193" s="935"/>
    </row>
    <row r="194" spans="2:22" s="431" customFormat="1" ht="63.75" x14ac:dyDescent="0.25">
      <c r="B194" s="919"/>
      <c r="C194" s="1350" t="str">
        <f>CONCATENATE('Reference documents'!B15," :
PPP.PVP.MVC.01.001.01 MV Switchgear (MV SWGR)
- VENDOR INSTALLATION PROCEDURE OR SPECIFIC DESIGN REQUIREMENTS SPECIFICATIONS")</f>
        <v>GRE.EEC.S.21.IT.P.18371.00.127.00 Technical Specification :
PPP.PVP.MVC.01.001.01 MV Switchgear (MV SWGR)
- VENDOR INSTALLATION PROCEDURE OR SPECIFIC DESIGN REQUIREMENTS SPECIFICATIONS</v>
      </c>
      <c r="D194" s="900" t="s">
        <v>613</v>
      </c>
      <c r="E194" s="901" t="s">
        <v>614</v>
      </c>
      <c r="F194" s="902" t="s">
        <v>160</v>
      </c>
      <c r="G194" s="900" t="s">
        <v>141</v>
      </c>
      <c r="H194" s="1101">
        <v>0</v>
      </c>
      <c r="I194" s="1293"/>
      <c r="J194" s="1293"/>
      <c r="K194" s="1295">
        <f t="shared" si="88"/>
        <v>0</v>
      </c>
      <c r="L194" s="1293"/>
      <c r="M194" s="1293"/>
      <c r="N194" s="1295">
        <f t="shared" si="89"/>
        <v>0</v>
      </c>
      <c r="O194" s="1296"/>
      <c r="P194" s="1293"/>
      <c r="Q194" s="1296"/>
      <c r="R194" s="1294">
        <f t="shared" ref="R194" si="90">P194+N194+K194</f>
        <v>0</v>
      </c>
      <c r="S194" s="1124">
        <f t="shared" ref="S194" si="91">IF(F194="na","",H194*R194)</f>
        <v>0</v>
      </c>
      <c r="T194" s="935"/>
    </row>
    <row r="195" spans="2:22" s="431" customFormat="1" ht="25.5" x14ac:dyDescent="0.25">
      <c r="B195" s="945"/>
      <c r="C195" s="928"/>
      <c r="D195" s="946" t="s">
        <v>615</v>
      </c>
      <c r="E195" s="928" t="s">
        <v>616</v>
      </c>
      <c r="F195" s="947"/>
      <c r="G195" s="947"/>
      <c r="H195" s="1100"/>
      <c r="I195" s="1100"/>
      <c r="J195" s="1100"/>
      <c r="K195" s="1100"/>
      <c r="L195" s="1100"/>
      <c r="M195" s="1100"/>
      <c r="N195" s="1100"/>
      <c r="O195" s="1100"/>
      <c r="P195" s="1100"/>
      <c r="Q195" s="1100"/>
      <c r="R195" s="947"/>
      <c r="S195" s="1127"/>
      <c r="T195" s="948" t="s">
        <v>617</v>
      </c>
    </row>
    <row r="196" spans="2:22" s="431" customFormat="1" ht="51" x14ac:dyDescent="0.25">
      <c r="B196" s="919"/>
      <c r="C196" s="1282" t="str">
        <f>CONCATENATE('Reference documents'!B12," :
PPP.PVP.MVC.01.001.01 MV Switchgear (MV SWGR)
- VENDOR INSTALLATION PROCEDURE OR SPECIFIC DESIGN REQUIREMENTS SPECIFICATIONS")</f>
        <v>GRE….. :
PPP.PVP.MVC.01.001.01 MV Switchgear (MV SWGR)
- VENDOR INSTALLATION PROCEDURE OR SPECIFIC DESIGN REQUIREMENTS SPECIFICATIONS</v>
      </c>
      <c r="D196" s="900" t="s">
        <v>618</v>
      </c>
      <c r="E196" s="901" t="s">
        <v>619</v>
      </c>
      <c r="F196" s="902" t="s">
        <v>160</v>
      </c>
      <c r="G196" s="900" t="s">
        <v>141</v>
      </c>
      <c r="H196" s="1101">
        <v>0</v>
      </c>
      <c r="I196" s="1290"/>
      <c r="J196" s="1290"/>
      <c r="K196" s="1297">
        <f t="shared" ref="K196:K197" si="92">I196*J196</f>
        <v>0</v>
      </c>
      <c r="L196" s="1290"/>
      <c r="M196" s="1290"/>
      <c r="N196" s="1297">
        <f t="shared" ref="N196:N197" si="93">L196*M196</f>
        <v>0</v>
      </c>
      <c r="O196" s="1298"/>
      <c r="P196" s="1290"/>
      <c r="Q196" s="1298"/>
      <c r="R196" s="1291">
        <f t="shared" ref="R196:R197" si="94">P196+N196+K196</f>
        <v>0</v>
      </c>
      <c r="S196" s="1292">
        <f t="shared" ref="S196:S197" si="95">IF(F196="na","",H196*R196)</f>
        <v>0</v>
      </c>
      <c r="T196" s="935"/>
    </row>
    <row r="197" spans="2:22" s="431" customFormat="1" ht="51" x14ac:dyDescent="0.25">
      <c r="B197" s="919"/>
      <c r="C197" s="1244" t="str">
        <f>CONCATENATE('Reference documents'!B12," :
PPP.PVP.MVC.01.001.01 MV Switchgear (MV SWGR)
- VENDOR INSTALLATION PROCEDURE OR SPECIFIC DESIGN REQUIREMENTS SPECIFICATIONS")</f>
        <v>GRE….. :
PPP.PVP.MVC.01.001.01 MV Switchgear (MV SWGR)
- VENDOR INSTALLATION PROCEDURE OR SPECIFIC DESIGN REQUIREMENTS SPECIFICATIONS</v>
      </c>
      <c r="D197" s="900" t="s">
        <v>620</v>
      </c>
      <c r="E197" s="901" t="s">
        <v>621</v>
      </c>
      <c r="F197" s="902" t="s">
        <v>160</v>
      </c>
      <c r="G197" s="900" t="s">
        <v>141</v>
      </c>
      <c r="H197" s="1101">
        <v>0</v>
      </c>
      <c r="I197" s="1290"/>
      <c r="J197" s="1290"/>
      <c r="K197" s="1297">
        <f t="shared" si="92"/>
        <v>0</v>
      </c>
      <c r="L197" s="1290"/>
      <c r="M197" s="1290"/>
      <c r="N197" s="1297">
        <f t="shared" si="93"/>
        <v>0</v>
      </c>
      <c r="O197" s="1298"/>
      <c r="P197" s="1290"/>
      <c r="Q197" s="1298"/>
      <c r="R197" s="1291">
        <f t="shared" si="94"/>
        <v>0</v>
      </c>
      <c r="S197" s="1292">
        <f t="shared" si="95"/>
        <v>0</v>
      </c>
      <c r="T197" s="935"/>
    </row>
    <row r="198" spans="2:22" s="431" customFormat="1" ht="29.45" customHeight="1" x14ac:dyDescent="0.25">
      <c r="B198" s="945"/>
      <c r="C198" s="928"/>
      <c r="D198" s="946" t="s">
        <v>1678</v>
      </c>
      <c r="E198" s="928" t="s">
        <v>1679</v>
      </c>
      <c r="F198" s="947"/>
      <c r="G198" s="947"/>
      <c r="H198" s="1100"/>
      <c r="I198" s="1100"/>
      <c r="J198" s="1100"/>
      <c r="K198" s="1100"/>
      <c r="L198" s="1100"/>
      <c r="M198" s="1100"/>
      <c r="N198" s="1100"/>
      <c r="O198" s="1100"/>
      <c r="P198" s="1100"/>
      <c r="Q198" s="1100"/>
      <c r="R198" s="947"/>
      <c r="S198" s="1127"/>
      <c r="T198" s="948"/>
    </row>
    <row r="199" spans="2:22" s="431" customFormat="1" ht="102" x14ac:dyDescent="0.25">
      <c r="B199" s="919"/>
      <c r="C199" s="1282" t="str">
        <f>CONCATENATE('Reference documents'!B15," :
PPP.PVP.MMS METEOROLOGICAL MONITORING SYSTEM
PPP.PVP.MMS.01 SYSTEM
PPP.PVP.MMS.01.002 Field Monitoring System
PPP.PVP.MMS.02 INSTRUMENTS
PPP.PVP.MMS.03 Wiring and Power Supply")</f>
        <v>GRE.EEC.S.21.IT.P.18371.00.127.00 Technical Specification :
PPP.PVP.MMS METEOROLOGICAL MONITORING SYSTEM
PPP.PVP.MMS.01 SYSTEM
PPP.PVP.MMS.01.002 Field Monitoring System
PPP.PVP.MMS.02 INSTRUMENTS
PPP.PVP.MMS.03 Wiring and Power Supply</v>
      </c>
      <c r="D199" s="900" t="s">
        <v>1680</v>
      </c>
      <c r="E199" s="901" t="s">
        <v>1681</v>
      </c>
      <c r="F199" s="902" t="s">
        <v>160</v>
      </c>
      <c r="G199" s="900" t="s">
        <v>141</v>
      </c>
      <c r="H199" s="1101">
        <v>8</v>
      </c>
      <c r="I199" s="1290"/>
      <c r="J199" s="1290"/>
      <c r="K199" s="1297">
        <f t="shared" ref="K199:K206" si="96">I199*J199</f>
        <v>0</v>
      </c>
      <c r="L199" s="1290"/>
      <c r="M199" s="1290"/>
      <c r="N199" s="1297">
        <f t="shared" ref="N199:N206" si="97">L199*M199</f>
        <v>0</v>
      </c>
      <c r="O199" s="1298"/>
      <c r="P199" s="1290"/>
      <c r="Q199" s="1298"/>
      <c r="R199" s="1291">
        <f t="shared" ref="R199:R206" si="98">P199+N199+K199</f>
        <v>0</v>
      </c>
      <c r="S199" s="1292">
        <f t="shared" ref="S199" si="99">IF(F199="na","",H199*R199)</f>
        <v>0</v>
      </c>
      <c r="T199" s="935" t="s">
        <v>1682</v>
      </c>
    </row>
    <row r="200" spans="2:22" s="431" customFormat="1" ht="89.25" x14ac:dyDescent="0.25">
      <c r="B200" s="919"/>
      <c r="C200" s="1282" t="str">
        <f>CONCATENATE('Reference documents'!B16," :
PPP.PVP.MMS METEOROLOGICAL MONITORING SYSTEM
PPP.PVP.MMS.01 SYSTEM
PPP.PVP.MMS.01.002 Field Monitoring System
PPP.PVP.MMS.02 INSTRUMENTS
PPP.PVP.MMS.03 Wiring and Power Supply")</f>
        <v>GRE….. :
PPP.PVP.MMS METEOROLOGICAL MONITORING SYSTEM
PPP.PVP.MMS.01 SYSTEM
PPP.PVP.MMS.01.002 Field Monitoring System
PPP.PVP.MMS.02 INSTRUMENTS
PPP.PVP.MMS.03 Wiring and Power Supply</v>
      </c>
      <c r="D200" s="900" t="s">
        <v>1683</v>
      </c>
      <c r="E200" s="901" t="s">
        <v>1684</v>
      </c>
      <c r="F200" s="902" t="s">
        <v>160</v>
      </c>
      <c r="G200" s="900" t="s">
        <v>141</v>
      </c>
      <c r="H200" s="1101">
        <v>6</v>
      </c>
      <c r="I200" s="1290"/>
      <c r="J200" s="1290"/>
      <c r="K200" s="1297">
        <f t="shared" si="96"/>
        <v>0</v>
      </c>
      <c r="L200" s="1290"/>
      <c r="M200" s="1290"/>
      <c r="N200" s="1297">
        <f t="shared" si="97"/>
        <v>0</v>
      </c>
      <c r="O200" s="1298"/>
      <c r="P200" s="1290"/>
      <c r="Q200" s="1298"/>
      <c r="R200" s="1291">
        <f t="shared" si="98"/>
        <v>0</v>
      </c>
      <c r="S200" s="1292">
        <f t="shared" ref="S200:S204" si="100">IF(F200="na","",H200*R200)</f>
        <v>0</v>
      </c>
      <c r="T200" s="935" t="s">
        <v>1682</v>
      </c>
    </row>
    <row r="201" spans="2:22" s="431" customFormat="1" ht="89.25" x14ac:dyDescent="0.25">
      <c r="B201" s="919"/>
      <c r="C201" s="1282" t="str">
        <f>CONCATENATE('Reference documents'!B17," :
PPP.PVP.MMS METEOROLOGICAL MONITORING SYSTEM
PPP.PVP.MMS.01 SYSTEM
PPP.PVP.MMS.01.002 Field Monitoring System
PPP.PVP.MMS.02 INSTRUMENTS
PPP.PVP.MMS.03 Wiring and Power Supply")</f>
        <v>GRE….. :
PPP.PVP.MMS METEOROLOGICAL MONITORING SYSTEM
PPP.PVP.MMS.01 SYSTEM
PPP.PVP.MMS.01.002 Field Monitoring System
PPP.PVP.MMS.02 INSTRUMENTS
PPP.PVP.MMS.03 Wiring and Power Supply</v>
      </c>
      <c r="D201" s="900" t="s">
        <v>1685</v>
      </c>
      <c r="E201" s="901" t="s">
        <v>1686</v>
      </c>
      <c r="F201" s="902" t="s">
        <v>160</v>
      </c>
      <c r="G201" s="900" t="s">
        <v>141</v>
      </c>
      <c r="H201" s="1101">
        <v>2</v>
      </c>
      <c r="I201" s="1290"/>
      <c r="J201" s="1290"/>
      <c r="K201" s="1297">
        <f t="shared" si="96"/>
        <v>0</v>
      </c>
      <c r="L201" s="1290"/>
      <c r="M201" s="1290"/>
      <c r="N201" s="1297">
        <f t="shared" si="97"/>
        <v>0</v>
      </c>
      <c r="O201" s="1298"/>
      <c r="P201" s="1290"/>
      <c r="Q201" s="1298"/>
      <c r="R201" s="1291">
        <f t="shared" si="98"/>
        <v>0</v>
      </c>
      <c r="S201" s="1292">
        <f t="shared" si="100"/>
        <v>0</v>
      </c>
      <c r="T201" s="935" t="s">
        <v>1682</v>
      </c>
    </row>
    <row r="202" spans="2:22" s="431" customFormat="1" ht="89.25" x14ac:dyDescent="0.25">
      <c r="B202" s="919"/>
      <c r="C202" s="1282" t="str">
        <f>CONCATENATE('Reference documents'!B18," :
PPP.PVP.MMS METEOROLOGICAL MONITORING SYSTEM
PPP.PVP.MMS.01 SYSTEM
PPP.PVP.MMS.01.002 Field Monitoring System
PPP.PVP.MMS.02 INSTRUMENTS
PPP.PVP.MMS.03 Wiring and Power Supply")</f>
        <v>GRE….. :
PPP.PVP.MMS METEOROLOGICAL MONITORING SYSTEM
PPP.PVP.MMS.01 SYSTEM
PPP.PVP.MMS.01.002 Field Monitoring System
PPP.PVP.MMS.02 INSTRUMENTS
PPP.PVP.MMS.03 Wiring and Power Supply</v>
      </c>
      <c r="D202" s="900" t="s">
        <v>1687</v>
      </c>
      <c r="E202" s="901" t="s">
        <v>1688</v>
      </c>
      <c r="F202" s="902" t="s">
        <v>160</v>
      </c>
      <c r="G202" s="900" t="s">
        <v>141</v>
      </c>
      <c r="H202" s="1101">
        <v>2</v>
      </c>
      <c r="I202" s="1290"/>
      <c r="J202" s="1290"/>
      <c r="K202" s="1297">
        <f t="shared" si="96"/>
        <v>0</v>
      </c>
      <c r="L202" s="1290"/>
      <c r="M202" s="1290"/>
      <c r="N202" s="1297">
        <f t="shared" si="97"/>
        <v>0</v>
      </c>
      <c r="O202" s="1298"/>
      <c r="P202" s="1290"/>
      <c r="Q202" s="1298"/>
      <c r="R202" s="1291">
        <f t="shared" si="98"/>
        <v>0</v>
      </c>
      <c r="S202" s="1292">
        <f t="shared" si="100"/>
        <v>0</v>
      </c>
      <c r="T202" s="935" t="s">
        <v>1689</v>
      </c>
    </row>
    <row r="203" spans="2:22" s="431" customFormat="1" ht="89.25" x14ac:dyDescent="0.25">
      <c r="B203" s="919"/>
      <c r="C203" s="1282" t="str">
        <f>CONCATENATE('Reference documents'!B19," :
PPP.PVP.MMS METEOROLOGICAL MONITORING SYSTEM
PPP.PVP.MMS.01 SYSTEM
PPP.PVP.MMS.01.002 Field Monitoring System
PPP.PVP.MMS.02 INSTRUMENTS
PPP.PVP.MMS.03 Wiring and Power Supply")</f>
        <v>GRE….. :
PPP.PVP.MMS METEOROLOGICAL MONITORING SYSTEM
PPP.PVP.MMS.01 SYSTEM
PPP.PVP.MMS.01.002 Field Monitoring System
PPP.PVP.MMS.02 INSTRUMENTS
PPP.PVP.MMS.03 Wiring and Power Supply</v>
      </c>
      <c r="D203" s="900" t="s">
        <v>1690</v>
      </c>
      <c r="E203" s="901" t="s">
        <v>1691</v>
      </c>
      <c r="F203" s="902" t="s">
        <v>160</v>
      </c>
      <c r="G203" s="900" t="s">
        <v>1692</v>
      </c>
      <c r="H203" s="1101">
        <v>1</v>
      </c>
      <c r="I203" s="1290"/>
      <c r="J203" s="1290"/>
      <c r="K203" s="1297">
        <f t="shared" si="96"/>
        <v>0</v>
      </c>
      <c r="L203" s="1290"/>
      <c r="M203" s="1290"/>
      <c r="N203" s="1297">
        <f t="shared" si="97"/>
        <v>0</v>
      </c>
      <c r="O203" s="1298"/>
      <c r="P203" s="1290"/>
      <c r="Q203" s="1298"/>
      <c r="R203" s="1291">
        <f t="shared" si="98"/>
        <v>0</v>
      </c>
      <c r="S203" s="1292">
        <f t="shared" si="100"/>
        <v>0</v>
      </c>
      <c r="T203" s="935" t="s">
        <v>1689</v>
      </c>
    </row>
    <row r="204" spans="2:22" s="431" customFormat="1" ht="102" x14ac:dyDescent="0.25">
      <c r="B204" s="919"/>
      <c r="C204" s="1282" t="str">
        <f>CONCATENATE('Reference documents'!B20," :
PPP.PVP.MMS METEOROLOGICAL MONITORING SYSTEM
PPP.PVP.MMS.01 SYSTEM
PPP.PVP.MMS.01.001 Meteorological Tower
PPP.PVP.MMS.02 INSTRUMENTS
PPP.PVP.MMS.03 Wiring and Power Supply")</f>
        <v>GRE.EEC.S.21.IT.P.18371.00.126.01 - SOW BOP Pontestura :
PPP.PVP.MMS METEOROLOGICAL MONITORING SYSTEM
PPP.PVP.MMS.01 SYSTEM
PPP.PVP.MMS.01.001 Meteorological Tower
PPP.PVP.MMS.02 INSTRUMENTS
PPP.PVP.MMS.03 Wiring and Power Supply</v>
      </c>
      <c r="D204" s="900" t="s">
        <v>1693</v>
      </c>
      <c r="E204" s="901" t="s">
        <v>1694</v>
      </c>
      <c r="F204" s="902" t="s">
        <v>160</v>
      </c>
      <c r="G204" s="900" t="s">
        <v>141</v>
      </c>
      <c r="H204" s="1101">
        <v>1</v>
      </c>
      <c r="I204" s="1290"/>
      <c r="J204" s="1290"/>
      <c r="K204" s="1297">
        <f t="shared" si="96"/>
        <v>0</v>
      </c>
      <c r="L204" s="1290"/>
      <c r="M204" s="1290"/>
      <c r="N204" s="1297">
        <f t="shared" si="97"/>
        <v>0</v>
      </c>
      <c r="O204" s="1298"/>
      <c r="P204" s="1290"/>
      <c r="Q204" s="1298"/>
      <c r="R204" s="1291">
        <f t="shared" si="98"/>
        <v>0</v>
      </c>
      <c r="S204" s="1292">
        <f t="shared" si="100"/>
        <v>0</v>
      </c>
      <c r="T204" s="935" t="s">
        <v>1695</v>
      </c>
    </row>
    <row r="205" spans="2:22" s="431" customFormat="1" ht="102" x14ac:dyDescent="0.25">
      <c r="B205" s="919"/>
      <c r="C205" s="1282" t="str">
        <f>CONCATENATE('Reference documents'!B21," :
PPP.PVP.MMS METEOROLOGICAL MONITORING SYSTEM
PPP.PVP.MMS.01 SYSTEM
PPP.PVP.MMS.01.001 Meteorological Tower
PPP.PVP.MMS.02 INSTRUMENTS
PPP.PVP.MMS.03 Wiring and Power Supply")</f>
        <v>GRE.EEC.S.21.IT.P.18371.00.126.01 - SOW BOP Pontestura :
PPP.PVP.MMS METEOROLOGICAL MONITORING SYSTEM
PPP.PVP.MMS.01 SYSTEM
PPP.PVP.MMS.01.001 Meteorological Tower
PPP.PVP.MMS.02 INSTRUMENTS
PPP.PVP.MMS.03 Wiring and Power Supply</v>
      </c>
      <c r="D205" s="900" t="s">
        <v>1696</v>
      </c>
      <c r="E205" s="901" t="s">
        <v>1697</v>
      </c>
      <c r="F205" s="902" t="s">
        <v>160</v>
      </c>
      <c r="G205" s="900" t="s">
        <v>141</v>
      </c>
      <c r="H205" s="1101">
        <v>1</v>
      </c>
      <c r="I205" s="1290"/>
      <c r="J205" s="1290"/>
      <c r="K205" s="1297">
        <f t="shared" si="96"/>
        <v>0</v>
      </c>
      <c r="L205" s="1290"/>
      <c r="M205" s="1290"/>
      <c r="N205" s="1297">
        <f t="shared" si="97"/>
        <v>0</v>
      </c>
      <c r="O205" s="1298"/>
      <c r="P205" s="1290"/>
      <c r="Q205" s="1298"/>
      <c r="R205" s="1291">
        <f t="shared" si="98"/>
        <v>0</v>
      </c>
      <c r="S205" s="1292">
        <f t="shared" ref="S205:S206" si="101">IF(F205="na","",H205*R205)</f>
        <v>0</v>
      </c>
      <c r="T205" s="935" t="s">
        <v>1695</v>
      </c>
    </row>
    <row r="206" spans="2:22" s="431" customFormat="1" ht="123.75" x14ac:dyDescent="0.25">
      <c r="B206" s="919"/>
      <c r="C206" s="1282" t="str">
        <f>CONCATENATE('Reference documents'!B22," :
PPP.PVP.MMS METEOROLOGICAL MONITORING SYSTEM
PPP.PVP.MMS.01 SYSTEM
PPP.PVP.MMS.01.001 Meteorological Tower
PPP.PVP.MMS.02 INSTRUMENTS
PPP.PVP.MMS.03 Wiring and Power Supply")</f>
        <v>GRE.EEC.S.21.IT.P.18371.00.126.01 - SOW BOP Pontestura :
PPP.PVP.MMS METEOROLOGICAL MONITORING SYSTEM
PPP.PVP.MMS.01 SYSTEM
PPP.PVP.MMS.01.001 Meteorological Tower
PPP.PVP.MMS.02 INSTRUMENTS
PPP.PVP.MMS.03 Wiring and Power Supply</v>
      </c>
      <c r="D206" s="900" t="s">
        <v>1698</v>
      </c>
      <c r="E206" s="901" t="s">
        <v>1699</v>
      </c>
      <c r="F206" s="902" t="s">
        <v>160</v>
      </c>
      <c r="G206" s="900" t="s">
        <v>1692</v>
      </c>
      <c r="H206" s="1101">
        <v>1</v>
      </c>
      <c r="I206" s="1290">
        <v>430.45573498570155</v>
      </c>
      <c r="J206" s="1290">
        <v>40</v>
      </c>
      <c r="K206" s="1297">
        <f t="shared" si="96"/>
        <v>17218.229399428063</v>
      </c>
      <c r="L206" s="1290">
        <v>1</v>
      </c>
      <c r="M206" s="1290">
        <v>5000</v>
      </c>
      <c r="N206" s="1297">
        <f t="shared" si="97"/>
        <v>5000</v>
      </c>
      <c r="O206" s="1298"/>
      <c r="P206" s="1290">
        <v>96500</v>
      </c>
      <c r="Q206" s="1298"/>
      <c r="R206" s="1291">
        <f t="shared" si="98"/>
        <v>118718.22939942806</v>
      </c>
      <c r="S206" s="1292">
        <f t="shared" si="101"/>
        <v>118718.22939942806</v>
      </c>
      <c r="T206" s="935" t="s">
        <v>2613</v>
      </c>
    </row>
    <row r="207" spans="2:22" ht="15" customHeight="1" x14ac:dyDescent="0.25">
      <c r="B207" s="1608" t="s">
        <v>99</v>
      </c>
      <c r="C207" s="1608"/>
      <c r="D207" s="1608"/>
      <c r="E207" s="1608"/>
      <c r="F207" s="1609" t="s">
        <v>154</v>
      </c>
      <c r="G207" s="1609"/>
      <c r="H207" s="1609"/>
      <c r="I207" s="1609"/>
      <c r="J207" s="1609"/>
      <c r="K207" s="1609"/>
      <c r="L207" s="1609"/>
      <c r="M207" s="1609"/>
      <c r="N207" s="1609"/>
      <c r="O207" s="1609"/>
      <c r="P207" s="1609"/>
      <c r="Q207" s="1609"/>
      <c r="R207" s="1609"/>
      <c r="S207" s="863">
        <f>SUMIFS(S213:S249,F213:F249,"Mandatory",E213:E249,"=*Supply*")</f>
        <v>779663.87967528857</v>
      </c>
      <c r="T207" s="1221"/>
    </row>
    <row r="208" spans="2:22" ht="15" customHeight="1" x14ac:dyDescent="0.25">
      <c r="B208" s="1608"/>
      <c r="C208" s="1608"/>
      <c r="D208" s="1608"/>
      <c r="E208" s="1608"/>
      <c r="F208" s="1609" t="s">
        <v>156</v>
      </c>
      <c r="G208" s="1609"/>
      <c r="H208" s="1609"/>
      <c r="I208" s="1609"/>
      <c r="J208" s="1609"/>
      <c r="K208" s="1609"/>
      <c r="L208" s="1609"/>
      <c r="M208" s="1609"/>
      <c r="N208" s="1609"/>
      <c r="O208" s="1609"/>
      <c r="P208" s="1609"/>
      <c r="Q208" s="1609"/>
      <c r="R208" s="1609"/>
      <c r="S208" s="863">
        <f>SUMIFS(S213:S249,F213:F249,"Optional",E213:E249,"=*Supply*")</f>
        <v>0</v>
      </c>
      <c r="T208" s="1221"/>
      <c r="V208" s="1449"/>
    </row>
    <row r="209" spans="2:22" ht="15" customHeight="1" x14ac:dyDescent="0.25">
      <c r="B209" s="1599" t="s">
        <v>91</v>
      </c>
      <c r="C209" s="1600"/>
      <c r="D209" s="1600"/>
      <c r="E209" s="1601"/>
      <c r="F209" s="1605" t="s">
        <v>154</v>
      </c>
      <c r="G209" s="1606"/>
      <c r="H209" s="1606"/>
      <c r="I209" s="1606"/>
      <c r="J209" s="1606"/>
      <c r="K209" s="1606"/>
      <c r="L209" s="1606"/>
      <c r="M209" s="1606"/>
      <c r="N209" s="1606"/>
      <c r="O209" s="1606"/>
      <c r="P209" s="1606"/>
      <c r="Q209" s="1606"/>
      <c r="R209" s="1607"/>
      <c r="S209" s="863">
        <f>SUMIFS(S213:S249,F213:F249,"Mandatory",E213:E249,"=*Installation*")</f>
        <v>877023.29624387855</v>
      </c>
      <c r="T209" s="1221"/>
    </row>
    <row r="210" spans="2:22" ht="15" customHeight="1" x14ac:dyDescent="0.25">
      <c r="B210" s="1602"/>
      <c r="C210" s="1603"/>
      <c r="D210" s="1603"/>
      <c r="E210" s="1604"/>
      <c r="F210" s="1605" t="s">
        <v>156</v>
      </c>
      <c r="G210" s="1606"/>
      <c r="H210" s="1606"/>
      <c r="I210" s="1606"/>
      <c r="J210" s="1606"/>
      <c r="K210" s="1606"/>
      <c r="L210" s="1606"/>
      <c r="M210" s="1606"/>
      <c r="N210" s="1606"/>
      <c r="O210" s="1606"/>
      <c r="P210" s="1606"/>
      <c r="Q210" s="1606"/>
      <c r="R210" s="1607"/>
      <c r="S210" s="863">
        <f>SUMIFS(S213:S249,F213:F249,"Optional",E213:E249,"=*Installation*")</f>
        <v>0</v>
      </c>
      <c r="T210" s="1221"/>
      <c r="V210" s="1449"/>
    </row>
    <row r="211" spans="2:22" ht="15" customHeight="1" x14ac:dyDescent="0.25">
      <c r="B211" s="1599" t="s">
        <v>814</v>
      </c>
      <c r="C211" s="1600"/>
      <c r="D211" s="1600"/>
      <c r="E211" s="1601"/>
      <c r="F211" s="1605" t="s">
        <v>154</v>
      </c>
      <c r="G211" s="1606"/>
      <c r="H211" s="1606"/>
      <c r="I211" s="1606"/>
      <c r="J211" s="1606"/>
      <c r="K211" s="1606"/>
      <c r="L211" s="1606"/>
      <c r="M211" s="1606"/>
      <c r="N211" s="1606"/>
      <c r="O211" s="1606"/>
      <c r="P211" s="1606"/>
      <c r="Q211" s="1606"/>
      <c r="R211" s="1607"/>
      <c r="S211" s="863">
        <f>SUMIFS(S213:S249,F213:F249,"Mandatory",E213:E249,"=*Test*")</f>
        <v>0</v>
      </c>
      <c r="T211" s="1221"/>
    </row>
    <row r="212" spans="2:22" ht="15" customHeight="1" x14ac:dyDescent="0.25">
      <c r="B212" s="1602"/>
      <c r="C212" s="1603"/>
      <c r="D212" s="1603"/>
      <c r="E212" s="1604"/>
      <c r="F212" s="1605" t="s">
        <v>156</v>
      </c>
      <c r="G212" s="1606"/>
      <c r="H212" s="1606"/>
      <c r="I212" s="1606"/>
      <c r="J212" s="1606"/>
      <c r="K212" s="1606"/>
      <c r="L212" s="1606"/>
      <c r="M212" s="1606"/>
      <c r="N212" s="1606"/>
      <c r="O212" s="1606"/>
      <c r="P212" s="1606"/>
      <c r="Q212" s="1606"/>
      <c r="R212" s="1607"/>
      <c r="S212" s="863">
        <f>SUMIFS(S213:S249,F213:F249,"Optional",E213:E249,"=*Test*")</f>
        <v>0</v>
      </c>
      <c r="T212" s="1221"/>
    </row>
    <row r="213" spans="2:22" s="431" customFormat="1" ht="18" customHeight="1" x14ac:dyDescent="0.25">
      <c r="B213" s="945"/>
      <c r="C213" s="928"/>
      <c r="D213" s="946" t="s">
        <v>623</v>
      </c>
      <c r="E213" s="928" t="s">
        <v>622</v>
      </c>
      <c r="F213" s="947"/>
      <c r="G213" s="947"/>
      <c r="H213" s="1100"/>
      <c r="I213" s="1100"/>
      <c r="J213" s="1100"/>
      <c r="K213" s="1100"/>
      <c r="L213" s="1100"/>
      <c r="M213" s="1100"/>
      <c r="N213" s="1100"/>
      <c r="O213" s="1100"/>
      <c r="P213" s="1100"/>
      <c r="Q213" s="1100"/>
      <c r="R213" s="947"/>
      <c r="S213" s="1127"/>
      <c r="T213" s="948"/>
    </row>
    <row r="214" spans="2:22" s="431" customFormat="1" ht="18" customHeight="1" x14ac:dyDescent="0.25">
      <c r="B214" s="945"/>
      <c r="C214" s="928"/>
      <c r="D214" s="946" t="s">
        <v>624</v>
      </c>
      <c r="E214" s="928" t="s">
        <v>625</v>
      </c>
      <c r="F214" s="947"/>
      <c r="G214" s="947"/>
      <c r="H214" s="1100"/>
      <c r="I214" s="1100"/>
      <c r="J214" s="1100"/>
      <c r="K214" s="1100"/>
      <c r="L214" s="1100"/>
      <c r="M214" s="1100"/>
      <c r="N214" s="1100"/>
      <c r="O214" s="1100"/>
      <c r="P214" s="1100"/>
      <c r="Q214" s="1100"/>
      <c r="R214" s="947"/>
      <c r="S214" s="1127"/>
      <c r="T214" s="948"/>
    </row>
    <row r="215" spans="2:22" s="431" customFormat="1" ht="36" customHeight="1" x14ac:dyDescent="0.25">
      <c r="B215" s="899"/>
      <c r="C215" s="1283" t="str">
        <f>CONCATENATE('Reference documents'!B15,"
PPP.PVP.MVC MV CENTERS")</f>
        <v>GRE.EEC.S.21.IT.P.18371.00.127.00 Technical Specification
PPP.PVP.MVC MV CENTERS</v>
      </c>
      <c r="D215" s="900" t="s">
        <v>638</v>
      </c>
      <c r="E215" s="901" t="s">
        <v>639</v>
      </c>
      <c r="F215" s="902" t="s">
        <v>160</v>
      </c>
      <c r="G215" s="900" t="s">
        <v>141</v>
      </c>
      <c r="H215" s="1101">
        <v>3</v>
      </c>
      <c r="I215" s="1290">
        <v>97.735600500550234</v>
      </c>
      <c r="J215" s="1290">
        <v>40</v>
      </c>
      <c r="K215" s="1297">
        <f t="shared" ref="K215:K219" si="102">I215*J215</f>
        <v>3909.4240200220092</v>
      </c>
      <c r="L215" s="1290">
        <v>1</v>
      </c>
      <c r="M215" s="1290">
        <v>2500</v>
      </c>
      <c r="N215" s="1297">
        <f t="shared" ref="N215:N219" si="103">L215*M215</f>
        <v>2500</v>
      </c>
      <c r="O215" s="1298"/>
      <c r="P215" s="1290"/>
      <c r="Q215" s="1298"/>
      <c r="R215" s="1291">
        <f t="shared" ref="R215:R218" si="104">P215+N215+K215</f>
        <v>6409.4240200220092</v>
      </c>
      <c r="S215" s="1292">
        <f t="shared" ref="S215:S219" si="105">IF(F215="na","",H215*R215)</f>
        <v>19228.272060066029</v>
      </c>
      <c r="T215" s="935"/>
    </row>
    <row r="216" spans="2:22" s="431" customFormat="1" ht="39.75" customHeight="1" x14ac:dyDescent="0.25">
      <c r="B216" s="899"/>
      <c r="C216" s="1283" t="str">
        <f>CONCATENATE('Reference documents'!B15,"
PPP.PVP.INV INVERTER
PPP.PVP.INV.01 STRING INVERTER")</f>
        <v>GRE.EEC.S.21.IT.P.18371.00.127.00 Technical Specification
PPP.PVP.INV INVERTER
PPP.PVP.INV.01 STRING INVERTER</v>
      </c>
      <c r="D216" s="900" t="s">
        <v>642</v>
      </c>
      <c r="E216" s="901" t="s">
        <v>643</v>
      </c>
      <c r="F216" s="902" t="s">
        <v>160</v>
      </c>
      <c r="G216" s="900" t="s">
        <v>141</v>
      </c>
      <c r="H216" s="1101">
        <v>27</v>
      </c>
      <c r="I216" s="1315">
        <v>27.154592820945112</v>
      </c>
      <c r="J216" s="1315">
        <v>40</v>
      </c>
      <c r="K216" s="1316">
        <f t="shared" si="102"/>
        <v>1086.1837128378045</v>
      </c>
      <c r="L216" s="1315">
        <v>1</v>
      </c>
      <c r="M216" s="1315">
        <v>50</v>
      </c>
      <c r="N216" s="1316">
        <f t="shared" si="103"/>
        <v>50</v>
      </c>
      <c r="O216" s="1317"/>
      <c r="P216" s="1315">
        <v>800</v>
      </c>
      <c r="Q216" s="1317"/>
      <c r="R216" s="1291">
        <f t="shared" si="104"/>
        <v>1936.1837128378045</v>
      </c>
      <c r="S216" s="1194">
        <f t="shared" si="105"/>
        <v>52276.960246620722</v>
      </c>
      <c r="T216" s="935"/>
    </row>
    <row r="217" spans="2:22" s="431" customFormat="1" ht="40.5" customHeight="1" x14ac:dyDescent="0.25">
      <c r="B217" s="898"/>
      <c r="C217" s="1283" t="str">
        <f>CONCATENATE('Reference documents'!B15,"
PPP.PVP.INV.02 CENTRALIZED INVERTER
PPP.PVP.MVC MV CENTERS")</f>
        <v>GRE.EEC.S.21.IT.P.18371.00.127.00 Technical Specification
PPP.PVP.INV.02 CENTRALIZED INVERTER
PPP.PVP.MVC MV CENTERS</v>
      </c>
      <c r="D217" s="900" t="s">
        <v>644</v>
      </c>
      <c r="E217" s="901" t="s">
        <v>645</v>
      </c>
      <c r="F217" s="902" t="s">
        <v>160</v>
      </c>
      <c r="G217" s="900" t="s">
        <v>141</v>
      </c>
      <c r="H217" s="1101">
        <v>3</v>
      </c>
      <c r="I217" s="1293"/>
      <c r="J217" s="1293"/>
      <c r="K217" s="1295">
        <f t="shared" si="102"/>
        <v>0</v>
      </c>
      <c r="L217" s="1293"/>
      <c r="M217" s="1293"/>
      <c r="N217" s="1295">
        <f t="shared" si="103"/>
        <v>0</v>
      </c>
      <c r="O217" s="1296"/>
      <c r="P217" s="1293">
        <v>3270.1142959295962</v>
      </c>
      <c r="Q217" s="1296"/>
      <c r="R217" s="1291">
        <f t="shared" si="104"/>
        <v>3270.1142959295962</v>
      </c>
      <c r="S217" s="1124">
        <f t="shared" si="105"/>
        <v>9810.3428877887891</v>
      </c>
      <c r="T217" s="1416" t="s">
        <v>818</v>
      </c>
    </row>
    <row r="218" spans="2:22" s="431" customFormat="1" ht="40.5" customHeight="1" x14ac:dyDescent="0.25">
      <c r="B218" s="898"/>
      <c r="C218" s="1283" t="str">
        <f>CONCATENATE('Reference documents'!B15,"
PPP.PVP.INV.02 CENTRALIZED INVERTER
PPP.PVP.MVC MV CENTERS")</f>
        <v>GRE.EEC.S.21.IT.P.18371.00.127.00 Technical Specification
PPP.PVP.INV.02 CENTRALIZED INVERTER
PPP.PVP.MVC MV CENTERS</v>
      </c>
      <c r="D218" s="900" t="s">
        <v>646</v>
      </c>
      <c r="E218" s="901" t="s">
        <v>647</v>
      </c>
      <c r="F218" s="902" t="s">
        <v>160</v>
      </c>
      <c r="G218" s="900" t="s">
        <v>141</v>
      </c>
      <c r="H218" s="1101">
        <v>3</v>
      </c>
      <c r="I218" s="1315">
        <v>16.85172006435646</v>
      </c>
      <c r="J218" s="1315">
        <v>40</v>
      </c>
      <c r="K218" s="1316">
        <f t="shared" si="102"/>
        <v>674.06880257425837</v>
      </c>
      <c r="L218" s="1315">
        <v>1</v>
      </c>
      <c r="M218" s="1315">
        <v>150</v>
      </c>
      <c r="N218" s="1316">
        <f t="shared" si="103"/>
        <v>150</v>
      </c>
      <c r="O218" s="1317"/>
      <c r="P218" s="1315"/>
      <c r="Q218" s="1317"/>
      <c r="R218" s="1291">
        <f t="shared" si="104"/>
        <v>824.06880257425837</v>
      </c>
      <c r="S218" s="1194">
        <f t="shared" si="105"/>
        <v>2472.2064077227751</v>
      </c>
      <c r="T218" s="1289" t="s">
        <v>818</v>
      </c>
    </row>
    <row r="219" spans="2:22" s="431" customFormat="1" ht="45.75" customHeight="1" x14ac:dyDescent="0.25">
      <c r="B219" s="919"/>
      <c r="C219" s="1283" t="str">
        <f>CONCATENATE('Reference documents'!B15,
"
PPP.PVP.WRK.02 PV MODULES ACTIVITY
PPP.PVP.WRK.02.002 PV Modules Cabling")</f>
        <v>GRE.EEC.S.21.IT.P.18371.00.127.00 Technical Specification
PPP.PVP.WRK.02 PV MODULES ACTIVITY
PPP.PVP.WRK.02.002 PV Modules Cabling</v>
      </c>
      <c r="D219" s="900" t="s">
        <v>648</v>
      </c>
      <c r="E219" s="901" t="s">
        <v>2606</v>
      </c>
      <c r="F219" s="902" t="s">
        <v>160</v>
      </c>
      <c r="G219" s="900" t="s">
        <v>650</v>
      </c>
      <c r="H219" s="1432">
        <v>15390</v>
      </c>
      <c r="I219" s="1293">
        <v>6.3672400214521516E-2</v>
      </c>
      <c r="J219" s="1293">
        <v>40</v>
      </c>
      <c r="K219" s="1295">
        <f t="shared" si="102"/>
        <v>2.5468960085808607</v>
      </c>
      <c r="L219" s="1293">
        <v>1</v>
      </c>
      <c r="M219" s="1293">
        <v>0.2</v>
      </c>
      <c r="N219" s="1295">
        <f t="shared" si="103"/>
        <v>0.2</v>
      </c>
      <c r="O219" s="1296"/>
      <c r="P219" s="1293"/>
      <c r="Q219" s="1296"/>
      <c r="R219" s="1294">
        <f t="shared" ref="R219" si="106">P219+N219+K219</f>
        <v>2.7468960085808609</v>
      </c>
      <c r="S219" s="1124">
        <f t="shared" si="105"/>
        <v>42274.729572059448</v>
      </c>
      <c r="T219" s="935"/>
    </row>
    <row r="220" spans="2:22" s="431" customFormat="1" ht="18" customHeight="1" x14ac:dyDescent="0.25">
      <c r="B220" s="945"/>
      <c r="C220" s="928"/>
      <c r="D220" s="946" t="s">
        <v>656</v>
      </c>
      <c r="E220" s="928" t="s">
        <v>657</v>
      </c>
      <c r="F220" s="947"/>
      <c r="G220" s="947"/>
      <c r="H220" s="1100"/>
      <c r="I220" s="1100"/>
      <c r="J220" s="1100"/>
      <c r="K220" s="1100"/>
      <c r="L220" s="1100"/>
      <c r="M220" s="1100"/>
      <c r="N220" s="1100"/>
      <c r="O220" s="1100"/>
      <c r="P220" s="1100"/>
      <c r="Q220" s="1100"/>
      <c r="R220" s="947"/>
      <c r="S220" s="1127"/>
      <c r="T220" s="948"/>
    </row>
    <row r="221" spans="2:22" s="431" customFormat="1" ht="216.95" customHeight="1" x14ac:dyDescent="0.25">
      <c r="B221" s="919"/>
      <c r="C221" s="1282" t="str">
        <f>CONCATENATE('Reference documents'!B15," :
PPP.PVP.MVC MV CENTERS
PPP.PVP.MVC.02 MV DISTRIBUTION CENTER
PPP.PVP.MVC.03 MV CENTER ENCLOSURE
PPP.PVP.WRK.03 CABINS ACTIVITY")</f>
        <v>GRE.EEC.S.21.IT.P.18371.00.127.00 Technical Specification :
PPP.PVP.MVC MV CENTERS
PPP.PVP.MVC.02 MV DISTRIBUTION CENTER
PPP.PVP.MVC.03 MV CENTER ENCLOSURE
PPP.PVP.WRK.03 CABINS ACTIVITY</v>
      </c>
      <c r="D221" s="900" t="s">
        <v>658</v>
      </c>
      <c r="E221" s="1428" t="s">
        <v>1700</v>
      </c>
      <c r="F221" s="902" t="s">
        <v>160</v>
      </c>
      <c r="G221" s="900" t="s">
        <v>141</v>
      </c>
      <c r="H221" s="1101">
        <v>1</v>
      </c>
      <c r="I221" s="1290"/>
      <c r="J221" s="1290"/>
      <c r="K221" s="1297">
        <f t="shared" ref="K221:K231" si="107">I221*J221</f>
        <v>0</v>
      </c>
      <c r="L221" s="1290"/>
      <c r="M221" s="1290"/>
      <c r="N221" s="1297">
        <f t="shared" ref="N221:N231" si="108">L221*M221</f>
        <v>0</v>
      </c>
      <c r="O221" s="1298"/>
      <c r="P221" s="1290">
        <v>107259.74890649077</v>
      </c>
      <c r="Q221" s="1298"/>
      <c r="R221" s="1291">
        <f t="shared" ref="R221:R228" si="109">P221+N221+K221</f>
        <v>107259.74890649077</v>
      </c>
      <c r="S221" s="1292">
        <f t="shared" ref="S221:S231" si="110">IF(F221="na","",H221*R221)</f>
        <v>107259.74890649077</v>
      </c>
      <c r="T221" s="1452" t="s">
        <v>2614</v>
      </c>
    </row>
    <row r="222" spans="2:22" s="431" customFormat="1" ht="76.5" x14ac:dyDescent="0.25">
      <c r="B222" s="919"/>
      <c r="C222" s="1244" t="str">
        <f>CONCATENATE('Reference documents'!B15," :
PPP.PVP.MVC MV CENTERS
PPP.PVP.MVC.02 MV DISTRIBUTION CENTER
PPP.PVP.MVC.03 MV CENTER ENCLOSURE
PPP.PVP.WRK.03 CABINS ACTIVITY")</f>
        <v>GRE.EEC.S.21.IT.P.18371.00.127.00 Technical Specification :
PPP.PVP.MVC MV CENTERS
PPP.PVP.MVC.02 MV DISTRIBUTION CENTER
PPP.PVP.MVC.03 MV CENTER ENCLOSURE
PPP.PVP.WRK.03 CABINS ACTIVITY</v>
      </c>
      <c r="D222" s="900" t="s">
        <v>820</v>
      </c>
      <c r="E222" s="901" t="s">
        <v>821</v>
      </c>
      <c r="F222" s="902" t="s">
        <v>160</v>
      </c>
      <c r="G222" s="900" t="s">
        <v>141</v>
      </c>
      <c r="H222" s="1101">
        <v>1</v>
      </c>
      <c r="I222" s="1315"/>
      <c r="J222" s="1315"/>
      <c r="K222" s="1316">
        <f t="shared" si="107"/>
        <v>0</v>
      </c>
      <c r="L222" s="1315"/>
      <c r="M222" s="1315"/>
      <c r="N222" s="1316">
        <f t="shared" si="108"/>
        <v>0</v>
      </c>
      <c r="O222" s="1317"/>
      <c r="P222" s="1315"/>
      <c r="Q222" s="1317"/>
      <c r="R222" s="1291">
        <f t="shared" si="109"/>
        <v>0</v>
      </c>
      <c r="S222" s="1194">
        <f t="shared" si="110"/>
        <v>0</v>
      </c>
      <c r="T222" s="935"/>
    </row>
    <row r="223" spans="2:22" s="1314" customFormat="1" ht="105" customHeight="1" x14ac:dyDescent="0.25">
      <c r="B223" s="919"/>
      <c r="C223" s="1282" t="str">
        <f>CONCATENATE('Reference documents'!B15," :
PPP.PVP.MVC MV CENTERS
PPP.PVP.MVC.02 MV DISTRIBUTION CENTER
PPP.PVP.MVC.03 MV CENTER ENCLOSURE
PPP.PVP.WRK.03 CABINS ACTIVITY
- CONSTRUCTION TECHNICAL SPECIFICATIONS
- VENDOR INSTALLATION PROCEDURE SPECIFICATIONS")</f>
        <v>GRE.EEC.S.21.IT.P.18371.00.127.00 Technical Specification :
PPP.PVP.MVC MV CENTERS
PPP.PVP.MVC.02 MV DISTRIBUTION CENTER
PPP.PVP.MVC.03 MV CENTER ENCLOSURE
PPP.PVP.WRK.03 CABINS ACTIVITY
- CONSTRUCTION TECHNICAL SPECIFICATIONS
- VENDOR INSTALLATION PROCEDURE SPECIFICATIONS</v>
      </c>
      <c r="D223" s="900" t="s">
        <v>660</v>
      </c>
      <c r="E223" s="901" t="s">
        <v>822</v>
      </c>
      <c r="F223" s="902" t="s">
        <v>160</v>
      </c>
      <c r="G223" s="900" t="s">
        <v>141</v>
      </c>
      <c r="H223" s="1101">
        <v>1</v>
      </c>
      <c r="I223" s="1293">
        <v>196.41948656215649</v>
      </c>
      <c r="J223" s="1293">
        <v>40</v>
      </c>
      <c r="K223" s="1295">
        <f t="shared" si="107"/>
        <v>7856.7794624862599</v>
      </c>
      <c r="L223" s="1293">
        <v>1</v>
      </c>
      <c r="M223" s="1293">
        <v>3000</v>
      </c>
      <c r="N223" s="1295">
        <f t="shared" si="108"/>
        <v>3000</v>
      </c>
      <c r="O223" s="1296"/>
      <c r="P223" s="1293"/>
      <c r="Q223" s="1296"/>
      <c r="R223" s="1294">
        <f t="shared" si="109"/>
        <v>10856.77946248626</v>
      </c>
      <c r="S223" s="1124">
        <f t="shared" si="110"/>
        <v>10856.77946248626</v>
      </c>
      <c r="T223" s="935"/>
    </row>
    <row r="224" spans="2:22" s="431" customFormat="1" ht="368.45" customHeight="1" x14ac:dyDescent="0.25">
      <c r="B224" s="919"/>
      <c r="C224" s="1244" t="str">
        <f>CONCATENATE('Reference documents'!B15," :
PPP.PVP.MVC MV CENTERS
PPP.PVP.MVC.02 MV DISTRIBUTION CENTER
PPP.PVP.MVC.03 MV CENTER ENCLOSURE
PPP.PVP.WRK.03 CABINS ACTIVITY")</f>
        <v>GRE.EEC.S.21.IT.P.18371.00.127.00 Technical Specification :
PPP.PVP.MVC MV CENTERS
PPP.PVP.MVC.02 MV DISTRIBUTION CENTER
PPP.PVP.MVC.03 MV CENTER ENCLOSURE
PPP.PVP.WRK.03 CABINS ACTIVITY</v>
      </c>
      <c r="D224" s="900" t="s">
        <v>662</v>
      </c>
      <c r="E224" s="1429" t="s">
        <v>1701</v>
      </c>
      <c r="F224" s="902" t="s">
        <v>160</v>
      </c>
      <c r="G224" s="900" t="s">
        <v>141</v>
      </c>
      <c r="H224" s="1101">
        <v>1</v>
      </c>
      <c r="I224" s="1293"/>
      <c r="J224" s="1293"/>
      <c r="K224" s="1295">
        <f t="shared" si="107"/>
        <v>0</v>
      </c>
      <c r="L224" s="1293"/>
      <c r="M224" s="1293"/>
      <c r="N224" s="1295">
        <f t="shared" si="108"/>
        <v>0</v>
      </c>
      <c r="O224" s="1296"/>
      <c r="P224" s="1293">
        <v>313930.97240924125</v>
      </c>
      <c r="Q224" s="1296"/>
      <c r="R224" s="1291">
        <f t="shared" si="109"/>
        <v>313930.97240924125</v>
      </c>
      <c r="S224" s="1124">
        <f t="shared" si="110"/>
        <v>313930.97240924125</v>
      </c>
      <c r="T224" s="1452" t="s">
        <v>2614</v>
      </c>
    </row>
    <row r="225" spans="2:20" s="431" customFormat="1" ht="76.5" x14ac:dyDescent="0.25">
      <c r="B225" s="919"/>
      <c r="C225" s="1282" t="str">
        <f>CONCATENATE('Reference documents'!B15," :
PPP.PVP.MVC MV CENTERS
PPP.PVP.MVC.02 MV DISTRIBUTION CENTER
PPP.PVP.MVC.03 MV CENTER ENCLOSURE
PPP.PVP.WRK.03 CABINS ACTIVITY")</f>
        <v>GRE.EEC.S.21.IT.P.18371.00.127.00 Technical Specification :
PPP.PVP.MVC MV CENTERS
PPP.PVP.MVC.02 MV DISTRIBUTION CENTER
PPP.PVP.MVC.03 MV CENTER ENCLOSURE
PPP.PVP.WRK.03 CABINS ACTIVITY</v>
      </c>
      <c r="D225" s="900" t="s">
        <v>664</v>
      </c>
      <c r="E225" s="901" t="s">
        <v>824</v>
      </c>
      <c r="F225" s="902" t="s">
        <v>160</v>
      </c>
      <c r="G225" s="900" t="s">
        <v>141</v>
      </c>
      <c r="H225" s="1101">
        <v>1</v>
      </c>
      <c r="I225" s="1293"/>
      <c r="J225" s="1293"/>
      <c r="K225" s="1295">
        <f t="shared" si="107"/>
        <v>0</v>
      </c>
      <c r="L225" s="1293"/>
      <c r="M225" s="1293"/>
      <c r="N225" s="1295">
        <f t="shared" si="108"/>
        <v>0</v>
      </c>
      <c r="O225" s="1296"/>
      <c r="P225" s="1293"/>
      <c r="Q225" s="1296"/>
      <c r="R225" s="1291">
        <f t="shared" si="109"/>
        <v>0</v>
      </c>
      <c r="S225" s="1124">
        <f t="shared" si="110"/>
        <v>0</v>
      </c>
      <c r="T225" s="935"/>
    </row>
    <row r="226" spans="2:20" s="431" customFormat="1" ht="76.5" x14ac:dyDescent="0.25">
      <c r="B226" s="919"/>
      <c r="C226" s="1244" t="str">
        <f>CONCATENATE('Reference documents'!B15," :
PPP.PVP.MVC MV CENTERS
PPP.PVP.MVC.02 MV DISTRIBUTION CENTER
PPP.PVP.MVC.03 MV CENTER ENCLOSURE
PPP.PVP.WRK.03 CABINS ACTIVITY")</f>
        <v>GRE.EEC.S.21.IT.P.18371.00.127.00 Technical Specification :
PPP.PVP.MVC MV CENTERS
PPP.PVP.MVC.02 MV DISTRIBUTION CENTER
PPP.PVP.MVC.03 MV CENTER ENCLOSURE
PPP.PVP.WRK.03 CABINS ACTIVITY</v>
      </c>
      <c r="D226" s="900" t="s">
        <v>666</v>
      </c>
      <c r="E226" s="901" t="s">
        <v>825</v>
      </c>
      <c r="F226" s="902" t="s">
        <v>160</v>
      </c>
      <c r="G226" s="900" t="s">
        <v>141</v>
      </c>
      <c r="H226" s="1101">
        <v>1</v>
      </c>
      <c r="I226" s="1293"/>
      <c r="J226" s="1293"/>
      <c r="K226" s="1295">
        <f t="shared" si="107"/>
        <v>0</v>
      </c>
      <c r="L226" s="1293"/>
      <c r="M226" s="1293"/>
      <c r="N226" s="1295">
        <f t="shared" si="108"/>
        <v>0</v>
      </c>
      <c r="O226" s="1296"/>
      <c r="P226" s="1293"/>
      <c r="Q226" s="1296"/>
      <c r="R226" s="1294">
        <f t="shared" si="109"/>
        <v>0</v>
      </c>
      <c r="S226" s="1124">
        <f t="shared" si="110"/>
        <v>0</v>
      </c>
      <c r="T226" s="935"/>
    </row>
    <row r="227" spans="2:20" s="431" customFormat="1" ht="135" customHeight="1" x14ac:dyDescent="0.25">
      <c r="B227" s="919"/>
      <c r="C227" s="1282" t="str">
        <f>CONCATENATE('Reference documents'!B15," :
PPP.PVP.MVC MV CENTERS
PPP.PVP.MVC.02 MV DISTRIBUTION CENTER
PPP.PVP.MVC.03 MV CENTER ENCLOSURE
PPP.PVP.WRK.03 CABINS ACTIVITY")</f>
        <v>GRE.EEC.S.21.IT.P.18371.00.127.00 Technical Specification :
PPP.PVP.MVC MV CENTERS
PPP.PVP.MVC.02 MV DISTRIBUTION CENTER
PPP.PVP.MVC.03 MV CENTER ENCLOSURE
PPP.PVP.WRK.03 CABINS ACTIVITY</v>
      </c>
      <c r="D227" s="900" t="s">
        <v>668</v>
      </c>
      <c r="E227" s="1374" t="s">
        <v>826</v>
      </c>
      <c r="F227" s="902" t="s">
        <v>160</v>
      </c>
      <c r="G227" s="900" t="s">
        <v>141</v>
      </c>
      <c r="H227" s="1101">
        <v>1</v>
      </c>
      <c r="I227" s="1293"/>
      <c r="J227" s="1293"/>
      <c r="K227" s="1295">
        <f t="shared" si="107"/>
        <v>0</v>
      </c>
      <c r="L227" s="1293"/>
      <c r="M227" s="1293"/>
      <c r="N227" s="1295">
        <f t="shared" si="108"/>
        <v>0</v>
      </c>
      <c r="O227" s="1296"/>
      <c r="P227" s="1293"/>
      <c r="Q227" s="1296"/>
      <c r="R227" s="1291">
        <f t="shared" si="109"/>
        <v>0</v>
      </c>
      <c r="S227" s="1124">
        <f t="shared" si="110"/>
        <v>0</v>
      </c>
      <c r="T227" s="935"/>
    </row>
    <row r="228" spans="2:20" s="431" customFormat="1" ht="148.5" customHeight="1" x14ac:dyDescent="0.25">
      <c r="B228" s="919"/>
      <c r="C228" s="1244" t="str">
        <f>CONCATENATE('Reference documents'!B15," :
PPP.PVP.MVC MV CENTERS
PPP.PVP.MVC.02 MV DISTRIBUTION CENTER
PPP.PVP.MVC.03 MV CENTER ENCLOSURE
PPP.PVP.WRK.03 CABINS ACTIVITY
- CONSTRUCTION TECHNICAL SPECIFICATIONS
- VENDOR INSTALLATION PROCEDURE SPECIFICATIONS")</f>
        <v>GRE.EEC.S.21.IT.P.18371.00.127.00 Technical Specification :
PPP.PVP.MVC MV CENTERS
PPP.PVP.MVC.02 MV DISTRIBUTION CENTER
PPP.PVP.MVC.03 MV CENTER ENCLOSURE
PPP.PVP.WRK.03 CABINS ACTIVITY
- CONSTRUCTION TECHNICAL SPECIFICATIONS
- VENDOR INSTALLATION PROCEDURE SPECIFICATIONS</v>
      </c>
      <c r="D228" s="900" t="s">
        <v>670</v>
      </c>
      <c r="E228" s="901" t="s">
        <v>2610</v>
      </c>
      <c r="F228" s="902" t="s">
        <v>160</v>
      </c>
      <c r="G228" s="900" t="s">
        <v>141</v>
      </c>
      <c r="H228" s="1101">
        <v>1</v>
      </c>
      <c r="I228" s="1293">
        <v>282.02291544004436</v>
      </c>
      <c r="J228" s="1293">
        <v>40</v>
      </c>
      <c r="K228" s="1295">
        <f t="shared" si="107"/>
        <v>11280.916617601775</v>
      </c>
      <c r="L228" s="1293">
        <v>1</v>
      </c>
      <c r="M228" s="1293">
        <v>3500</v>
      </c>
      <c r="N228" s="1295">
        <f t="shared" si="108"/>
        <v>3500</v>
      </c>
      <c r="O228" s="1296"/>
      <c r="P228" s="1293"/>
      <c r="Q228" s="1296"/>
      <c r="R228" s="1294">
        <f t="shared" si="109"/>
        <v>14780.916617601775</v>
      </c>
      <c r="S228" s="1124">
        <f t="shared" si="110"/>
        <v>14780.916617601775</v>
      </c>
      <c r="T228" s="935"/>
    </row>
    <row r="229" spans="2:20" s="431" customFormat="1" ht="106.5" customHeight="1" x14ac:dyDescent="0.25">
      <c r="B229" s="919"/>
      <c r="C229" s="1407" t="str">
        <f>CONCATENATE('Reference documents'!B15," :
PPP.PVP.MVC MV CENTERS
PPP.PVP.MVC.02 MV DISTRIBUTION CENTER
PPP.PVP.MVC.03 MV CENTER ENCLOSURE
PPP.PVP.WRK.03 CABINS ACTIVITY")</f>
        <v>GRE.EEC.S.21.IT.P.18371.00.127.00 Technical Specification :
PPP.PVP.MVC MV CENTERS
PPP.PVP.MVC.02 MV DISTRIBUTION CENTER
PPP.PVP.MVC.03 MV CENTER ENCLOSURE
PPP.PVP.WRK.03 CABINS ACTIVITY</v>
      </c>
      <c r="D229" s="1408" t="s">
        <v>672</v>
      </c>
      <c r="E229" s="1409" t="s">
        <v>828</v>
      </c>
      <c r="F229" s="1411" t="s">
        <v>160</v>
      </c>
      <c r="G229" s="1408" t="s">
        <v>141</v>
      </c>
      <c r="H229" s="1412">
        <v>0</v>
      </c>
      <c r="I229" s="1293"/>
      <c r="J229" s="1293"/>
      <c r="K229" s="1295">
        <f t="shared" si="107"/>
        <v>0</v>
      </c>
      <c r="L229" s="1293"/>
      <c r="M229" s="1293"/>
      <c r="N229" s="1295">
        <f t="shared" si="108"/>
        <v>0</v>
      </c>
      <c r="O229" s="1296"/>
      <c r="P229" s="1293"/>
      <c r="Q229" s="1296"/>
      <c r="R229" s="1294">
        <f t="shared" ref="R229:R231" si="111">P229+N229+K229</f>
        <v>0</v>
      </c>
      <c r="S229" s="1124">
        <f t="shared" si="110"/>
        <v>0</v>
      </c>
      <c r="T229" s="935"/>
    </row>
    <row r="230" spans="2:20" s="431" customFormat="1" ht="76.5" x14ac:dyDescent="0.25">
      <c r="B230" s="919"/>
      <c r="C230" s="1410" t="str">
        <f>CONCATENATE('Reference documents'!B15," :
PPP.PVP.MVC MV CENTERS
PPP.PVP.MVC.02 MV DISTRIBUTION CENTER
PPP.PVP.MVC.03 MV CENTER ENCLOSURE
PPP.PVP.WRK.03 CABINS ACTIVITY")</f>
        <v>GRE.EEC.S.21.IT.P.18371.00.127.00 Technical Specification :
PPP.PVP.MVC MV CENTERS
PPP.PVP.MVC.02 MV DISTRIBUTION CENTER
PPP.PVP.MVC.03 MV CENTER ENCLOSURE
PPP.PVP.WRK.03 CABINS ACTIVITY</v>
      </c>
      <c r="D230" s="1408" t="s">
        <v>829</v>
      </c>
      <c r="E230" s="1409" t="s">
        <v>830</v>
      </c>
      <c r="F230" s="1411"/>
      <c r="G230" s="1408"/>
      <c r="H230" s="1413">
        <v>0</v>
      </c>
      <c r="I230" s="1315"/>
      <c r="J230" s="1315"/>
      <c r="K230" s="1316">
        <f t="shared" si="107"/>
        <v>0</v>
      </c>
      <c r="L230" s="1315"/>
      <c r="M230" s="1315"/>
      <c r="N230" s="1316">
        <f t="shared" si="108"/>
        <v>0</v>
      </c>
      <c r="O230" s="1317"/>
      <c r="P230" s="1315"/>
      <c r="Q230" s="1317"/>
      <c r="R230" s="1318">
        <f t="shared" si="111"/>
        <v>0</v>
      </c>
      <c r="S230" s="1194">
        <f t="shared" si="110"/>
        <v>0</v>
      </c>
      <c r="T230" s="935"/>
    </row>
    <row r="231" spans="2:20" s="431" customFormat="1" ht="114.75" x14ac:dyDescent="0.25">
      <c r="B231" s="919"/>
      <c r="C231" s="1407" t="str">
        <f>CONCATENATE('Reference documents'!B15," :
PPP.PVP.MVC MV CENTERS
PPP.PVP.MVC.02 MV DISTRIBUTION CENTER
PPP.PVP.MVC.03 MV CENTER ENCLOSURE
PPP.PVP.WRK.03 CABINS ACTIVITY
- CONSTRUCTION TECHNICAL SPECIFICATIONS
- VENDOR INSTALLATION PROCEDURE SPECIFICATIONS")</f>
        <v>GRE.EEC.S.21.IT.P.18371.00.127.00 Technical Specification :
PPP.PVP.MVC MV CENTERS
PPP.PVP.MVC.02 MV DISTRIBUTION CENTER
PPP.PVP.MVC.03 MV CENTER ENCLOSURE
PPP.PVP.WRK.03 CABINS ACTIVITY
- CONSTRUCTION TECHNICAL SPECIFICATIONS
- VENDOR INSTALLATION PROCEDURE SPECIFICATIONS</v>
      </c>
      <c r="D231" s="1408" t="s">
        <v>674</v>
      </c>
      <c r="E231" s="1409" t="s">
        <v>831</v>
      </c>
      <c r="F231" s="1411" t="s">
        <v>160</v>
      </c>
      <c r="G231" s="1408" t="s">
        <v>141</v>
      </c>
      <c r="H231" s="1412">
        <v>0</v>
      </c>
      <c r="I231" s="1293"/>
      <c r="J231" s="1293"/>
      <c r="K231" s="1295">
        <f t="shared" si="107"/>
        <v>0</v>
      </c>
      <c r="L231" s="1293"/>
      <c r="M231" s="1293"/>
      <c r="N231" s="1295">
        <f t="shared" si="108"/>
        <v>0</v>
      </c>
      <c r="O231" s="1296"/>
      <c r="P231" s="1293"/>
      <c r="Q231" s="1296"/>
      <c r="R231" s="1294">
        <f t="shared" si="111"/>
        <v>0</v>
      </c>
      <c r="S231" s="1124">
        <f t="shared" si="110"/>
        <v>0</v>
      </c>
      <c r="T231" s="935"/>
    </row>
    <row r="232" spans="2:20" s="431" customFormat="1" ht="12.75" x14ac:dyDescent="0.25">
      <c r="B232" s="945"/>
      <c r="C232" s="928"/>
      <c r="D232" s="946"/>
      <c r="E232" s="928" t="s">
        <v>832</v>
      </c>
      <c r="F232" s="947"/>
      <c r="G232" s="947"/>
      <c r="H232" s="1100"/>
      <c r="I232" s="1100"/>
      <c r="J232" s="1100"/>
      <c r="K232" s="1100"/>
      <c r="L232" s="1100"/>
      <c r="M232" s="1100"/>
      <c r="N232" s="1100"/>
      <c r="O232" s="1100"/>
      <c r="P232" s="1100"/>
      <c r="Q232" s="1100"/>
      <c r="R232" s="947"/>
      <c r="S232" s="1127"/>
      <c r="T232" s="948"/>
    </row>
    <row r="233" spans="2:20" s="431" customFormat="1" ht="25.5" x14ac:dyDescent="0.25">
      <c r="B233" s="956"/>
      <c r="C233" s="1244" t="s">
        <v>755</v>
      </c>
      <c r="D233" s="933"/>
      <c r="E233" s="1273" t="s">
        <v>833</v>
      </c>
      <c r="F233" s="932" t="s">
        <v>167</v>
      </c>
      <c r="G233" s="933" t="s">
        <v>834</v>
      </c>
      <c r="H233" s="1101">
        <v>0</v>
      </c>
      <c r="I233" s="1290"/>
      <c r="J233" s="1290"/>
      <c r="K233" s="1297">
        <f t="shared" ref="K233" si="112">I233*J233</f>
        <v>0</v>
      </c>
      <c r="L233" s="1290"/>
      <c r="M233" s="1290"/>
      <c r="N233" s="1297">
        <f t="shared" ref="N233" si="113">L233*M233</f>
        <v>0</v>
      </c>
      <c r="O233" s="1298"/>
      <c r="P233" s="1290"/>
      <c r="Q233" s="1298"/>
      <c r="R233" s="1291">
        <f t="shared" ref="R233" si="114">P233+N233+K233</f>
        <v>0</v>
      </c>
      <c r="S233" s="1292">
        <f t="shared" ref="S233" si="115">IF(F233="na","",H233*R233)</f>
        <v>0</v>
      </c>
      <c r="T233" s="957"/>
    </row>
    <row r="234" spans="2:20" s="171" customFormat="1" x14ac:dyDescent="0.2">
      <c r="B234" s="926"/>
      <c r="C234" s="927"/>
      <c r="D234" s="941"/>
      <c r="E234" s="928" t="s">
        <v>835</v>
      </c>
      <c r="F234" s="929"/>
      <c r="G234" s="929"/>
      <c r="H234" s="1102"/>
      <c r="I234" s="1102"/>
      <c r="J234" s="1102"/>
      <c r="K234" s="1102"/>
      <c r="L234" s="1102"/>
      <c r="M234" s="1102"/>
      <c r="N234" s="1102"/>
      <c r="O234" s="1102"/>
      <c r="P234" s="1102"/>
      <c r="Q234" s="1102"/>
      <c r="R234" s="929"/>
      <c r="S234" s="1128"/>
      <c r="T234" s="930"/>
    </row>
    <row r="235" spans="2:20" s="431" customFormat="1" ht="25.5" x14ac:dyDescent="0.25">
      <c r="B235" s="919"/>
      <c r="C235" s="1288" t="s">
        <v>836</v>
      </c>
      <c r="D235" s="900" t="s">
        <v>677</v>
      </c>
      <c r="E235" s="901" t="s">
        <v>678</v>
      </c>
      <c r="F235" s="902" t="s">
        <v>160</v>
      </c>
      <c r="G235" s="900" t="s">
        <v>345</v>
      </c>
      <c r="H235" s="1101">
        <v>4400</v>
      </c>
      <c r="I235" s="1290"/>
      <c r="J235" s="1290"/>
      <c r="K235" s="1297">
        <f t="shared" ref="K235:K249" si="116">I235*J235</f>
        <v>0</v>
      </c>
      <c r="L235" s="1290"/>
      <c r="M235" s="1290"/>
      <c r="N235" s="1297">
        <f t="shared" ref="N235:N249" si="117">L235*M235</f>
        <v>0</v>
      </c>
      <c r="O235" s="1298"/>
      <c r="P235" s="1290">
        <v>67.701018337402957</v>
      </c>
      <c r="Q235" s="1298"/>
      <c r="R235" s="1291">
        <f>P235+N235+K235</f>
        <v>67.701018337402957</v>
      </c>
      <c r="S235" s="1292">
        <f t="shared" ref="S235:S249" si="118">IF(F235="na","",H235*R235)</f>
        <v>297884.48068457301</v>
      </c>
      <c r="T235" s="860" t="s">
        <v>1702</v>
      </c>
    </row>
    <row r="236" spans="2:20" s="431" customFormat="1" ht="25.5" x14ac:dyDescent="0.25">
      <c r="B236" s="919"/>
      <c r="C236" s="1289" t="s">
        <v>836</v>
      </c>
      <c r="D236" s="900" t="s">
        <v>680</v>
      </c>
      <c r="E236" s="901" t="s">
        <v>681</v>
      </c>
      <c r="F236" s="902" t="s">
        <v>160</v>
      </c>
      <c r="G236" s="900" t="s">
        <v>345</v>
      </c>
      <c r="H236" s="1101">
        <v>4400</v>
      </c>
      <c r="I236" s="1293">
        <v>0.94454000357535883</v>
      </c>
      <c r="J236" s="1293">
        <v>40</v>
      </c>
      <c r="K236" s="1295">
        <f t="shared" si="116"/>
        <v>37.781600143014352</v>
      </c>
      <c r="L236" s="1293">
        <v>0.1</v>
      </c>
      <c r="M236" s="1293">
        <v>80</v>
      </c>
      <c r="N236" s="1295">
        <f t="shared" si="117"/>
        <v>8</v>
      </c>
      <c r="O236" s="1296"/>
      <c r="P236" s="1293"/>
      <c r="Q236" s="1296"/>
      <c r="R236" s="1294">
        <f>P236+N236+K236</f>
        <v>45.781600143014352</v>
      </c>
      <c r="S236" s="1124">
        <f t="shared" si="118"/>
        <v>201439.04062926315</v>
      </c>
      <c r="T236" s="1417" t="s">
        <v>1702</v>
      </c>
    </row>
    <row r="237" spans="2:20" s="431" customFormat="1" ht="25.5" x14ac:dyDescent="0.25">
      <c r="B237" s="919"/>
      <c r="C237" s="1289" t="s">
        <v>836</v>
      </c>
      <c r="D237" s="900" t="s">
        <v>382</v>
      </c>
      <c r="E237" s="901" t="s">
        <v>383</v>
      </c>
      <c r="F237" s="902" t="s">
        <v>160</v>
      </c>
      <c r="G237" s="900" t="s">
        <v>141</v>
      </c>
      <c r="H237" s="1101">
        <v>6</v>
      </c>
      <c r="I237" s="1293"/>
      <c r="J237" s="1293"/>
      <c r="K237" s="1295">
        <f t="shared" si="116"/>
        <v>0</v>
      </c>
      <c r="L237" s="1293"/>
      <c r="M237" s="1293"/>
      <c r="N237" s="1295">
        <f t="shared" si="117"/>
        <v>0</v>
      </c>
      <c r="O237" s="1296"/>
      <c r="P237" s="1293">
        <v>654.02285918591929</v>
      </c>
      <c r="Q237" s="1296"/>
      <c r="R237" s="1291">
        <f t="shared" ref="R237:R249" si="119">P237+N237+K237</f>
        <v>654.02285918591929</v>
      </c>
      <c r="S237" s="1124">
        <f t="shared" si="118"/>
        <v>3924.1371551155157</v>
      </c>
      <c r="T237" s="935"/>
    </row>
    <row r="238" spans="2:20" s="431" customFormat="1" ht="25.5" x14ac:dyDescent="0.25">
      <c r="B238" s="919"/>
      <c r="C238" s="1289" t="s">
        <v>836</v>
      </c>
      <c r="D238" s="900" t="s">
        <v>386</v>
      </c>
      <c r="E238" s="901" t="s">
        <v>387</v>
      </c>
      <c r="F238" s="902" t="s">
        <v>160</v>
      </c>
      <c r="G238" s="900" t="s">
        <v>141</v>
      </c>
      <c r="H238" s="1101">
        <v>6</v>
      </c>
      <c r="I238" s="1293">
        <v>18.91867434598462</v>
      </c>
      <c r="J238" s="1293">
        <v>40</v>
      </c>
      <c r="K238" s="1295">
        <f t="shared" si="116"/>
        <v>756.74697383938474</v>
      </c>
      <c r="L238" s="1293">
        <v>1</v>
      </c>
      <c r="M238" s="1293">
        <v>15</v>
      </c>
      <c r="N238" s="1295">
        <f t="shared" si="117"/>
        <v>15</v>
      </c>
      <c r="O238" s="1296"/>
      <c r="P238" s="1293"/>
      <c r="Q238" s="1296"/>
      <c r="R238" s="1294">
        <f t="shared" si="119"/>
        <v>771.74697383938474</v>
      </c>
      <c r="S238" s="1124">
        <f t="shared" si="118"/>
        <v>4630.4818430363084</v>
      </c>
      <c r="T238" s="935"/>
    </row>
    <row r="239" spans="2:20" s="431" customFormat="1" ht="25.5" x14ac:dyDescent="0.25">
      <c r="B239" s="919"/>
      <c r="C239" s="1289" t="s">
        <v>836</v>
      </c>
      <c r="D239" s="900" t="s">
        <v>682</v>
      </c>
      <c r="E239" s="901" t="s">
        <v>683</v>
      </c>
      <c r="F239" s="902" t="s">
        <v>160</v>
      </c>
      <c r="G239" s="900" t="s">
        <v>141</v>
      </c>
      <c r="H239" s="903">
        <f>4400/250</f>
        <v>17.600000000000001</v>
      </c>
      <c r="I239" s="1293"/>
      <c r="J239" s="1293"/>
      <c r="K239" s="1295">
        <f t="shared" si="116"/>
        <v>0</v>
      </c>
      <c r="L239" s="1293"/>
      <c r="M239" s="1293"/>
      <c r="N239" s="1295">
        <f t="shared" si="117"/>
        <v>0</v>
      </c>
      <c r="O239" s="1296"/>
      <c r="P239" s="1293">
        <v>588.62057326732725</v>
      </c>
      <c r="Q239" s="1296"/>
      <c r="R239" s="1291">
        <f t="shared" si="119"/>
        <v>588.62057326732725</v>
      </c>
      <c r="S239" s="1124">
        <f t="shared" si="118"/>
        <v>10359.72208950496</v>
      </c>
      <c r="T239" s="935"/>
    </row>
    <row r="240" spans="2:20" s="431" customFormat="1" ht="25.5" x14ac:dyDescent="0.25">
      <c r="B240" s="919"/>
      <c r="C240" s="1289" t="s">
        <v>836</v>
      </c>
      <c r="D240" s="900" t="s">
        <v>408</v>
      </c>
      <c r="E240" s="901" t="s">
        <v>409</v>
      </c>
      <c r="F240" s="902" t="s">
        <v>160</v>
      </c>
      <c r="G240" s="900" t="s">
        <v>141</v>
      </c>
      <c r="H240" s="903">
        <f>4400/250</f>
        <v>17.600000000000001</v>
      </c>
      <c r="I240" s="1293">
        <v>20.930742923542379</v>
      </c>
      <c r="J240" s="1293">
        <v>40</v>
      </c>
      <c r="K240" s="1295">
        <f t="shared" si="116"/>
        <v>837.22971694169519</v>
      </c>
      <c r="L240" s="1293">
        <v>1</v>
      </c>
      <c r="M240" s="1293">
        <v>13</v>
      </c>
      <c r="N240" s="1295">
        <f t="shared" si="117"/>
        <v>13</v>
      </c>
      <c r="O240" s="1296"/>
      <c r="P240" s="1293"/>
      <c r="Q240" s="1296"/>
      <c r="R240" s="1294">
        <f t="shared" si="119"/>
        <v>850.22971694169519</v>
      </c>
      <c r="S240" s="1124">
        <f t="shared" si="118"/>
        <v>14964.043018173836</v>
      </c>
      <c r="T240" s="935"/>
    </row>
    <row r="241" spans="2:20" s="431" customFormat="1" ht="25.5" x14ac:dyDescent="0.25">
      <c r="B241" s="919"/>
      <c r="C241" s="1289" t="s">
        <v>836</v>
      </c>
      <c r="D241" s="900" t="s">
        <v>480</v>
      </c>
      <c r="E241" s="901" t="s">
        <v>481</v>
      </c>
      <c r="F241" s="902" t="s">
        <v>160</v>
      </c>
      <c r="G241" s="900" t="s">
        <v>345</v>
      </c>
      <c r="H241" s="1101">
        <v>4400</v>
      </c>
      <c r="I241" s="1293"/>
      <c r="J241" s="1293"/>
      <c r="K241" s="1295">
        <f t="shared" si="116"/>
        <v>0</v>
      </c>
      <c r="L241" s="1293"/>
      <c r="M241" s="1293"/>
      <c r="N241" s="1295">
        <f t="shared" si="117"/>
        <v>0</v>
      </c>
      <c r="O241" s="1296"/>
      <c r="P241" s="1293">
        <v>7.8482743102310319</v>
      </c>
      <c r="Q241" s="1296"/>
      <c r="R241" s="1291">
        <f t="shared" si="119"/>
        <v>7.8482743102310319</v>
      </c>
      <c r="S241" s="1124">
        <f t="shared" si="118"/>
        <v>34532.40696501654</v>
      </c>
      <c r="T241" s="935"/>
    </row>
    <row r="242" spans="2:20" s="431" customFormat="1" ht="25.5" x14ac:dyDescent="0.25">
      <c r="B242" s="919"/>
      <c r="C242" s="1289" t="s">
        <v>836</v>
      </c>
      <c r="D242" s="900" t="s">
        <v>494</v>
      </c>
      <c r="E242" s="901" t="s">
        <v>495</v>
      </c>
      <c r="F242" s="902" t="s">
        <v>160</v>
      </c>
      <c r="G242" s="900" t="s">
        <v>141</v>
      </c>
      <c r="H242" s="1101">
        <v>10</v>
      </c>
      <c r="I242" s="1293"/>
      <c r="J242" s="1293"/>
      <c r="K242" s="1295">
        <f t="shared" si="116"/>
        <v>0</v>
      </c>
      <c r="L242" s="1293"/>
      <c r="M242" s="1293"/>
      <c r="N242" s="1295">
        <f t="shared" si="117"/>
        <v>0</v>
      </c>
      <c r="O242" s="1296"/>
      <c r="P242" s="1293">
        <v>196.20685775577579</v>
      </c>
      <c r="Q242" s="1296"/>
      <c r="R242" s="1294">
        <f t="shared" si="119"/>
        <v>196.20685775577579</v>
      </c>
      <c r="S242" s="1124">
        <f t="shared" si="118"/>
        <v>1962.0685775577579</v>
      </c>
      <c r="T242" s="935"/>
    </row>
    <row r="243" spans="2:20" s="431" customFormat="1" ht="25.5" x14ac:dyDescent="0.25">
      <c r="B243" s="919"/>
      <c r="C243" s="1289" t="s">
        <v>836</v>
      </c>
      <c r="D243" s="900" t="s">
        <v>484</v>
      </c>
      <c r="E243" s="901" t="s">
        <v>485</v>
      </c>
      <c r="F243" s="902" t="s">
        <v>160</v>
      </c>
      <c r="G243" s="900" t="s">
        <v>345</v>
      </c>
      <c r="H243" s="1101">
        <v>4400</v>
      </c>
      <c r="I243" s="1293">
        <v>0.22234926899031393</v>
      </c>
      <c r="J243" s="1293">
        <v>41</v>
      </c>
      <c r="K243" s="1295">
        <f t="shared" si="116"/>
        <v>9.1163200286028712</v>
      </c>
      <c r="L243" s="1293">
        <v>1</v>
      </c>
      <c r="M243" s="1293">
        <v>0.04</v>
      </c>
      <c r="N243" s="1295">
        <f t="shared" si="117"/>
        <v>0.04</v>
      </c>
      <c r="O243" s="1296"/>
      <c r="P243" s="1293"/>
      <c r="Q243" s="1296"/>
      <c r="R243" s="1291">
        <f t="shared" si="119"/>
        <v>9.1563200286028703</v>
      </c>
      <c r="S243" s="1124">
        <f t="shared" si="118"/>
        <v>40287.808125852629</v>
      </c>
      <c r="T243" s="935"/>
    </row>
    <row r="244" spans="2:20" s="431" customFormat="1" ht="25.5" x14ac:dyDescent="0.25">
      <c r="B244" s="919"/>
      <c r="C244" s="1289" t="s">
        <v>836</v>
      </c>
      <c r="D244" s="900" t="s">
        <v>498</v>
      </c>
      <c r="E244" s="901" t="s">
        <v>499</v>
      </c>
      <c r="F244" s="902" t="s">
        <v>160</v>
      </c>
      <c r="G244" s="900" t="s">
        <v>141</v>
      </c>
      <c r="H244" s="1101">
        <v>10</v>
      </c>
      <c r="I244" s="1293">
        <v>3.572125725522556</v>
      </c>
      <c r="J244" s="1293">
        <v>40</v>
      </c>
      <c r="K244" s="1295">
        <f t="shared" si="116"/>
        <v>142.88502902090224</v>
      </c>
      <c r="L244" s="1293">
        <v>1</v>
      </c>
      <c r="M244" s="1293">
        <v>1</v>
      </c>
      <c r="N244" s="1295">
        <f t="shared" si="117"/>
        <v>1</v>
      </c>
      <c r="O244" s="1296"/>
      <c r="P244" s="1293"/>
      <c r="Q244" s="1296"/>
      <c r="R244" s="1294">
        <f t="shared" si="119"/>
        <v>143.88502902090224</v>
      </c>
      <c r="S244" s="1124">
        <f t="shared" si="118"/>
        <v>1438.8502902090224</v>
      </c>
      <c r="T244" s="935"/>
    </row>
    <row r="245" spans="2:20" s="431" customFormat="1" ht="25.5" x14ac:dyDescent="0.25">
      <c r="B245" s="919"/>
      <c r="C245" s="1289" t="s">
        <v>837</v>
      </c>
      <c r="D245" s="900" t="s">
        <v>838</v>
      </c>
      <c r="E245" s="1280" t="s">
        <v>839</v>
      </c>
      <c r="F245" s="902" t="s">
        <v>167</v>
      </c>
      <c r="G245" s="900" t="s">
        <v>345</v>
      </c>
      <c r="H245" s="1101">
        <v>0</v>
      </c>
      <c r="I245" s="1293"/>
      <c r="J245" s="1293"/>
      <c r="K245" s="1295">
        <f t="shared" si="116"/>
        <v>0</v>
      </c>
      <c r="L245" s="1293"/>
      <c r="M245" s="1293"/>
      <c r="N245" s="1295">
        <f t="shared" si="117"/>
        <v>0</v>
      </c>
      <c r="O245" s="1296"/>
      <c r="P245" s="1293"/>
      <c r="Q245" s="1296"/>
      <c r="R245" s="1291">
        <f t="shared" si="119"/>
        <v>0</v>
      </c>
      <c r="S245" s="1124">
        <f t="shared" si="118"/>
        <v>0</v>
      </c>
      <c r="T245" s="935"/>
    </row>
    <row r="246" spans="2:20" s="431" customFormat="1" ht="38.25" x14ac:dyDescent="0.25">
      <c r="B246" s="919"/>
      <c r="C246" s="1289" t="s">
        <v>837</v>
      </c>
      <c r="D246" s="900" t="s">
        <v>841</v>
      </c>
      <c r="E246" s="1280" t="s">
        <v>842</v>
      </c>
      <c r="F246" s="902" t="s">
        <v>167</v>
      </c>
      <c r="G246" s="900" t="s">
        <v>345</v>
      </c>
      <c r="H246" s="1101">
        <v>0</v>
      </c>
      <c r="I246" s="1293"/>
      <c r="J246" s="1293"/>
      <c r="K246" s="1295">
        <f t="shared" si="116"/>
        <v>0</v>
      </c>
      <c r="L246" s="1293"/>
      <c r="M246" s="1293"/>
      <c r="N246" s="1295">
        <f t="shared" si="117"/>
        <v>0</v>
      </c>
      <c r="O246" s="1296"/>
      <c r="P246" s="1293"/>
      <c r="Q246" s="1296"/>
      <c r="R246" s="1294">
        <f t="shared" si="119"/>
        <v>0</v>
      </c>
      <c r="S246" s="1124">
        <f t="shared" si="118"/>
        <v>0</v>
      </c>
      <c r="T246" s="935"/>
    </row>
    <row r="247" spans="2:20" s="431" customFormat="1" ht="38.25" x14ac:dyDescent="0.25">
      <c r="B247" s="919"/>
      <c r="C247" s="1289" t="s">
        <v>837</v>
      </c>
      <c r="D247" s="900" t="s">
        <v>843</v>
      </c>
      <c r="E247" s="1280" t="s">
        <v>844</v>
      </c>
      <c r="F247" s="902" t="s">
        <v>167</v>
      </c>
      <c r="G247" s="900" t="s">
        <v>345</v>
      </c>
      <c r="H247" s="1101">
        <v>0</v>
      </c>
      <c r="I247" s="1293"/>
      <c r="J247" s="1293"/>
      <c r="K247" s="1295">
        <f t="shared" si="116"/>
        <v>0</v>
      </c>
      <c r="L247" s="1293"/>
      <c r="M247" s="1293"/>
      <c r="N247" s="1295">
        <f t="shared" si="117"/>
        <v>0</v>
      </c>
      <c r="O247" s="1296"/>
      <c r="P247" s="1293"/>
      <c r="Q247" s="1296"/>
      <c r="R247" s="1291">
        <f t="shared" si="119"/>
        <v>0</v>
      </c>
      <c r="S247" s="1124">
        <f t="shared" si="118"/>
        <v>0</v>
      </c>
      <c r="T247" s="935"/>
    </row>
    <row r="248" spans="2:20" s="431" customFormat="1" ht="38.25" x14ac:dyDescent="0.25">
      <c r="B248" s="919"/>
      <c r="C248" s="1289" t="s">
        <v>837</v>
      </c>
      <c r="D248" s="900" t="s">
        <v>845</v>
      </c>
      <c r="E248" s="1280" t="s">
        <v>2607</v>
      </c>
      <c r="F248" s="902" t="s">
        <v>160</v>
      </c>
      <c r="G248" s="900" t="s">
        <v>345</v>
      </c>
      <c r="H248" s="1419">
        <v>180</v>
      </c>
      <c r="I248" s="1293"/>
      <c r="J248" s="1293"/>
      <c r="K248" s="1295">
        <f t="shared" si="116"/>
        <v>0</v>
      </c>
      <c r="L248" s="1293"/>
      <c r="M248" s="1293"/>
      <c r="N248" s="1295">
        <f t="shared" si="117"/>
        <v>0</v>
      </c>
      <c r="O248" s="1296"/>
      <c r="P248" s="1293">
        <v>327.01142959295964</v>
      </c>
      <c r="Q248" s="1296"/>
      <c r="R248" s="1294">
        <f t="shared" si="119"/>
        <v>327.01142959295964</v>
      </c>
      <c r="S248" s="1124">
        <f t="shared" si="118"/>
        <v>58862.057326732735</v>
      </c>
      <c r="T248" s="935"/>
    </row>
    <row r="249" spans="2:20" s="431" customFormat="1" ht="54" x14ac:dyDescent="0.25">
      <c r="B249" s="919"/>
      <c r="C249" s="1244" t="s">
        <v>837</v>
      </c>
      <c r="D249" s="900" t="s">
        <v>1703</v>
      </c>
      <c r="E249" s="1281" t="s">
        <v>2608</v>
      </c>
      <c r="F249" s="902" t="s">
        <v>160</v>
      </c>
      <c r="G249" s="900" t="s">
        <v>345</v>
      </c>
      <c r="H249" s="1101">
        <v>4400</v>
      </c>
      <c r="I249" s="1293">
        <v>1.2244951741139432</v>
      </c>
      <c r="J249" s="1293">
        <v>40</v>
      </c>
      <c r="K249" s="1295">
        <f t="shared" si="116"/>
        <v>48.979806964557724</v>
      </c>
      <c r="L249" s="1293">
        <v>0.5</v>
      </c>
      <c r="M249" s="1293">
        <v>80</v>
      </c>
      <c r="N249" s="1295">
        <f t="shared" si="117"/>
        <v>40</v>
      </c>
      <c r="O249" s="1296"/>
      <c r="P249" s="1293">
        <v>5</v>
      </c>
      <c r="Q249" s="1296"/>
      <c r="R249" s="1291">
        <f t="shared" si="119"/>
        <v>93.979806964557724</v>
      </c>
      <c r="S249" s="1124">
        <f t="shared" si="118"/>
        <v>413511.150644054</v>
      </c>
      <c r="T249" s="1452" t="s">
        <v>2615</v>
      </c>
    </row>
    <row r="250" spans="2:20" ht="15" customHeight="1" x14ac:dyDescent="0.25">
      <c r="B250" s="1608" t="s">
        <v>100</v>
      </c>
      <c r="C250" s="1608"/>
      <c r="D250" s="1608"/>
      <c r="E250" s="1608"/>
      <c r="F250" s="1609" t="s">
        <v>154</v>
      </c>
      <c r="G250" s="1609"/>
      <c r="H250" s="1609"/>
      <c r="I250" s="1609"/>
      <c r="J250" s="1609"/>
      <c r="K250" s="1609"/>
      <c r="L250" s="1609"/>
      <c r="M250" s="1609"/>
      <c r="N250" s="1609"/>
      <c r="O250" s="1609"/>
      <c r="P250" s="1609"/>
      <c r="Q250" s="1609"/>
      <c r="R250" s="1609"/>
      <c r="S250" s="863">
        <f>SUMIFS(S255:S256,F255:F256,"Mandatory",E255:E256,"=*Supply")</f>
        <v>0</v>
      </c>
      <c r="T250" s="1221"/>
    </row>
    <row r="251" spans="2:20" ht="15" customHeight="1" x14ac:dyDescent="0.25">
      <c r="B251" s="1608"/>
      <c r="C251" s="1608"/>
      <c r="D251" s="1608"/>
      <c r="E251" s="1608"/>
      <c r="F251" s="1609" t="s">
        <v>156</v>
      </c>
      <c r="G251" s="1609"/>
      <c r="H251" s="1609"/>
      <c r="I251" s="1609"/>
      <c r="J251" s="1609"/>
      <c r="K251" s="1609"/>
      <c r="L251" s="1609"/>
      <c r="M251" s="1609"/>
      <c r="N251" s="1609"/>
      <c r="O251" s="1609"/>
      <c r="P251" s="1609"/>
      <c r="Q251" s="1609"/>
      <c r="R251" s="1609"/>
      <c r="S251" s="863">
        <f>SUMIFS(S255:S256,F255:F256,"Optional",E255:E256,"=*Supply")</f>
        <v>0</v>
      </c>
      <c r="T251" s="1221"/>
    </row>
    <row r="252" spans="2:20" ht="15" customHeight="1" x14ac:dyDescent="0.25">
      <c r="B252" s="1599" t="s">
        <v>684</v>
      </c>
      <c r="C252" s="1600"/>
      <c r="D252" s="1600"/>
      <c r="E252" s="1601"/>
      <c r="F252" s="1605" t="s">
        <v>154</v>
      </c>
      <c r="G252" s="1606"/>
      <c r="H252" s="1606"/>
      <c r="I252" s="1606"/>
      <c r="J252" s="1606"/>
      <c r="K252" s="1606"/>
      <c r="L252" s="1606"/>
      <c r="M252" s="1606"/>
      <c r="N252" s="1606"/>
      <c r="O252" s="1606"/>
      <c r="P252" s="1606"/>
      <c r="Q252" s="1606"/>
      <c r="R252" s="1607"/>
      <c r="S252" s="863">
        <f>SUMIFS(S255:S256,F255:F256,"Mandatory",E255:E256,"=*Installation*")</f>
        <v>0</v>
      </c>
      <c r="T252" s="1221"/>
    </row>
    <row r="253" spans="2:20" ht="15" customHeight="1" x14ac:dyDescent="0.25">
      <c r="B253" s="1602"/>
      <c r="C253" s="1603"/>
      <c r="D253" s="1603"/>
      <c r="E253" s="1604"/>
      <c r="F253" s="1605" t="s">
        <v>156</v>
      </c>
      <c r="G253" s="1606"/>
      <c r="H253" s="1606"/>
      <c r="I253" s="1606"/>
      <c r="J253" s="1606"/>
      <c r="K253" s="1606"/>
      <c r="L253" s="1606"/>
      <c r="M253" s="1606"/>
      <c r="N253" s="1606"/>
      <c r="O253" s="1606"/>
      <c r="P253" s="1606"/>
      <c r="Q253" s="1606"/>
      <c r="R253" s="1607"/>
      <c r="S253" s="863">
        <f>SUMIFS(S255:S256,F255:F256,"Optional",E255:E256,"=*Installation*")</f>
        <v>0</v>
      </c>
      <c r="T253" s="1221"/>
    </row>
    <row r="254" spans="2:20" s="431" customFormat="1" ht="18" customHeight="1" x14ac:dyDescent="0.25">
      <c r="B254" s="945"/>
      <c r="C254" s="928"/>
      <c r="D254" s="946" t="s">
        <v>685</v>
      </c>
      <c r="E254" s="928" t="s">
        <v>686</v>
      </c>
      <c r="F254" s="947"/>
      <c r="G254" s="947"/>
      <c r="H254" s="1100"/>
      <c r="I254" s="1100"/>
      <c r="J254" s="1100"/>
      <c r="K254" s="1100"/>
      <c r="L254" s="1100"/>
      <c r="M254" s="1100"/>
      <c r="N254" s="1100"/>
      <c r="O254" s="1100"/>
      <c r="P254" s="1100"/>
      <c r="Q254" s="1100"/>
      <c r="R254" s="947"/>
      <c r="S254" s="1127"/>
      <c r="T254" s="948"/>
    </row>
    <row r="255" spans="2:20" s="431" customFormat="1" ht="22.5" x14ac:dyDescent="0.25">
      <c r="B255" s="919"/>
      <c r="C255" s="1288" t="s">
        <v>191</v>
      </c>
      <c r="D255" s="900" t="s">
        <v>687</v>
      </c>
      <c r="E255" s="901" t="s">
        <v>688</v>
      </c>
      <c r="F255" s="902" t="s">
        <v>167</v>
      </c>
      <c r="G255" s="900" t="s">
        <v>141</v>
      </c>
      <c r="H255" s="1101">
        <v>0</v>
      </c>
      <c r="I255" s="1290"/>
      <c r="J255" s="1290"/>
      <c r="K255" s="1297">
        <f t="shared" ref="K255:K256" si="120">I255*J255</f>
        <v>0</v>
      </c>
      <c r="L255" s="1290"/>
      <c r="M255" s="1290"/>
      <c r="N255" s="1297">
        <f t="shared" ref="N255:N256" si="121">L255*M255</f>
        <v>0</v>
      </c>
      <c r="O255" s="1298"/>
      <c r="P255" s="1290"/>
      <c r="Q255" s="1298"/>
      <c r="R255" s="1291">
        <f>P255+N255+K255</f>
        <v>0</v>
      </c>
      <c r="S255" s="1292">
        <f>IF(F255="na","",H255*R255)</f>
        <v>0</v>
      </c>
      <c r="T255" s="935" t="s">
        <v>849</v>
      </c>
    </row>
    <row r="256" spans="2:20" s="431" customFormat="1" ht="22.5" x14ac:dyDescent="0.25">
      <c r="B256" s="1287"/>
      <c r="C256" s="1244" t="s">
        <v>191</v>
      </c>
      <c r="D256" s="1275" t="s">
        <v>689</v>
      </c>
      <c r="E256" s="1276" t="s">
        <v>690</v>
      </c>
      <c r="F256" s="1277" t="s">
        <v>167</v>
      </c>
      <c r="G256" s="1275" t="s">
        <v>141</v>
      </c>
      <c r="H256" s="1382">
        <v>0</v>
      </c>
      <c r="I256" s="1300"/>
      <c r="J256" s="1300"/>
      <c r="K256" s="1301">
        <f t="shared" si="120"/>
        <v>0</v>
      </c>
      <c r="L256" s="1300"/>
      <c r="M256" s="1300"/>
      <c r="N256" s="1301">
        <f t="shared" si="121"/>
        <v>0</v>
      </c>
      <c r="O256" s="1302"/>
      <c r="P256" s="1300"/>
      <c r="Q256" s="1302"/>
      <c r="R256" s="1303">
        <f t="shared" ref="R256" si="122">P256+N256+K256</f>
        <v>0</v>
      </c>
      <c r="S256" s="1205">
        <f t="shared" ref="S256" si="123">IF(F256="na","",H256*R256)</f>
        <v>0</v>
      </c>
      <c r="T256" s="1279" t="s">
        <v>849</v>
      </c>
    </row>
    <row r="258" spans="18:20" ht="15" customHeight="1" x14ac:dyDescent="0.2">
      <c r="R258" s="1380" t="s">
        <v>154</v>
      </c>
      <c r="S258" s="1437">
        <f>S6+S8+S10+S48+S50+S52+S88+S90+S92+S115+S117+S119+S143+S145+S153+S155+S157+S178+S180+S187+S189+S207+S209+S211+S250+S252</f>
        <v>2875653.9731978155</v>
      </c>
      <c r="T258" s="1439"/>
    </row>
    <row r="259" spans="18:20" ht="15" customHeight="1" x14ac:dyDescent="0.2">
      <c r="R259" s="1380" t="s">
        <v>156</v>
      </c>
      <c r="S259" s="1437">
        <f>S7+S9+S11+S49+S51+S53+S89+S91+S93+S116+S118+S120+S144+S146+S154+S156+S158+S179+S181+S188+S190+S208+S210+S212+S251+S253</f>
        <v>8280</v>
      </c>
    </row>
    <row r="263" spans="18:20" ht="15" customHeight="1" x14ac:dyDescent="0.25">
      <c r="S263" s="1450"/>
    </row>
  </sheetData>
  <autoFilter ref="B4:T256" xr:uid="{A9AF99AF-E8BB-4FC5-AD74-320AFB1B2B1C}">
    <filterColumn colId="7" showButton="0"/>
    <filterColumn colId="8" showButton="0"/>
    <filterColumn colId="10" showButton="0"/>
    <filterColumn colId="11" showButton="0"/>
    <filterColumn colId="12" showButton="0"/>
    <filterColumn colId="14" showButton="0"/>
  </autoFilter>
  <mergeCells count="96">
    <mergeCell ref="B6:E7"/>
    <mergeCell ref="F6:R6"/>
    <mergeCell ref="F7:R7"/>
    <mergeCell ref="B8:E9"/>
    <mergeCell ref="F8:R8"/>
    <mergeCell ref="F9:R9"/>
    <mergeCell ref="B10:E11"/>
    <mergeCell ref="F10:R10"/>
    <mergeCell ref="F11:R11"/>
    <mergeCell ref="B48:E49"/>
    <mergeCell ref="F48:R48"/>
    <mergeCell ref="F49:R49"/>
    <mergeCell ref="B50:E51"/>
    <mergeCell ref="F50:R50"/>
    <mergeCell ref="F51:R51"/>
    <mergeCell ref="B52:E53"/>
    <mergeCell ref="F52:R52"/>
    <mergeCell ref="F53:R53"/>
    <mergeCell ref="B115:E116"/>
    <mergeCell ref="F115:R115"/>
    <mergeCell ref="F116:R116"/>
    <mergeCell ref="B117:E118"/>
    <mergeCell ref="F117:R117"/>
    <mergeCell ref="F118:R118"/>
    <mergeCell ref="B119:E120"/>
    <mergeCell ref="F119:R119"/>
    <mergeCell ref="F120:R120"/>
    <mergeCell ref="B143:E144"/>
    <mergeCell ref="F143:R143"/>
    <mergeCell ref="F144:R144"/>
    <mergeCell ref="B145:E146"/>
    <mergeCell ref="F145:R145"/>
    <mergeCell ref="F146:R146"/>
    <mergeCell ref="B153:E154"/>
    <mergeCell ref="F153:R153"/>
    <mergeCell ref="F154:R154"/>
    <mergeCell ref="B155:E156"/>
    <mergeCell ref="F155:R155"/>
    <mergeCell ref="F156:R156"/>
    <mergeCell ref="B157:E158"/>
    <mergeCell ref="F157:R157"/>
    <mergeCell ref="F158:R158"/>
    <mergeCell ref="F188:R188"/>
    <mergeCell ref="B189:E190"/>
    <mergeCell ref="F189:R189"/>
    <mergeCell ref="F190:R190"/>
    <mergeCell ref="B178:E179"/>
    <mergeCell ref="F178:R178"/>
    <mergeCell ref="F179:R179"/>
    <mergeCell ref="B180:E181"/>
    <mergeCell ref="F180:R180"/>
    <mergeCell ref="F181:R181"/>
    <mergeCell ref="B209:E210"/>
    <mergeCell ref="F209:R209"/>
    <mergeCell ref="F210:R210"/>
    <mergeCell ref="B252:E253"/>
    <mergeCell ref="F252:R252"/>
    <mergeCell ref="F253:R253"/>
    <mergeCell ref="B211:E212"/>
    <mergeCell ref="F211:R211"/>
    <mergeCell ref="F212:R212"/>
    <mergeCell ref="B250:E251"/>
    <mergeCell ref="F250:R250"/>
    <mergeCell ref="F251:R251"/>
    <mergeCell ref="S4:S5"/>
    <mergeCell ref="T4:T5"/>
    <mergeCell ref="F88:R88"/>
    <mergeCell ref="F89:R89"/>
    <mergeCell ref="B207:E208"/>
    <mergeCell ref="F207:R207"/>
    <mergeCell ref="F208:R208"/>
    <mergeCell ref="B4:B5"/>
    <mergeCell ref="C4:C5"/>
    <mergeCell ref="D4:D5"/>
    <mergeCell ref="E4:E5"/>
    <mergeCell ref="F4:F5"/>
    <mergeCell ref="G4:G5"/>
    <mergeCell ref="H4:H5"/>
    <mergeCell ref="B187:E188"/>
    <mergeCell ref="F187:R187"/>
    <mergeCell ref="C108:C110"/>
    <mergeCell ref="I4:K4"/>
    <mergeCell ref="L4:O4"/>
    <mergeCell ref="P4:Q4"/>
    <mergeCell ref="R4:R5"/>
    <mergeCell ref="B90:E91"/>
    <mergeCell ref="F90:R90"/>
    <mergeCell ref="F91:R91"/>
    <mergeCell ref="B92:E93"/>
    <mergeCell ref="F92:R92"/>
    <mergeCell ref="F93:R93"/>
    <mergeCell ref="C55:C57"/>
    <mergeCell ref="C59:C61"/>
    <mergeCell ref="C64:C65"/>
    <mergeCell ref="C69:C71"/>
    <mergeCell ref="B88:E89"/>
  </mergeCells>
  <phoneticPr fontId="99" type="noConversion"/>
  <dataValidations count="2">
    <dataValidation type="list" allowBlank="1" showInputMessage="1" showErrorMessage="1" sqref="F13:F112 F219:G219 F255:F256 F220:F253 F114:F218 G149:G150" xr:uid="{B06B7CA7-18A1-4F3B-B761-0368DEFE5325}">
      <formula1>"Mandatory,Optional,NA"</formula1>
    </dataValidation>
    <dataValidation type="decimal" operator="greaterThanOrEqual" allowBlank="1" showInputMessage="1" showErrorMessage="1" sqref="P13:P30 L13:M30 I13:J30 P32:P34 L32:M34 I32:J34 P36:P45 L36:M45 I36:J45 P47 L47:M47 I47:J47 P55:P62 L55:M62 I55:J62 P64:P65 L64:M65 I64:J65 P67 L67:M67 I67:J67 P69:P74 L69:M74 I69:J74 P76:P77 L76:M77 I76:J77 P79 L79:M79 I79:J79 P81:P82 L81:M82 I81:J82 P84:P85 L84:M85 I84:J85 P87 L87:M87 I87:J87 P95:P99 L95:M99 I95:J99 P101:P106 L101:M106 I101:J106 P108:P112 L108:M112 I108:J112 P114 L114:M114 I114:J114 L149:M152 L122:M131 I122:J131 P133:P134 L133:M134 I133:J134 P136:P137 L136:M137 I136:J137 P139:P140 L139:M140 I139:J140 P142 L142:M142 I142:J142 I149:J152 P149:P152 I196:J197 P161:P172 L161:M172 I161:J172 P174:P175 L174:M175 I174:J175 P177 L177:M177 I177:J177 P183:P186 L183:M186 I183:J186 L193:M194 I193:J194 I255:J256 P199:P206 L199:M206 I199:J206 P215:P219 L215:M219 I215:J219 L221:M231 I221:J231 P221:P231 P233 L233:M233 I233:J233 P235:P249 L235:M249 I235:J249 P255:P256 L255:M256 P193:P194 P196:P197 L196:M197 P122:P131" xr:uid="{72032F1C-2696-4548-8AC5-63253A2AFE3B}">
      <formula1>0</formula1>
    </dataValidation>
  </dataValidations>
  <pageMargins left="0.7" right="0.7" top="0.75" bottom="0.75" header="0.3" footer="0.3"/>
  <pageSetup orientation="portrait" r:id="rId1"/>
  <headerFooter>
    <oddHeader>&amp;C&amp;"Arial"&amp;8&amp;K000000 INTERNAL&amp;1#_x000D_</oddHead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DDCC5-BD01-4DBC-86AB-34180B468A91}">
  <sheetPr>
    <tabColor rgb="FF00B050"/>
  </sheetPr>
  <dimension ref="B2:T20"/>
  <sheetViews>
    <sheetView zoomScale="50" zoomScaleNormal="50" workbookViewId="0">
      <selection activeCell="G29" sqref="G29"/>
    </sheetView>
  </sheetViews>
  <sheetFormatPr defaultColWidth="9.28515625" defaultRowHeight="15" customHeight="1" x14ac:dyDescent="0.25"/>
  <cols>
    <col min="1" max="1" width="4.28515625" style="264" customWidth="1"/>
    <col min="2" max="2" width="15.42578125" style="264" customWidth="1"/>
    <col min="3" max="3" width="73.42578125" style="264" bestFit="1" customWidth="1"/>
    <col min="4" max="4" width="13.7109375" style="259" bestFit="1" customWidth="1"/>
    <col min="5" max="5" width="55.42578125" style="264" customWidth="1"/>
    <col min="6" max="14" width="13.5703125" style="264" customWidth="1"/>
    <col min="15" max="15" width="13.7109375" style="264" bestFit="1" customWidth="1"/>
    <col min="16" max="16" width="18.42578125" style="264" customWidth="1"/>
    <col min="17" max="17" width="45" style="264" bestFit="1" customWidth="1"/>
    <col min="18" max="18" width="13.42578125" style="259" customWidth="1"/>
    <col min="19" max="19" width="14.42578125" style="259" bestFit="1" customWidth="1"/>
    <col min="20" max="20" width="30.28515625" style="284" bestFit="1" customWidth="1"/>
    <col min="21" max="16384" width="9.28515625" style="264"/>
  </cols>
  <sheetData>
    <row r="2" spans="2:20" s="171" customFormat="1" ht="15.75" x14ac:dyDescent="0.2">
      <c r="B2" s="124"/>
      <c r="C2" s="20"/>
      <c r="D2" s="1511" t="s">
        <v>1704</v>
      </c>
      <c r="E2" s="1511"/>
      <c r="F2" s="1511"/>
      <c r="G2" s="1511"/>
      <c r="H2" s="22"/>
      <c r="I2" s="22"/>
      <c r="J2" s="22"/>
      <c r="K2" s="22"/>
      <c r="L2" s="22"/>
      <c r="M2" s="22"/>
      <c r="N2" s="22"/>
      <c r="O2" s="22"/>
      <c r="P2" s="22"/>
      <c r="Q2" s="22"/>
      <c r="R2" s="22"/>
      <c r="S2" s="22"/>
      <c r="T2" s="22"/>
    </row>
    <row r="3" spans="2:20" s="171" customFormat="1" ht="15.75" thickBot="1" x14ac:dyDescent="0.25">
      <c r="B3" s="1047"/>
      <c r="C3" s="1045"/>
      <c r="D3" s="1045"/>
      <c r="E3" s="1046"/>
      <c r="F3" s="1041"/>
      <c r="G3" s="1043"/>
      <c r="H3" s="1043"/>
      <c r="I3" s="1044"/>
      <c r="J3" s="1044"/>
      <c r="K3" s="1044"/>
      <c r="L3" s="1044"/>
      <c r="M3" s="1044"/>
      <c r="N3" s="1044"/>
      <c r="O3" s="1044"/>
      <c r="P3" s="1044"/>
      <c r="Q3" s="1044"/>
      <c r="R3" s="1044"/>
      <c r="S3" s="1044"/>
      <c r="T3" s="1044"/>
    </row>
    <row r="4" spans="2:20" s="172" customFormat="1" ht="54" customHeight="1" x14ac:dyDescent="0.25">
      <c r="B4" s="1540" t="s">
        <v>186</v>
      </c>
      <c r="C4" s="1540" t="s">
        <v>136</v>
      </c>
      <c r="D4" s="1540" t="s">
        <v>137</v>
      </c>
      <c r="E4" s="1540" t="s">
        <v>187</v>
      </c>
      <c r="F4" s="1546" t="s">
        <v>139</v>
      </c>
      <c r="G4" s="1524" t="s">
        <v>140</v>
      </c>
      <c r="H4" s="1524" t="s">
        <v>141</v>
      </c>
      <c r="I4" s="1528" t="s">
        <v>142</v>
      </c>
      <c r="J4" s="1528"/>
      <c r="K4" s="1528"/>
      <c r="L4" s="1528" t="s">
        <v>143</v>
      </c>
      <c r="M4" s="1528"/>
      <c r="N4" s="1528"/>
      <c r="O4" s="1528"/>
      <c r="P4" s="1528" t="s">
        <v>144</v>
      </c>
      <c r="Q4" s="1528"/>
      <c r="R4" s="1524" t="s">
        <v>145</v>
      </c>
      <c r="S4" s="1524" t="s">
        <v>146</v>
      </c>
      <c r="T4" s="1540" t="s">
        <v>147</v>
      </c>
    </row>
    <row r="5" spans="2:20" s="172" customFormat="1" ht="24.75" customHeight="1" x14ac:dyDescent="0.25">
      <c r="B5" s="1541"/>
      <c r="C5" s="1541"/>
      <c r="D5" s="1541"/>
      <c r="E5" s="1541"/>
      <c r="F5" s="1547"/>
      <c r="G5" s="1525"/>
      <c r="H5" s="1525"/>
      <c r="I5" s="983" t="s">
        <v>148</v>
      </c>
      <c r="J5" s="983" t="s">
        <v>149</v>
      </c>
      <c r="K5" s="983" t="s">
        <v>150</v>
      </c>
      <c r="L5" s="983" t="s">
        <v>148</v>
      </c>
      <c r="M5" s="983" t="s">
        <v>149</v>
      </c>
      <c r="N5" s="983" t="s">
        <v>150</v>
      </c>
      <c r="O5" s="983" t="s">
        <v>151</v>
      </c>
      <c r="P5" s="983" t="s">
        <v>150</v>
      </c>
      <c r="Q5" s="983" t="s">
        <v>152</v>
      </c>
      <c r="R5" s="1525"/>
      <c r="S5" s="1525"/>
      <c r="T5" s="1541"/>
    </row>
    <row r="6" spans="2:20" s="173" customFormat="1" ht="30" customHeight="1" collapsed="1" x14ac:dyDescent="0.2">
      <c r="B6" s="1663" t="s">
        <v>1704</v>
      </c>
      <c r="C6" s="1663"/>
      <c r="D6" s="1663"/>
      <c r="E6" s="1663"/>
      <c r="F6" s="1505" t="s">
        <v>154</v>
      </c>
      <c r="G6" s="1505"/>
      <c r="H6" s="1505"/>
      <c r="I6" s="1505"/>
      <c r="J6" s="1505"/>
      <c r="K6" s="1505"/>
      <c r="L6" s="1505"/>
      <c r="M6" s="1505"/>
      <c r="N6" s="1505"/>
      <c r="O6" s="1505"/>
      <c r="P6" s="1505"/>
      <c r="Q6" s="1505"/>
      <c r="R6" s="1505"/>
      <c r="S6" s="908">
        <f>SUMIF(F9:F20,"Mandatory",S9:S20)</f>
        <v>450547.2343887118</v>
      </c>
      <c r="T6" s="864" t="s">
        <v>155</v>
      </c>
    </row>
    <row r="7" spans="2:20" s="173" customFormat="1" ht="21" customHeight="1" x14ac:dyDescent="0.2">
      <c r="B7" s="1664"/>
      <c r="C7" s="1664"/>
      <c r="D7" s="1664"/>
      <c r="E7" s="1664"/>
      <c r="F7" s="1506" t="s">
        <v>156</v>
      </c>
      <c r="G7" s="1507"/>
      <c r="H7" s="1507"/>
      <c r="I7" s="1507"/>
      <c r="J7" s="1507"/>
      <c r="K7" s="1507"/>
      <c r="L7" s="1507"/>
      <c r="M7" s="1507"/>
      <c r="N7" s="1507"/>
      <c r="O7" s="1507"/>
      <c r="P7" s="1507"/>
      <c r="Q7" s="1507"/>
      <c r="R7" s="1508"/>
      <c r="S7" s="863">
        <f>SUMIF(F9:F20,"optional",S9:S20)</f>
        <v>0</v>
      </c>
      <c r="T7" s="962" t="s">
        <v>155</v>
      </c>
    </row>
    <row r="8" spans="2:20" s="275" customFormat="1" ht="24" customHeight="1" x14ac:dyDescent="0.25">
      <c r="B8" s="1661" t="s">
        <v>1705</v>
      </c>
      <c r="C8" s="1662"/>
      <c r="D8" s="1662"/>
      <c r="E8" s="1662"/>
      <c r="F8" s="1030"/>
      <c r="G8" s="1030"/>
      <c r="H8" s="1030"/>
      <c r="I8" s="1030"/>
      <c r="J8" s="1030"/>
      <c r="K8" s="1030"/>
      <c r="L8" s="1030"/>
      <c r="M8" s="1030"/>
      <c r="N8" s="1030"/>
      <c r="O8" s="1030"/>
      <c r="P8" s="1030"/>
      <c r="Q8" s="1030"/>
      <c r="R8" s="1030"/>
      <c r="S8" s="1030"/>
      <c r="T8" s="1031"/>
    </row>
    <row r="9" spans="2:20" s="970" customFormat="1" ht="188.65" customHeight="1" x14ac:dyDescent="0.25">
      <c r="B9" s="984"/>
      <c r="C9" s="1282" t="str">
        <f>CONCATENATE('Reference documents'!B15,":
PPP.PVP PV PARK
PPP.PVP.FPP FIELD PARALLEL
PPP.PVP.FPP.01 DC PARALLEL
PPP.PVP.FPP.03 COMMON EQUIPMENT
PPP.PVP.CBL CABLES
PPP.PVP.CBL.02 POWER LV
PPP.PVP.PVS PV SUPPORT STRUCTURES","
PPP.PVP.PVS.02 STRUCTURES IN ELEVATION
PPP.PVP.PVS.04 MONO-AXIAL TRACKER
PPP.PVP.WRK.04 ELECTRICAL FIELD BOX ACTIVITIES
PPP.PVP.OAT.01 FINISHING
Tracker Installation-Maintenance Manual")</f>
        <v>GRE.EEC.S.21.IT.P.18371.00.127.00 Technical Specification:
PPP.PVP PV PARK
PPP.PVP.FPP FIELD PARALLEL
PPP.PVP.FPP.01 DC PARALLEL
PPP.PVP.FPP.03 COMMON EQUIPMENT
PPP.PVP.CBL CABLES
PPP.PVP.CBL.02 POWER LV
PPP.PVP.PVS PV SUPPORT STRUCTURES
PPP.PVP.PVS.02 STRUCTURES IN ELEVATION
PPP.PVP.PVS.04 MONO-AXIAL TRACKER
PPP.PVP.WRK.04 ELECTRICAL FIELD BOX ACTIVITIES
PPP.PVP.OAT.01 FINISHING
Tracker Installation-Maintenance Manual</v>
      </c>
      <c r="D9" s="986"/>
      <c r="E9" s="1080" t="s">
        <v>1291</v>
      </c>
      <c r="F9" s="987" t="s">
        <v>160</v>
      </c>
      <c r="G9" s="988" t="s">
        <v>1292</v>
      </c>
      <c r="H9" s="989">
        <v>195</v>
      </c>
      <c r="I9" s="990">
        <v>6.5402285918591927</v>
      </c>
      <c r="J9" s="990">
        <v>40</v>
      </c>
      <c r="K9" s="991">
        <f>I9*J9</f>
        <v>261.60914367436771</v>
      </c>
      <c r="L9" s="990"/>
      <c r="M9" s="990"/>
      <c r="N9" s="991">
        <f>L9*M9</f>
        <v>0</v>
      </c>
      <c r="O9" s="992"/>
      <c r="P9" s="990"/>
      <c r="Q9" s="992"/>
      <c r="R9" s="994">
        <f>P9+N9+K9</f>
        <v>261.60914367436771</v>
      </c>
      <c r="S9" s="1034">
        <f>IF(F9="na","",H9*R9)</f>
        <v>51013.783016501708</v>
      </c>
      <c r="T9" s="993"/>
    </row>
    <row r="10" spans="2:20" s="970" customFormat="1" ht="188.65" customHeight="1" x14ac:dyDescent="0.25">
      <c r="B10" s="984"/>
      <c r="C10" s="1283" t="str">
        <f>CONCATENATE('Reference documents'!B14," :
PPP.PVP PV PARK
PPP.PVP.FPP FIELD PARALLEL
PPP.PVP.FPP.01 DC PARALLEL
PPP.PVP.FPP.03 COMMON EQUIPMENT","
PPP.PVP.CBL CABLES
PPP.PVP.CBL.02 POWER LV
PPP.PVP.PVS PV SUPPORT STRUCTURES
PPP.PVP.PVS.02 STRUCTURES IN ELEVATION
Tracker Installation-Maintenance Manual")</f>
        <v>GRE….. :
PPP.PVP PV PARK
PPP.PVP.FPP FIELD PARALLEL
PPP.PVP.FPP.01 DC PARALLEL
PPP.PVP.FPP.03 COMMON EQUIPMENT
PPP.PVP.CBL CABLES
PPP.PVP.CBL.02 POWER LV
PPP.PVP.PVS PV SUPPORT STRUCTURES
PPP.PVP.PVS.02 STRUCTURES IN ELEVATION
Tracker Installation-Maintenance Manual</v>
      </c>
      <c r="D10" s="881"/>
      <c r="E10" s="1131" t="s">
        <v>1706</v>
      </c>
      <c r="F10" s="987" t="s">
        <v>160</v>
      </c>
      <c r="G10" s="880" t="s">
        <v>1292</v>
      </c>
      <c r="H10" s="989">
        <v>21</v>
      </c>
      <c r="I10" s="990">
        <v>7.0214836444714885</v>
      </c>
      <c r="J10" s="990">
        <v>41</v>
      </c>
      <c r="K10" s="991">
        <f>I10*J10</f>
        <v>287.88082942333102</v>
      </c>
      <c r="L10" s="990">
        <v>0.8</v>
      </c>
      <c r="M10" s="990">
        <v>70</v>
      </c>
      <c r="N10" s="991">
        <f>L10*M10</f>
        <v>56</v>
      </c>
      <c r="O10" s="992"/>
      <c r="P10" s="990"/>
      <c r="Q10" s="992"/>
      <c r="R10" s="994">
        <f t="shared" ref="R10:R20" si="0">P10+N10+K10</f>
        <v>343.88082942333102</v>
      </c>
      <c r="S10" s="1034">
        <f>IF(F10="na","",H10*R10)</f>
        <v>7221.4974178899511</v>
      </c>
      <c r="T10" s="993"/>
    </row>
    <row r="11" spans="2:20" s="970" customFormat="1" ht="158.1" customHeight="1" x14ac:dyDescent="0.25">
      <c r="B11" s="963"/>
      <c r="C11" s="1283" t="str">
        <f>CONCATENATE('Reference documents'!B15," :
PPP.PVP PV PARK
PPP.PVP.FPP FIELD PARALLEL
PPP.PVP.FPP.01 DC PARALLEL
PPP.PVP.FPP.03 COMMON EQUIPMENT","
PPP.PVP.CBL CABLES
PPP.PVP.CBL.02 POWER LV
PPP.PVP.PVS PV SUPPORT STRUCTURES
PPP.PVP.PVS.02 STRUCTURES IN ELEVATION
Tracker Installation-Maintenance Manual")</f>
        <v>GRE.EEC.S.21.IT.P.18371.00.127.00 Technical Specification :
PPP.PVP PV PARK
PPP.PVP.FPP FIELD PARALLEL
PPP.PVP.FPP.01 DC PARALLEL
PPP.PVP.FPP.03 COMMON EQUIPMENT
PPP.PVP.CBL CABLES
PPP.PVP.CBL.02 POWER LV
PPP.PVP.PVS PV SUPPORT STRUCTURES
PPP.PVP.PVS.02 STRUCTURES IN ELEVATION
Tracker Installation-Maintenance Manual</v>
      </c>
      <c r="D11" s="881"/>
      <c r="E11" s="1131" t="s">
        <v>1707</v>
      </c>
      <c r="F11" s="987" t="s">
        <v>160</v>
      </c>
      <c r="G11" s="880" t="s">
        <v>1292</v>
      </c>
      <c r="H11" s="965">
        <v>30</v>
      </c>
      <c r="I11" s="966">
        <v>15.041944258253855</v>
      </c>
      <c r="J11" s="966">
        <v>42</v>
      </c>
      <c r="K11" s="967">
        <f t="shared" ref="K11" si="1">I11*J11</f>
        <v>631.76165884666193</v>
      </c>
      <c r="L11" s="966">
        <v>0.8</v>
      </c>
      <c r="M11" s="966">
        <v>70</v>
      </c>
      <c r="N11" s="967">
        <f t="shared" ref="N11" si="2">L11*M11</f>
        <v>56</v>
      </c>
      <c r="O11" s="968"/>
      <c r="P11" s="990"/>
      <c r="Q11" s="968"/>
      <c r="R11" s="994">
        <f t="shared" si="0"/>
        <v>687.76165884666193</v>
      </c>
      <c r="S11" s="1034">
        <f t="shared" ref="S11:S20" si="3">IF(F11="na","",H11*R11)</f>
        <v>20632.849765399857</v>
      </c>
      <c r="T11" s="969"/>
    </row>
    <row r="12" spans="2:20" s="970" customFormat="1" ht="158.1" customHeight="1" x14ac:dyDescent="0.25">
      <c r="B12" s="963"/>
      <c r="C12" s="1283" t="str">
        <f>CONCATENATE('Reference documents'!B16," :
PPP.PVP PV PARK
PPP.PVP.FPP FIELD PARALLEL
PPP.PVP.FPP.01 DC PARALLEL
PPP.PVP.FPP.03 COMMON EQUIPMENT","
PPP.PVP.CBL CABLES
PPP.PVP.CBL.02 POWER LV
PPP.PVP.PVS PV SUPPORT STRUCTURES
PPP.PVP.PVS.02 STRUCTURES IN ELEVATION
Tracker Installation-Maintenance Manual")</f>
        <v>GRE….. :
PPP.PVP PV PARK
PPP.PVP.FPP FIELD PARALLEL
PPP.PVP.FPP.01 DC PARALLEL
PPP.PVP.FPP.03 COMMON EQUIPMENT
PPP.PVP.CBL CABLES
PPP.PVP.CBL.02 POWER LV
PPP.PVP.PVS PV SUPPORT STRUCTURES
PPP.PVP.PVS.02 STRUCTURES IN ELEVATION
Tracker Installation-Maintenance Manual</v>
      </c>
      <c r="D12" s="881"/>
      <c r="E12" s="1131" t="s">
        <v>1708</v>
      </c>
      <c r="F12" s="987" t="s">
        <v>160</v>
      </c>
      <c r="G12" s="880" t="s">
        <v>1292</v>
      </c>
      <c r="H12" s="965">
        <v>144</v>
      </c>
      <c r="I12" s="966">
        <v>22.689360192325424</v>
      </c>
      <c r="J12" s="966">
        <v>43</v>
      </c>
      <c r="K12" s="967">
        <f t="shared" ref="K12" si="4">I12*J12</f>
        <v>975.64248826999324</v>
      </c>
      <c r="L12" s="966">
        <v>0.8</v>
      </c>
      <c r="M12" s="966">
        <v>70</v>
      </c>
      <c r="N12" s="967">
        <f t="shared" ref="N12" si="5">L12*M12</f>
        <v>56</v>
      </c>
      <c r="O12" s="968"/>
      <c r="P12" s="990"/>
      <c r="Q12" s="968"/>
      <c r="R12" s="994">
        <f t="shared" si="0"/>
        <v>1031.6424882699932</v>
      </c>
      <c r="S12" s="1034">
        <f t="shared" ref="S12" si="6">IF(F12="na","",H12*R12)</f>
        <v>148556.51831087904</v>
      </c>
      <c r="T12" s="969"/>
    </row>
    <row r="13" spans="2:20" s="970" customFormat="1" ht="63.75" x14ac:dyDescent="0.25">
      <c r="B13" s="963"/>
      <c r="C13" s="1282" t="str">
        <f>CONCATENATE('Reference documents'!B15," :
PPP.PVP.PVS PV SUPPORT STRUCTURES
PPP.PVP.PVS.04 MONO-AXIAL TRACKER
Tracker Installation-Maintenance Manual")</f>
        <v>GRE.EEC.S.21.IT.P.18371.00.127.00 Technical Specification :
PPP.PVP.PVS PV SUPPORT STRUCTURES
PPP.PVP.PVS.04 MONO-AXIAL TRACKER
Tracker Installation-Maintenance Manual</v>
      </c>
      <c r="D13" s="881"/>
      <c r="E13" s="971" t="s">
        <v>1709</v>
      </c>
      <c r="F13" s="145" t="s">
        <v>160</v>
      </c>
      <c r="G13" s="880" t="s">
        <v>1710</v>
      </c>
      <c r="H13" s="965"/>
      <c r="I13" s="966"/>
      <c r="J13" s="966"/>
      <c r="K13" s="967">
        <f t="shared" ref="K13:K15" si="7">I13*J13</f>
        <v>0</v>
      </c>
      <c r="L13" s="966"/>
      <c r="M13" s="966"/>
      <c r="N13" s="967">
        <f t="shared" ref="N13:N15" si="8">L13*M13</f>
        <v>0</v>
      </c>
      <c r="O13" s="968"/>
      <c r="P13" s="990"/>
      <c r="Q13" s="968"/>
      <c r="R13" s="994">
        <f t="shared" si="0"/>
        <v>0</v>
      </c>
      <c r="S13" s="1034">
        <f t="shared" si="3"/>
        <v>0</v>
      </c>
      <c r="T13" s="969"/>
    </row>
    <row r="14" spans="2:20" s="970" customFormat="1" ht="38.25" x14ac:dyDescent="0.25">
      <c r="B14" s="963"/>
      <c r="C14" s="1282" t="str">
        <f>CONCATENATE('Reference documents'!B15," :
PPP.PVP.PVS.04.005 Monitoring
Tracker Installation-Maintenance Manual")</f>
        <v>GRE.EEC.S.21.IT.P.18371.00.127.00 Technical Specification :
PPP.PVP.PVS.04.005 Monitoring
Tracker Installation-Maintenance Manual</v>
      </c>
      <c r="D14" s="881"/>
      <c r="E14" s="971" t="s">
        <v>1711</v>
      </c>
      <c r="F14" s="145" t="s">
        <v>160</v>
      </c>
      <c r="G14" s="880" t="s">
        <v>141</v>
      </c>
      <c r="H14" s="965"/>
      <c r="I14" s="966"/>
      <c r="J14" s="966"/>
      <c r="K14" s="967">
        <f t="shared" si="7"/>
        <v>0</v>
      </c>
      <c r="L14" s="966"/>
      <c r="M14" s="966"/>
      <c r="N14" s="967">
        <f t="shared" si="8"/>
        <v>0</v>
      </c>
      <c r="O14" s="968"/>
      <c r="P14" s="990"/>
      <c r="Q14" s="968"/>
      <c r="R14" s="994">
        <f t="shared" si="0"/>
        <v>0</v>
      </c>
      <c r="S14" s="1034">
        <f t="shared" si="3"/>
        <v>0</v>
      </c>
      <c r="T14" s="969"/>
    </row>
    <row r="15" spans="2:20" s="970" customFormat="1" ht="124.9" customHeight="1" x14ac:dyDescent="0.25">
      <c r="B15" s="963"/>
      <c r="C15" s="1282" t="str">
        <f>CONCATENATE('Reference documents'!B15," :
PPP.PVP.ASC CONTROL AND DATA ACQUISITION SYSTEM
PPP.PVP.ASC.01 TRACKER CONTROL AND DATA ACQUISITION SYSTEM
T.S. Attachments:
PV SCADA Hierarchical Control Diagram
PV SCADA Network Architecture
PV SCADA System Data Flow")</f>
        <v>GRE.EEC.S.21.IT.P.18371.00.127.00 Technical Specification :
PPP.PVP.ASC CONTROL AND DATA ACQUISITION SYSTEM
PPP.PVP.ASC.01 TRACKER CONTROL AND DATA ACQUISITION SYSTEM
T.S. Attachments:
PV SCADA Hierarchical Control Diagram
PV SCADA Network Architecture
PV SCADA System Data Flow</v>
      </c>
      <c r="D15" s="881"/>
      <c r="E15" s="1027" t="s">
        <v>1712</v>
      </c>
      <c r="F15" s="145" t="s">
        <v>160</v>
      </c>
      <c r="G15" s="880" t="s">
        <v>464</v>
      </c>
      <c r="H15" s="965"/>
      <c r="I15" s="966"/>
      <c r="J15" s="966"/>
      <c r="K15" s="967">
        <f t="shared" si="7"/>
        <v>0</v>
      </c>
      <c r="L15" s="966"/>
      <c r="M15" s="966"/>
      <c r="N15" s="967">
        <f t="shared" si="8"/>
        <v>0</v>
      </c>
      <c r="O15" s="968"/>
      <c r="P15" s="990"/>
      <c r="Q15" s="968"/>
      <c r="R15" s="994">
        <f t="shared" si="0"/>
        <v>0</v>
      </c>
      <c r="S15" s="1034">
        <f t="shared" si="3"/>
        <v>0</v>
      </c>
      <c r="T15" s="969"/>
    </row>
    <row r="16" spans="2:20" s="970" customFormat="1" ht="38.25" x14ac:dyDescent="0.25">
      <c r="B16" s="963"/>
      <c r="C16" s="1282" t="str">
        <f>CONCATENATE('Reference documents'!B15," :
PPP.PVP.PVS PV SUPPORT STRUCTURES
PPP.PVP.PVS.01 FOUNDATION (with all subsections)")</f>
        <v>GRE.EEC.S.21.IT.P.18371.00.127.00 Technical Specification :
PPP.PVP.PVS PV SUPPORT STRUCTURES
PPP.PVP.PVS.01 FOUNDATION (with all subsections)</v>
      </c>
      <c r="D16" s="982"/>
      <c r="E16" s="1132" t="s">
        <v>1713</v>
      </c>
      <c r="F16" s="695" t="s">
        <v>160</v>
      </c>
      <c r="G16" s="880" t="s">
        <v>1450</v>
      </c>
      <c r="H16" s="1430">
        <f>2616*0.7</f>
        <v>1831.1999999999998</v>
      </c>
      <c r="I16" s="966">
        <v>0.47765064541349006</v>
      </c>
      <c r="J16" s="966">
        <v>47</v>
      </c>
      <c r="K16" s="967">
        <f t="shared" ref="K16:K20" si="9">I16*J16</f>
        <v>22.449580334434032</v>
      </c>
      <c r="L16" s="966">
        <v>0.7</v>
      </c>
      <c r="M16" s="966">
        <v>50</v>
      </c>
      <c r="N16" s="967">
        <f t="shared" ref="N16:N20" si="10">L16*M16</f>
        <v>35</v>
      </c>
      <c r="O16" s="968"/>
      <c r="P16" s="990"/>
      <c r="Q16" s="968"/>
      <c r="R16" s="994">
        <f t="shared" si="0"/>
        <v>57.449580334434032</v>
      </c>
      <c r="S16" s="1034">
        <f t="shared" si="3"/>
        <v>105201.67150841559</v>
      </c>
      <c r="T16" s="975"/>
    </row>
    <row r="17" spans="2:20" s="977" customFormat="1" ht="43.15" customHeight="1" x14ac:dyDescent="0.25">
      <c r="B17" s="976"/>
      <c r="C17" s="1282" t="str">
        <f>CONCATENATE('Reference documents'!B15," :
PPP.PVP.PVS PV SUPPORT STRUCTURES
PPP.PVP.PVS.01 FOUNDATION (with all subsections)")</f>
        <v>GRE.EEC.S.21.IT.P.18371.00.127.00 Technical Specification :
PPP.PVP.PVS PV SUPPORT STRUCTURES
PPP.PVP.PVS.01 FOUNDATION (with all subsections)</v>
      </c>
      <c r="D17" s="982"/>
      <c r="E17" s="1132" t="s">
        <v>1714</v>
      </c>
      <c r="F17" s="695" t="s">
        <v>160</v>
      </c>
      <c r="G17" s="880" t="s">
        <v>1450</v>
      </c>
      <c r="H17" s="1430">
        <f>2616*0.2</f>
        <v>523.20000000000005</v>
      </c>
      <c r="I17" s="966">
        <v>0.72902804112259822</v>
      </c>
      <c r="J17" s="966">
        <v>48</v>
      </c>
      <c r="K17" s="967">
        <f t="shared" si="9"/>
        <v>34.993345973884715</v>
      </c>
      <c r="L17" s="966">
        <v>1</v>
      </c>
      <c r="M17" s="966">
        <v>70</v>
      </c>
      <c r="N17" s="967">
        <f t="shared" si="10"/>
        <v>70</v>
      </c>
      <c r="O17" s="968"/>
      <c r="P17" s="990"/>
      <c r="Q17" s="968"/>
      <c r="R17" s="994">
        <f t="shared" si="0"/>
        <v>104.99334597388471</v>
      </c>
      <c r="S17" s="1034">
        <f t="shared" si="3"/>
        <v>54932.518613536486</v>
      </c>
      <c r="T17" s="975"/>
    </row>
    <row r="18" spans="2:20" s="979" customFormat="1" ht="76.5" x14ac:dyDescent="0.25">
      <c r="B18" s="978"/>
      <c r="C18" s="1282" t="str">
        <f>CONCATENATE('Reference documents'!B15," :
PPP.PVP.PVS PV SUPPORT STRUCTURES
PPP.PVP.PVS.01 FOUNDATION (with all subsections)")</f>
        <v>GRE.EEC.S.21.IT.P.18371.00.127.00 Technical Specification :
PPP.PVP.PVS PV SUPPORT STRUCTURES
PPP.PVP.PVS.01 FOUNDATION (with all subsections)</v>
      </c>
      <c r="D18" s="982"/>
      <c r="E18" s="1132" t="s">
        <v>1715</v>
      </c>
      <c r="F18" s="695" t="s">
        <v>160</v>
      </c>
      <c r="G18" s="880" t="s">
        <v>345</v>
      </c>
      <c r="H18" s="1430">
        <f>(2616*0.1)*1.5</f>
        <v>392.40000000000003</v>
      </c>
      <c r="I18" s="966">
        <v>1.1330793107870556</v>
      </c>
      <c r="J18" s="966">
        <v>49</v>
      </c>
      <c r="K18" s="967">
        <f t="shared" si="9"/>
        <v>55.520886228565722</v>
      </c>
      <c r="L18" s="966">
        <v>1</v>
      </c>
      <c r="M18" s="966">
        <v>70</v>
      </c>
      <c r="N18" s="967">
        <f t="shared" si="10"/>
        <v>70</v>
      </c>
      <c r="O18" s="968"/>
      <c r="P18" s="990">
        <v>35</v>
      </c>
      <c r="Q18" s="968"/>
      <c r="R18" s="994">
        <f t="shared" si="0"/>
        <v>160.52088622856573</v>
      </c>
      <c r="S18" s="1034">
        <f t="shared" si="3"/>
        <v>62988.395756089194</v>
      </c>
      <c r="T18" s="975"/>
    </row>
    <row r="19" spans="2:20" s="979" customFormat="1" ht="76.5" x14ac:dyDescent="0.25">
      <c r="B19" s="978"/>
      <c r="C19" s="1282" t="str">
        <f>CONCATENATE('Reference documents'!B15," :
PPP.PVP.PVS PV SUPPORT STRUCTURES
PPP.PVP.PVS.01 FOUNDATION (with all subsections)")</f>
        <v>GRE.EEC.S.21.IT.P.18371.00.127.00 Technical Specification :
PPP.PVP.PVS PV SUPPORT STRUCTURES
PPP.PVP.PVS.01 FOUNDATION (with all subsections)</v>
      </c>
      <c r="D19" s="982"/>
      <c r="E19" s="1132" t="s">
        <v>1716</v>
      </c>
      <c r="F19" s="695" t="s">
        <v>160</v>
      </c>
      <c r="G19" s="880" t="s">
        <v>345</v>
      </c>
      <c r="H19" s="974"/>
      <c r="I19" s="966"/>
      <c r="J19" s="966"/>
      <c r="K19" s="967">
        <f t="shared" si="9"/>
        <v>0</v>
      </c>
      <c r="L19" s="966"/>
      <c r="M19" s="966"/>
      <c r="N19" s="967">
        <f t="shared" si="10"/>
        <v>0</v>
      </c>
      <c r="O19" s="968"/>
      <c r="P19" s="990"/>
      <c r="Q19" s="968"/>
      <c r="R19" s="994">
        <f t="shared" si="0"/>
        <v>0</v>
      </c>
      <c r="S19" s="1034">
        <f t="shared" si="3"/>
        <v>0</v>
      </c>
      <c r="T19" s="975"/>
    </row>
    <row r="20" spans="2:20" s="970" customFormat="1" ht="37.15" customHeight="1" x14ac:dyDescent="0.25">
      <c r="B20" s="963"/>
      <c r="C20" s="981" t="s">
        <v>1717</v>
      </c>
      <c r="D20" s="982"/>
      <c r="E20" s="963" t="s">
        <v>1718</v>
      </c>
      <c r="F20" s="695" t="s">
        <v>160</v>
      </c>
      <c r="G20" s="880" t="s">
        <v>464</v>
      </c>
      <c r="H20" s="974"/>
      <c r="I20" s="966"/>
      <c r="J20" s="966"/>
      <c r="K20" s="967">
        <f t="shared" si="9"/>
        <v>0</v>
      </c>
      <c r="L20" s="966"/>
      <c r="M20" s="966"/>
      <c r="N20" s="967">
        <f t="shared" si="10"/>
        <v>0</v>
      </c>
      <c r="O20" s="968"/>
      <c r="P20" s="990"/>
      <c r="Q20" s="968"/>
      <c r="R20" s="994">
        <f t="shared" si="0"/>
        <v>0</v>
      </c>
      <c r="S20" s="1034">
        <f t="shared" si="3"/>
        <v>0</v>
      </c>
      <c r="T20" s="975"/>
    </row>
  </sheetData>
  <autoFilter ref="B4:Q20" xr:uid="{5F3DDCC5-BD01-4DBC-86AB-34180B468A91}">
    <filterColumn colId="7" showButton="0"/>
    <filterColumn colId="8" showButton="0"/>
    <filterColumn colId="10" showButton="0"/>
    <filterColumn colId="11" showButton="0"/>
    <filterColumn colId="12" showButton="0"/>
    <filterColumn colId="14" showButton="0"/>
  </autoFilter>
  <mergeCells count="18">
    <mergeCell ref="B8:E8"/>
    <mergeCell ref="I4:K4"/>
    <mergeCell ref="P4:Q4"/>
    <mergeCell ref="L4:O4"/>
    <mergeCell ref="D2:G2"/>
    <mergeCell ref="B6:E7"/>
    <mergeCell ref="F7:R7"/>
    <mergeCell ref="F6:R6"/>
    <mergeCell ref="G4:G5"/>
    <mergeCell ref="H4:H5"/>
    <mergeCell ref="R4:R5"/>
    <mergeCell ref="S4:S5"/>
    <mergeCell ref="T4:T5"/>
    <mergeCell ref="B4:B5"/>
    <mergeCell ref="C4:C5"/>
    <mergeCell ref="D4:D5"/>
    <mergeCell ref="E4:E5"/>
    <mergeCell ref="F4:F5"/>
  </mergeCells>
  <dataValidations count="2">
    <dataValidation type="decimal" operator="greaterThanOrEqual" allowBlank="1" showInputMessage="1" showErrorMessage="1" sqref="I9:J20 L9:M20 P9:P20" xr:uid="{49173515-1C45-45B1-9086-4447BB86F8B5}">
      <formula1>0</formula1>
    </dataValidation>
    <dataValidation type="list" allowBlank="1" showInputMessage="1" showErrorMessage="1" sqref="F9:F20" xr:uid="{7730D49E-6B9B-45F2-B93D-C20191617870}">
      <formula1>"Mandatory,Optional,NA"</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E03678-4CE2-4317-8A09-156CF665688E}">
  <sheetPr>
    <tabColor rgb="FF00B050"/>
  </sheetPr>
  <dimension ref="A2:T60"/>
  <sheetViews>
    <sheetView showGridLines="0" topLeftCell="A28" zoomScale="55" zoomScaleNormal="55" workbookViewId="0">
      <selection activeCell="E28" sqref="E28"/>
    </sheetView>
  </sheetViews>
  <sheetFormatPr defaultColWidth="9.28515625" defaultRowHeight="15" outlineLevelRow="1" x14ac:dyDescent="0.2"/>
  <cols>
    <col min="1" max="1" width="8.5703125" style="492" customWidth="1"/>
    <col min="2" max="2" width="17.42578125" style="171" customWidth="1"/>
    <col min="3" max="3" width="58.28515625" style="180" customWidth="1"/>
    <col min="4" max="4" width="18.5703125" style="180" bestFit="1" customWidth="1"/>
    <col min="5" max="5" width="86.42578125" style="457" customWidth="1"/>
    <col min="6" max="6" width="15.7109375" style="180" bestFit="1" customWidth="1"/>
    <col min="7" max="7" width="21" style="180" bestFit="1" customWidth="1"/>
    <col min="8" max="8" width="15.7109375" style="171" bestFit="1" customWidth="1"/>
    <col min="9" max="9" width="25.42578125" style="171" customWidth="1"/>
    <col min="10" max="10" width="17.42578125" style="171" customWidth="1"/>
    <col min="11" max="11" width="12.7109375" style="171" customWidth="1"/>
    <col min="12" max="12" width="16" style="457" customWidth="1"/>
    <col min="13" max="13" width="30.42578125" style="457" customWidth="1"/>
    <col min="14" max="14" width="9.28515625" style="457"/>
    <col min="15" max="15" width="12.28515625" style="457" customWidth="1"/>
    <col min="16" max="16" width="9.28515625" style="457"/>
    <col min="17" max="17" width="18.5703125" style="457" customWidth="1"/>
    <col min="18" max="18" width="14" style="457" bestFit="1" customWidth="1"/>
    <col min="19" max="19" width="15" style="457" bestFit="1" customWidth="1"/>
    <col min="20" max="16384" width="9.28515625" style="457"/>
  </cols>
  <sheetData>
    <row r="2" spans="2:20" ht="15.75" customHeight="1" x14ac:dyDescent="0.2">
      <c r="B2" s="124"/>
      <c r="C2" s="20"/>
      <c r="D2" s="20"/>
      <c r="E2" s="1049" t="s">
        <v>1719</v>
      </c>
      <c r="F2" s="20"/>
      <c r="G2" s="20"/>
      <c r="H2" s="20"/>
      <c r="I2" s="20"/>
      <c r="J2" s="20"/>
      <c r="K2" s="20"/>
      <c r="L2" s="1050"/>
      <c r="M2" s="1050"/>
      <c r="N2" s="1050"/>
    </row>
    <row r="3" spans="2:20" ht="15.75" customHeight="1" outlineLevel="1" x14ac:dyDescent="0.25">
      <c r="B3" s="1679" t="s">
        <v>1720</v>
      </c>
      <c r="C3" s="1677"/>
      <c r="D3" s="1677"/>
      <c r="E3" s="1677"/>
      <c r="F3" s="1677"/>
      <c r="G3" s="1677"/>
      <c r="H3" s="1677"/>
      <c r="I3" s="1677"/>
      <c r="J3" s="1677"/>
      <c r="K3" s="1677"/>
      <c r="L3" s="1677"/>
      <c r="M3" s="1677"/>
      <c r="N3" s="513"/>
    </row>
    <row r="4" spans="2:20" ht="60" outlineLevel="1" x14ac:dyDescent="0.25">
      <c r="B4" s="512" t="s">
        <v>1721</v>
      </c>
      <c r="C4" s="497" t="s">
        <v>1722</v>
      </c>
      <c r="D4" s="497" t="s">
        <v>1723</v>
      </c>
      <c r="E4" s="497" t="s">
        <v>1724</v>
      </c>
      <c r="F4" s="496" t="s">
        <v>1725</v>
      </c>
      <c r="G4" s="496" t="s">
        <v>1726</v>
      </c>
      <c r="H4" s="498" t="s">
        <v>1727</v>
      </c>
      <c r="I4" s="498" t="s">
        <v>1728</v>
      </c>
      <c r="J4" s="497" t="s">
        <v>1729</v>
      </c>
      <c r="K4" s="499" t="s">
        <v>1730</v>
      </c>
      <c r="L4" s="499" t="s">
        <v>1731</v>
      </c>
      <c r="M4" s="499" t="s">
        <v>1732</v>
      </c>
      <c r="N4" s="513"/>
    </row>
    <row r="5" spans="2:20" ht="15.75" customHeight="1" outlineLevel="1" x14ac:dyDescent="0.2">
      <c r="B5" s="514" t="s">
        <v>1733</v>
      </c>
      <c r="C5" s="515"/>
      <c r="D5" s="516"/>
      <c r="E5" s="517"/>
      <c r="F5" s="518"/>
      <c r="G5" s="519"/>
      <c r="H5" s="519"/>
      <c r="I5" s="520"/>
      <c r="J5" s="520"/>
      <c r="K5" s="520"/>
      <c r="L5" s="521"/>
      <c r="M5" s="521"/>
      <c r="N5" s="522"/>
    </row>
    <row r="6" spans="2:20" ht="15.75" customHeight="1" outlineLevel="1" x14ac:dyDescent="0.25">
      <c r="B6" s="1676" t="s">
        <v>1734</v>
      </c>
      <c r="C6" s="1677"/>
      <c r="D6" s="1677"/>
      <c r="E6" s="1677"/>
      <c r="F6" s="1677"/>
      <c r="G6" s="1677"/>
      <c r="H6" s="1677"/>
      <c r="I6" s="1677"/>
      <c r="J6" s="1677"/>
      <c r="K6" s="1677"/>
      <c r="L6" s="1677"/>
      <c r="M6" s="1677"/>
      <c r="N6" s="1678"/>
    </row>
    <row r="7" spans="2:20" ht="15.75" customHeight="1" outlineLevel="1" x14ac:dyDescent="0.25">
      <c r="B7" s="501"/>
      <c r="C7" s="1680" t="s">
        <v>1735</v>
      </c>
      <c r="D7" s="1681"/>
      <c r="E7" s="1681"/>
      <c r="F7" s="1680" t="s">
        <v>1736</v>
      </c>
      <c r="G7" s="1681"/>
      <c r="H7" s="1682"/>
      <c r="I7" s="1680" t="s">
        <v>1737</v>
      </c>
      <c r="J7" s="1681"/>
      <c r="K7" s="1682"/>
      <c r="L7" s="1680" t="s">
        <v>1738</v>
      </c>
      <c r="M7" s="1681"/>
      <c r="N7" s="1683"/>
    </row>
    <row r="8" spans="2:20" ht="15.75" customHeight="1" outlineLevel="1" x14ac:dyDescent="0.25">
      <c r="B8" s="501"/>
      <c r="C8" s="500" t="s">
        <v>1739</v>
      </c>
      <c r="D8" s="500" t="s">
        <v>1740</v>
      </c>
      <c r="E8" s="500" t="s">
        <v>1741</v>
      </c>
      <c r="F8" s="500" t="s">
        <v>1739</v>
      </c>
      <c r="G8" s="500" t="s">
        <v>1740</v>
      </c>
      <c r="H8" s="500" t="s">
        <v>1741</v>
      </c>
      <c r="I8" s="500" t="s">
        <v>1739</v>
      </c>
      <c r="J8" s="500" t="s">
        <v>1740</v>
      </c>
      <c r="K8" s="500" t="s">
        <v>1741</v>
      </c>
      <c r="L8" s="500" t="s">
        <v>1739</v>
      </c>
      <c r="M8" s="500" t="s">
        <v>1740</v>
      </c>
      <c r="N8" s="504" t="s">
        <v>1741</v>
      </c>
    </row>
    <row r="9" spans="2:20" ht="15.75" customHeight="1" outlineLevel="1" x14ac:dyDescent="0.2">
      <c r="B9" s="502" t="s">
        <v>1742</v>
      </c>
      <c r="C9" s="503"/>
      <c r="D9" s="503"/>
      <c r="E9" s="505"/>
      <c r="F9" s="506"/>
      <c r="G9" s="507"/>
      <c r="H9" s="507"/>
      <c r="I9" s="508"/>
      <c r="J9" s="508"/>
      <c r="K9" s="508"/>
      <c r="L9" s="509"/>
      <c r="M9" s="509"/>
      <c r="N9" s="510"/>
    </row>
    <row r="10" spans="2:20" ht="15.75" customHeight="1" outlineLevel="1" x14ac:dyDescent="0.2">
      <c r="B10" s="502" t="s">
        <v>1743</v>
      </c>
      <c r="C10" s="503"/>
      <c r="D10" s="503"/>
      <c r="E10" s="505"/>
      <c r="F10" s="506"/>
      <c r="G10" s="507"/>
      <c r="H10" s="507"/>
      <c r="I10" s="508"/>
      <c r="J10" s="508"/>
      <c r="K10" s="508"/>
      <c r="L10" s="509"/>
      <c r="M10" s="509"/>
      <c r="N10" s="510"/>
    </row>
    <row r="11" spans="2:20" ht="15.75" customHeight="1" outlineLevel="1" x14ac:dyDescent="0.2">
      <c r="B11" s="502" t="s">
        <v>1744</v>
      </c>
      <c r="C11" s="503"/>
      <c r="D11" s="503"/>
      <c r="E11" s="505"/>
      <c r="F11" s="506"/>
      <c r="G11" s="507"/>
      <c r="H11" s="507"/>
      <c r="I11" s="508"/>
      <c r="J11" s="508"/>
      <c r="K11" s="508"/>
      <c r="L11" s="509"/>
      <c r="M11" s="509"/>
      <c r="N11" s="510"/>
    </row>
    <row r="12" spans="2:20" ht="15.75" customHeight="1" outlineLevel="1" x14ac:dyDescent="0.2">
      <c r="B12" s="511" t="s">
        <v>1745</v>
      </c>
      <c r="C12" s="503"/>
      <c r="D12" s="503"/>
      <c r="E12" s="505"/>
      <c r="F12" s="506"/>
      <c r="G12" s="507"/>
      <c r="H12" s="507"/>
      <c r="I12" s="508"/>
      <c r="J12" s="508"/>
      <c r="K12" s="508"/>
      <c r="L12" s="509"/>
      <c r="M12" s="509"/>
      <c r="N12" s="510"/>
    </row>
    <row r="13" spans="2:20" ht="15.75" customHeight="1" outlineLevel="1" x14ac:dyDescent="0.25">
      <c r="B13" s="1051" t="s">
        <v>1338</v>
      </c>
      <c r="C13" s="1052">
        <f>SUM(C9:C12)</f>
        <v>0</v>
      </c>
      <c r="D13" s="1052">
        <f t="shared" ref="D13:M13" si="0">SUM(D9:D12)</f>
        <v>0</v>
      </c>
      <c r="E13" s="1052"/>
      <c r="F13" s="1052">
        <f t="shared" si="0"/>
        <v>0</v>
      </c>
      <c r="G13" s="1052">
        <f t="shared" si="0"/>
        <v>0</v>
      </c>
      <c r="H13" s="1052"/>
      <c r="I13" s="1052">
        <f t="shared" si="0"/>
        <v>0</v>
      </c>
      <c r="J13" s="1052">
        <f t="shared" si="0"/>
        <v>0</v>
      </c>
      <c r="K13" s="1052"/>
      <c r="L13" s="1052">
        <f t="shared" si="0"/>
        <v>0</v>
      </c>
      <c r="M13" s="1052">
        <f t="shared" si="0"/>
        <v>0</v>
      </c>
      <c r="N13" s="1053"/>
    </row>
    <row r="14" spans="2:20" ht="15.75" customHeight="1" thickBot="1" x14ac:dyDescent="0.25">
      <c r="B14" s="121"/>
      <c r="C14" s="26"/>
      <c r="D14" s="26"/>
      <c r="E14" s="493"/>
      <c r="F14" s="30"/>
      <c r="G14" s="29"/>
      <c r="H14" s="29"/>
    </row>
    <row r="15" spans="2:20" s="172" customFormat="1" ht="54" customHeight="1" x14ac:dyDescent="0.25">
      <c r="B15" s="1540" t="s">
        <v>186</v>
      </c>
      <c r="C15" s="1540" t="s">
        <v>136</v>
      </c>
      <c r="D15" s="1540" t="s">
        <v>137</v>
      </c>
      <c r="E15" s="1540" t="s">
        <v>187</v>
      </c>
      <c r="F15" s="1546" t="s">
        <v>139</v>
      </c>
      <c r="G15" s="1524" t="s">
        <v>140</v>
      </c>
      <c r="H15" s="1524" t="s">
        <v>141</v>
      </c>
      <c r="I15" s="1528" t="s">
        <v>142</v>
      </c>
      <c r="J15" s="1528"/>
      <c r="K15" s="1528"/>
      <c r="L15" s="1528" t="s">
        <v>143</v>
      </c>
      <c r="M15" s="1528"/>
      <c r="N15" s="1528"/>
      <c r="O15" s="1528"/>
      <c r="P15" s="1528" t="s">
        <v>144</v>
      </c>
      <c r="Q15" s="1528"/>
      <c r="R15" s="1524" t="s">
        <v>145</v>
      </c>
      <c r="S15" s="1524" t="s">
        <v>146</v>
      </c>
      <c r="T15" s="1540" t="s">
        <v>147</v>
      </c>
    </row>
    <row r="16" spans="2:20" s="172" customFormat="1" ht="24.75" customHeight="1" x14ac:dyDescent="0.25">
      <c r="B16" s="1541"/>
      <c r="C16" s="1541"/>
      <c r="D16" s="1541"/>
      <c r="E16" s="1541"/>
      <c r="F16" s="1547"/>
      <c r="G16" s="1525"/>
      <c r="H16" s="1525"/>
      <c r="I16" s="983" t="s">
        <v>148</v>
      </c>
      <c r="J16" s="983" t="s">
        <v>149</v>
      </c>
      <c r="K16" s="983" t="s">
        <v>150</v>
      </c>
      <c r="L16" s="983" t="s">
        <v>148</v>
      </c>
      <c r="M16" s="983" t="s">
        <v>149</v>
      </c>
      <c r="N16" s="983" t="s">
        <v>150</v>
      </c>
      <c r="O16" s="983" t="s">
        <v>151</v>
      </c>
      <c r="P16" s="983" t="s">
        <v>150</v>
      </c>
      <c r="Q16" s="983" t="s">
        <v>152</v>
      </c>
      <c r="R16" s="1525"/>
      <c r="S16" s="1525"/>
      <c r="T16" s="1541"/>
    </row>
    <row r="17" spans="1:20" s="173" customFormat="1" ht="48.75" customHeight="1" x14ac:dyDescent="0.2">
      <c r="B17" s="1667" t="s">
        <v>1746</v>
      </c>
      <c r="C17" s="1668"/>
      <c r="D17" s="1668"/>
      <c r="E17" s="1669"/>
      <c r="F17" s="1673" t="s">
        <v>154</v>
      </c>
      <c r="G17" s="1674"/>
      <c r="H17" s="1674"/>
      <c r="I17" s="1674"/>
      <c r="J17" s="1674"/>
      <c r="K17" s="1674"/>
      <c r="L17" s="1674"/>
      <c r="M17" s="1674"/>
      <c r="N17" s="1674"/>
      <c r="O17" s="1674"/>
      <c r="P17" s="1674"/>
      <c r="Q17" s="1674"/>
      <c r="R17" s="1675"/>
      <c r="S17" s="908">
        <f>SUMIF(F19:F23,"Mandatory",S19:S23)</f>
        <v>0</v>
      </c>
      <c r="T17" s="864" t="s">
        <v>155</v>
      </c>
    </row>
    <row r="18" spans="1:20" s="173" customFormat="1" ht="48.75" customHeight="1" x14ac:dyDescent="0.2">
      <c r="B18" s="1670"/>
      <c r="C18" s="1671"/>
      <c r="D18" s="1671"/>
      <c r="E18" s="1672"/>
      <c r="F18" s="1673" t="s">
        <v>156</v>
      </c>
      <c r="G18" s="1674"/>
      <c r="H18" s="1674"/>
      <c r="I18" s="1674"/>
      <c r="J18" s="1674"/>
      <c r="K18" s="1674"/>
      <c r="L18" s="1674"/>
      <c r="M18" s="1674"/>
      <c r="N18" s="1674"/>
      <c r="O18" s="1674"/>
      <c r="P18" s="1674"/>
      <c r="Q18" s="1674"/>
      <c r="R18" s="1675"/>
      <c r="S18" s="863">
        <f>SUMIF(F19:F23,"optional",S19:S23)</f>
        <v>0</v>
      </c>
      <c r="T18" s="962" t="s">
        <v>155</v>
      </c>
    </row>
    <row r="19" spans="1:20" s="1002" customFormat="1" ht="48.75" customHeight="1" x14ac:dyDescent="0.2">
      <c r="A19" s="998"/>
      <c r="B19" s="692"/>
      <c r="C19" s="999" t="s">
        <v>1747</v>
      </c>
      <c r="D19" s="995"/>
      <c r="E19" s="1229" t="s">
        <v>1748</v>
      </c>
      <c r="F19" s="987" t="s">
        <v>160</v>
      </c>
      <c r="G19" s="1230" t="s">
        <v>1749</v>
      </c>
      <c r="H19" s="1304">
        <v>1</v>
      </c>
      <c r="I19" s="1290"/>
      <c r="J19" s="1290"/>
      <c r="K19" s="1297">
        <f t="shared" ref="K19:K23" si="1">I19*J19</f>
        <v>0</v>
      </c>
      <c r="L19" s="1290"/>
      <c r="M19" s="1290"/>
      <c r="N19" s="1297">
        <f t="shared" ref="N19:N23" si="2">L19*M19</f>
        <v>0</v>
      </c>
      <c r="O19" s="1298"/>
      <c r="P19" s="1290"/>
      <c r="Q19" s="1298"/>
      <c r="R19" s="1291">
        <f t="shared" ref="R19:R23" si="3">P19+N19+K19</f>
        <v>0</v>
      </c>
      <c r="S19" s="1292">
        <f t="shared" ref="S19:S23" si="4">IF(F19="na","",H19*R19)</f>
        <v>0</v>
      </c>
      <c r="T19" s="1001"/>
    </row>
    <row r="20" spans="1:20" s="1005" customFormat="1" ht="48.75" customHeight="1" x14ac:dyDescent="0.2">
      <c r="A20" s="998"/>
      <c r="B20" s="693"/>
      <c r="C20" s="1003" t="s">
        <v>1750</v>
      </c>
      <c r="D20" s="996" t="s">
        <v>155</v>
      </c>
      <c r="E20" s="1004" t="s">
        <v>1751</v>
      </c>
      <c r="F20" s="145" t="s">
        <v>160</v>
      </c>
      <c r="G20" s="1230" t="s">
        <v>1749</v>
      </c>
      <c r="H20" s="1304">
        <v>1</v>
      </c>
      <c r="I20" s="1290"/>
      <c r="J20" s="1290"/>
      <c r="K20" s="1297">
        <f t="shared" si="1"/>
        <v>0</v>
      </c>
      <c r="L20" s="1290"/>
      <c r="M20" s="1290"/>
      <c r="N20" s="1297">
        <f t="shared" si="2"/>
        <v>0</v>
      </c>
      <c r="O20" s="1298"/>
      <c r="P20" s="1290"/>
      <c r="Q20" s="1298"/>
      <c r="R20" s="1291">
        <f t="shared" si="3"/>
        <v>0</v>
      </c>
      <c r="S20" s="1292">
        <f t="shared" si="4"/>
        <v>0</v>
      </c>
      <c r="T20" s="1001"/>
    </row>
    <row r="21" spans="1:20" s="1010" customFormat="1" ht="48.75" customHeight="1" x14ac:dyDescent="0.2">
      <c r="A21" s="1006"/>
      <c r="B21" s="693"/>
      <c r="C21" s="964"/>
      <c r="D21" s="401"/>
      <c r="E21" s="1000" t="s">
        <v>1752</v>
      </c>
      <c r="F21" s="495" t="s">
        <v>160</v>
      </c>
      <c r="G21" s="988" t="s">
        <v>1753</v>
      </c>
      <c r="H21" s="1305"/>
      <c r="I21" s="1290"/>
      <c r="J21" s="1290"/>
      <c r="K21" s="1297">
        <f t="shared" si="1"/>
        <v>0</v>
      </c>
      <c r="L21" s="1290"/>
      <c r="M21" s="1290"/>
      <c r="N21" s="1297">
        <f t="shared" si="2"/>
        <v>0</v>
      </c>
      <c r="O21" s="1298"/>
      <c r="P21" s="1290"/>
      <c r="Q21" s="1298"/>
      <c r="R21" s="1291">
        <f t="shared" si="3"/>
        <v>0</v>
      </c>
      <c r="S21" s="1292">
        <f t="shared" si="4"/>
        <v>0</v>
      </c>
      <c r="T21" s="1001"/>
    </row>
    <row r="22" spans="1:20" s="1010" customFormat="1" ht="48.75" customHeight="1" x14ac:dyDescent="0.2">
      <c r="A22" s="1006"/>
      <c r="B22" s="693"/>
      <c r="C22" s="964"/>
      <c r="D22" s="401"/>
      <c r="E22" s="1000" t="s">
        <v>1754</v>
      </c>
      <c r="F22" s="495" t="s">
        <v>160</v>
      </c>
      <c r="G22" s="988" t="s">
        <v>1753</v>
      </c>
      <c r="H22" s="1305"/>
      <c r="I22" s="1290"/>
      <c r="J22" s="1290"/>
      <c r="K22" s="1297">
        <f t="shared" si="1"/>
        <v>0</v>
      </c>
      <c r="L22" s="1290"/>
      <c r="M22" s="1290"/>
      <c r="N22" s="1297">
        <f t="shared" si="2"/>
        <v>0</v>
      </c>
      <c r="O22" s="1298"/>
      <c r="P22" s="1290"/>
      <c r="Q22" s="1298"/>
      <c r="R22" s="1291">
        <f t="shared" si="3"/>
        <v>0</v>
      </c>
      <c r="S22" s="1292">
        <f t="shared" si="4"/>
        <v>0</v>
      </c>
      <c r="T22" s="1001"/>
    </row>
    <row r="23" spans="1:20" s="1010" customFormat="1" ht="48.75" customHeight="1" x14ac:dyDescent="0.2">
      <c r="A23" s="1006"/>
      <c r="B23" s="693"/>
      <c r="C23" s="964" t="str">
        <f>'Reference documents'!B16</f>
        <v>GRE…..</v>
      </c>
      <c r="D23" s="401"/>
      <c r="E23" s="1000" t="s">
        <v>1755</v>
      </c>
      <c r="F23" s="495" t="s">
        <v>160</v>
      </c>
      <c r="G23" s="988" t="s">
        <v>1753</v>
      </c>
      <c r="H23" s="1305"/>
      <c r="I23" s="1290"/>
      <c r="J23" s="1290"/>
      <c r="K23" s="1297">
        <f t="shared" si="1"/>
        <v>0</v>
      </c>
      <c r="L23" s="1290"/>
      <c r="M23" s="1290"/>
      <c r="N23" s="1297">
        <f t="shared" si="2"/>
        <v>0</v>
      </c>
      <c r="O23" s="1298"/>
      <c r="P23" s="1290"/>
      <c r="Q23" s="1298"/>
      <c r="R23" s="1291">
        <f t="shared" si="3"/>
        <v>0</v>
      </c>
      <c r="S23" s="1292">
        <f t="shared" si="4"/>
        <v>0</v>
      </c>
      <c r="T23" s="1001"/>
    </row>
    <row r="24" spans="1:20" s="1010" customFormat="1" ht="48.75" customHeight="1" x14ac:dyDescent="0.25">
      <c r="A24" s="1084" t="s">
        <v>1756</v>
      </c>
      <c r="B24" s="963"/>
      <c r="C24" s="964" t="str">
        <f>'Reference documents'!B16</f>
        <v>GRE…..</v>
      </c>
      <c r="D24" s="1062"/>
      <c r="E24" s="973" t="s">
        <v>1757</v>
      </c>
      <c r="F24" s="145" t="s">
        <v>167</v>
      </c>
      <c r="G24" s="1001" t="s">
        <v>1758</v>
      </c>
      <c r="H24" s="1304">
        <v>1</v>
      </c>
      <c r="I24" s="990"/>
      <c r="J24" s="990"/>
      <c r="K24" s="991">
        <f>I24*J24</f>
        <v>0</v>
      </c>
      <c r="L24" s="990"/>
      <c r="M24" s="990"/>
      <c r="N24" s="991">
        <f>L24*M24</f>
        <v>0</v>
      </c>
      <c r="O24" s="992"/>
      <c r="P24" s="990"/>
      <c r="Q24" s="992"/>
      <c r="R24" s="994">
        <f>P24+N24+K24</f>
        <v>0</v>
      </c>
      <c r="S24" s="1035">
        <f>IF(F24="na","",H24*R24)</f>
        <v>0</v>
      </c>
      <c r="T24" s="1001"/>
    </row>
    <row r="25" spans="1:20" s="970" customFormat="1" ht="48.75" customHeight="1" x14ac:dyDescent="0.25">
      <c r="A25" s="1084" t="s">
        <v>1759</v>
      </c>
      <c r="B25" s="963"/>
      <c r="C25" s="1082"/>
      <c r="D25" s="1062"/>
      <c r="E25" s="973" t="s">
        <v>1760</v>
      </c>
      <c r="F25" s="145" t="s">
        <v>160</v>
      </c>
      <c r="G25" s="1001" t="s">
        <v>1758</v>
      </c>
      <c r="H25" s="1304">
        <v>1</v>
      </c>
      <c r="I25" s="990"/>
      <c r="J25" s="990"/>
      <c r="K25" s="991">
        <f>I25*J25</f>
        <v>0</v>
      </c>
      <c r="L25" s="990"/>
      <c r="M25" s="990"/>
      <c r="N25" s="991">
        <f>L25*M25</f>
        <v>0</v>
      </c>
      <c r="O25" s="992"/>
      <c r="P25" s="990"/>
      <c r="Q25" s="992"/>
      <c r="R25" s="994">
        <f>P25+N25+K25</f>
        <v>0</v>
      </c>
      <c r="S25" s="1035">
        <f>IF(F25="na","",H25*R25)</f>
        <v>0</v>
      </c>
      <c r="T25" s="1001"/>
    </row>
    <row r="26" spans="1:20" customFormat="1" ht="48.75" customHeight="1" x14ac:dyDescent="0.25">
      <c r="B26" s="1667" t="s">
        <v>1761</v>
      </c>
      <c r="C26" s="1668"/>
      <c r="D26" s="1668"/>
      <c r="E26" s="1669"/>
      <c r="F26" s="1665" t="s">
        <v>154</v>
      </c>
      <c r="G26" s="1665"/>
      <c r="H26" s="1665"/>
      <c r="I26" s="1665"/>
      <c r="J26" s="1665"/>
      <c r="K26" s="1665"/>
      <c r="L26" s="1665"/>
      <c r="M26" s="1665"/>
      <c r="N26" s="1665"/>
      <c r="O26" s="1665"/>
      <c r="P26" s="1665"/>
      <c r="Q26" s="1665"/>
      <c r="R26" s="1665"/>
      <c r="S26" s="877">
        <f>SUMIF(F28:F28,"Mandatory",S28:S28)</f>
        <v>0</v>
      </c>
      <c r="T26" s="878"/>
    </row>
    <row r="27" spans="1:20" customFormat="1" ht="48.75" customHeight="1" x14ac:dyDescent="0.25">
      <c r="B27" s="1670"/>
      <c r="C27" s="1671"/>
      <c r="D27" s="1671"/>
      <c r="E27" s="1672"/>
      <c r="F27" s="1666" t="s">
        <v>156</v>
      </c>
      <c r="G27" s="1666"/>
      <c r="H27" s="1666"/>
      <c r="I27" s="1666"/>
      <c r="J27" s="1666"/>
      <c r="K27" s="1666"/>
      <c r="L27" s="1666"/>
      <c r="M27" s="1666"/>
      <c r="N27" s="1666"/>
      <c r="O27" s="1666"/>
      <c r="P27" s="1666"/>
      <c r="Q27" s="1666"/>
      <c r="R27" s="1666"/>
      <c r="S27" s="1032">
        <f>SUMIF(F28:F28,"Optional",S28:S28)</f>
        <v>0</v>
      </c>
      <c r="T27" s="1033"/>
    </row>
    <row r="28" spans="1:20" s="1010" customFormat="1" ht="50.25" customHeight="1" x14ac:dyDescent="0.25">
      <c r="A28" s="1006"/>
      <c r="B28" s="1007" t="s">
        <v>1762</v>
      </c>
      <c r="C28" s="964" t="str">
        <f>CONCATENATE("EGP.EEC.Q.37.XX.P.00000.12.003 
",'Reference documents'!B18)</f>
        <v>EGP.EEC.Q.37.XX.P.00000.12.003 
GRE…..</v>
      </c>
      <c r="D28" s="1009"/>
      <c r="E28" s="1004" t="s">
        <v>1763</v>
      </c>
      <c r="F28" s="145" t="s">
        <v>160</v>
      </c>
      <c r="G28" s="988" t="s">
        <v>1749</v>
      </c>
      <c r="H28" s="989"/>
      <c r="I28" s="990"/>
      <c r="J28" s="990"/>
      <c r="K28" s="991">
        <f t="shared" ref="K28:K53" si="5">I28*J28</f>
        <v>0</v>
      </c>
      <c r="L28" s="990"/>
      <c r="M28" s="990"/>
      <c r="N28" s="991">
        <f t="shared" ref="N28:N53" si="6">L28*M28</f>
        <v>0</v>
      </c>
      <c r="O28" s="992"/>
      <c r="P28" s="990"/>
      <c r="Q28" s="992"/>
      <c r="R28" s="994">
        <f t="shared" ref="R28:R53" si="7">P28+N28+K28</f>
        <v>0</v>
      </c>
      <c r="S28" s="994">
        <f t="shared" ref="S28:S46" si="8">H28*R28</f>
        <v>0</v>
      </c>
      <c r="T28" s="1001"/>
    </row>
    <row r="29" spans="1:20" s="1010" customFormat="1" ht="39.75" customHeight="1" x14ac:dyDescent="0.2">
      <c r="A29" s="1006"/>
      <c r="B29" s="693" t="s">
        <v>155</v>
      </c>
      <c r="C29" s="964" t="str">
        <f>CONCATENATE('Reference documents'!B15," :
PPP.PSS.ENG.03 ON-SITE ACTIVITIES")</f>
        <v>GRE.EEC.S.21.IT.P.18371.00.127.00 Technical Specification :
PPP.PSS.ENG.03 ON-SITE ACTIVITIES</v>
      </c>
      <c r="D29" s="406" t="s">
        <v>155</v>
      </c>
      <c r="E29" s="1000" t="s">
        <v>1764</v>
      </c>
      <c r="F29" s="145" t="s">
        <v>160</v>
      </c>
      <c r="G29" s="988" t="s">
        <v>1765</v>
      </c>
      <c r="H29" s="989"/>
      <c r="I29" s="990"/>
      <c r="J29" s="990"/>
      <c r="K29" s="991">
        <f t="shared" si="5"/>
        <v>0</v>
      </c>
      <c r="L29" s="990"/>
      <c r="M29" s="990"/>
      <c r="N29" s="991">
        <f t="shared" si="6"/>
        <v>0</v>
      </c>
      <c r="O29" s="992"/>
      <c r="P29" s="990"/>
      <c r="Q29" s="992"/>
      <c r="R29" s="994">
        <f t="shared" si="7"/>
        <v>0</v>
      </c>
      <c r="S29" s="994">
        <f t="shared" si="8"/>
        <v>0</v>
      </c>
      <c r="T29" s="1001"/>
    </row>
    <row r="30" spans="1:20" customFormat="1" ht="39.75" customHeight="1" x14ac:dyDescent="0.25">
      <c r="B30" s="1667" t="s">
        <v>1766</v>
      </c>
      <c r="C30" s="1668"/>
      <c r="D30" s="1668"/>
      <c r="E30" s="1669"/>
      <c r="F30" s="1665" t="s">
        <v>154</v>
      </c>
      <c r="G30" s="1665"/>
      <c r="H30" s="1665"/>
      <c r="I30" s="1665"/>
      <c r="J30" s="1665"/>
      <c r="K30" s="1665"/>
      <c r="L30" s="1665"/>
      <c r="M30" s="1665"/>
      <c r="N30" s="1665"/>
      <c r="O30" s="1665"/>
      <c r="P30" s="1665"/>
      <c r="Q30" s="1665"/>
      <c r="R30" s="1665"/>
      <c r="S30" s="877">
        <f>SUMIF(F32:F53,"Mandatory",S32:S53)</f>
        <v>0</v>
      </c>
      <c r="T30" s="878"/>
    </row>
    <row r="31" spans="1:20" customFormat="1" ht="39.75" customHeight="1" x14ac:dyDescent="0.25">
      <c r="B31" s="1670"/>
      <c r="C31" s="1671"/>
      <c r="D31" s="1671"/>
      <c r="E31" s="1672"/>
      <c r="F31" s="1666" t="s">
        <v>156</v>
      </c>
      <c r="G31" s="1666"/>
      <c r="H31" s="1666"/>
      <c r="I31" s="1666"/>
      <c r="J31" s="1666"/>
      <c r="K31" s="1666"/>
      <c r="L31" s="1666"/>
      <c r="M31" s="1666"/>
      <c r="N31" s="1666"/>
      <c r="O31" s="1666"/>
      <c r="P31" s="1666"/>
      <c r="Q31" s="1666"/>
      <c r="R31" s="1666"/>
      <c r="S31" s="1032">
        <f>SUMIF(F32:F53,"Optional",S32:S53)</f>
        <v>0</v>
      </c>
      <c r="T31" s="1033"/>
    </row>
    <row r="32" spans="1:20" s="1010" customFormat="1" ht="162" customHeight="1" x14ac:dyDescent="0.2">
      <c r="A32" s="1011"/>
      <c r="B32" s="693" t="s">
        <v>155</v>
      </c>
      <c r="C32" s="964" t="str">
        <f>CONCATENATE('Reference documents'!B15," :
PPP.PVP.PVS PV SUPPORT STRUCTURES
PPP.PVP.PVS.02 STRUCTURES IN ELEVATION
PPP.PVP.PVS.03 PROTECTIVE TREATMENT
PPP.PVP.PVS.04 MONO-AXIAL TRACKER","
PPP.PVP.WRK WORKS
PPP.PVP.WRK.02 PV MODULES ACTIVITY
PPP.PVP.WRK.02.001 PV Modules Installation
PPP.PSS PROCESSES
PPP.PSS.ENG ENGINEERING 
PPP.PSS.ENG.01 GENERAL 
PPP.PSS.ENG.02 SPECIFIC STUDIES ")</f>
        <v xml:space="preserve">GRE.EEC.S.21.IT.P.18371.00.127.00 Technical Specification :
PPP.PVP.PVS PV SUPPORT STRUCTURES
PPP.PVP.PVS.02 STRUCTURES IN ELEVATION
PPP.PVP.PVS.03 PROTECTIVE TREATMENT
PPP.PVP.PVS.04 MONO-AXIAL TRACKER
PPP.PVP.WRK WORKS
PPP.PVP.WRK.02 PV MODULES ACTIVITY
PPP.PVP.WRK.02.001 PV Modules Installation
PPP.PSS PROCESSES
PPP.PSS.ENG ENGINEERING 
PPP.PSS.ENG.01 GENERAL 
PPP.PSS.ENG.02 SPECIFIC STUDIES </v>
      </c>
      <c r="D32" s="401" t="s">
        <v>155</v>
      </c>
      <c r="E32" s="1000" t="s">
        <v>1767</v>
      </c>
      <c r="F32" s="145" t="s">
        <v>160</v>
      </c>
      <c r="G32" s="988" t="s">
        <v>1768</v>
      </c>
      <c r="H32" s="989">
        <f>C9*E9+C10*E10+C11*E11+C12*E12</f>
        <v>0</v>
      </c>
      <c r="I32" s="990"/>
      <c r="J32" s="990"/>
      <c r="K32" s="991">
        <f t="shared" si="5"/>
        <v>0</v>
      </c>
      <c r="L32" s="990"/>
      <c r="M32" s="990"/>
      <c r="N32" s="991">
        <f t="shared" si="6"/>
        <v>0</v>
      </c>
      <c r="O32" s="992"/>
      <c r="P32" s="990"/>
      <c r="Q32" s="992"/>
      <c r="R32" s="994">
        <f t="shared" si="7"/>
        <v>0</v>
      </c>
      <c r="S32" s="994">
        <f t="shared" si="8"/>
        <v>0</v>
      </c>
      <c r="T32" s="1012"/>
    </row>
    <row r="33" spans="1:20" s="1010" customFormat="1" ht="153" x14ac:dyDescent="0.2">
      <c r="A33" s="1006"/>
      <c r="B33" s="693" t="s">
        <v>155</v>
      </c>
      <c r="C33" s="964" t="str">
        <f>CONCATENATE('Reference documents'!B15," :
PPP.PVP.PVS PV SUPPORT STRUCTURES
PPP.PVP.PVS.02 STRUCTURES IN ELEVATION
PPP.PVP.PVS.03 PROTECTIVE TREATMENT
PPP.PVP.PVS.04 MONO-AXIAL TRACKER","
PPP.PVP.WRK WORKS
PPP.PVP.WRK.02 PV MODULES ACTIVITY
PPP.PVP.WRK.02.001 PV Modules Installation
PPP.PSS PROCESSES
PPP.PSS.ENG ENGINEERING 
PPP.PSS.ENG.01 GENERAL 
PPP.PSS.ENG.02 SPECIFIC STUDIES ")</f>
        <v xml:space="preserve">GRE.EEC.S.21.IT.P.18371.00.127.00 Technical Specification :
PPP.PVP.PVS PV SUPPORT STRUCTURES
PPP.PVP.PVS.02 STRUCTURES IN ELEVATION
PPP.PVP.PVS.03 PROTECTIVE TREATMENT
PPP.PVP.PVS.04 MONO-AXIAL TRACKER
PPP.PVP.WRK WORKS
PPP.PVP.WRK.02 PV MODULES ACTIVITY
PPP.PVP.WRK.02.001 PV Modules Installation
PPP.PSS PROCESSES
PPP.PSS.ENG ENGINEERING 
PPP.PSS.ENG.01 GENERAL 
PPP.PSS.ENG.02 SPECIFIC STUDIES </v>
      </c>
      <c r="D33" s="401" t="s">
        <v>155</v>
      </c>
      <c r="E33" s="1013" t="s">
        <v>1769</v>
      </c>
      <c r="F33" s="145" t="s">
        <v>160</v>
      </c>
      <c r="G33" s="988" t="s">
        <v>1768</v>
      </c>
      <c r="H33" s="989">
        <f>F9*H9+F10*H10+F11*H11+F12*H12</f>
        <v>0</v>
      </c>
      <c r="I33" s="990"/>
      <c r="J33" s="990"/>
      <c r="K33" s="991">
        <f t="shared" si="5"/>
        <v>0</v>
      </c>
      <c r="L33" s="990"/>
      <c r="M33" s="990"/>
      <c r="N33" s="991">
        <f t="shared" si="6"/>
        <v>0</v>
      </c>
      <c r="O33" s="992"/>
      <c r="P33" s="990"/>
      <c r="Q33" s="992"/>
      <c r="R33" s="994">
        <f t="shared" si="7"/>
        <v>0</v>
      </c>
      <c r="S33" s="994">
        <f t="shared" si="8"/>
        <v>0</v>
      </c>
      <c r="T33" s="1001"/>
    </row>
    <row r="34" spans="1:20" s="1010" customFormat="1" ht="153" x14ac:dyDescent="0.2">
      <c r="A34" s="1006"/>
      <c r="B34" s="693" t="s">
        <v>155</v>
      </c>
      <c r="C34" s="964" t="str">
        <f>CONCATENATE('Reference documents'!B15," :
PPP.PVP.PVS PV SUPPORT STRUCTURES
PPP.PVP.PVS.02 STRUCTURES IN ELEVATION
PPP.PVP.PVS.03 PROTECTIVE TREATMENT
PPP.PVP.PVS.04 MONO-AXIAL TRACKER","
PPP.PVP.WRK WORKS
PPP.PVP.WRK.02 PV MODULES ACTIVITY
PPP.PVP.WRK.02.001 PV Modules Installation
PPP.PSS PROCESSES
PPP.PSS.ENG ENGINEERING 
PPP.PSS.ENG.01 GENERAL 
PPP.PSS.ENG.02 SPECIFIC STUDIES ")</f>
        <v xml:space="preserve">GRE.EEC.S.21.IT.P.18371.00.127.00 Technical Specification :
PPP.PVP.PVS PV SUPPORT STRUCTURES
PPP.PVP.PVS.02 STRUCTURES IN ELEVATION
PPP.PVP.PVS.03 PROTECTIVE TREATMENT
PPP.PVP.PVS.04 MONO-AXIAL TRACKER
PPP.PVP.WRK WORKS
PPP.PVP.WRK.02 PV MODULES ACTIVITY
PPP.PVP.WRK.02.001 PV Modules Installation
PPP.PSS PROCESSES
PPP.PSS.ENG ENGINEERING 
PPP.PSS.ENG.01 GENERAL 
PPP.PSS.ENG.02 SPECIFIC STUDIES </v>
      </c>
      <c r="D34" s="401" t="s">
        <v>155</v>
      </c>
      <c r="E34" s="1013" t="s">
        <v>1770</v>
      </c>
      <c r="F34" s="145" t="s">
        <v>160</v>
      </c>
      <c r="G34" s="988" t="s">
        <v>1768</v>
      </c>
      <c r="H34" s="989">
        <f>I9*K9+I10*K10+I11*K11+I12*K12</f>
        <v>0</v>
      </c>
      <c r="I34" s="990"/>
      <c r="J34" s="990"/>
      <c r="K34" s="991">
        <f t="shared" si="5"/>
        <v>0</v>
      </c>
      <c r="L34" s="990"/>
      <c r="M34" s="990"/>
      <c r="N34" s="991">
        <f t="shared" si="6"/>
        <v>0</v>
      </c>
      <c r="O34" s="992"/>
      <c r="P34" s="990"/>
      <c r="Q34" s="992"/>
      <c r="R34" s="994">
        <f t="shared" si="7"/>
        <v>0</v>
      </c>
      <c r="S34" s="994">
        <f t="shared" si="8"/>
        <v>0</v>
      </c>
      <c r="T34" s="1001"/>
    </row>
    <row r="35" spans="1:20" s="1010" customFormat="1" ht="153" x14ac:dyDescent="0.2">
      <c r="A35" s="1006"/>
      <c r="B35" s="693" t="s">
        <v>155</v>
      </c>
      <c r="C35" s="964" t="str">
        <f>CONCATENATE('Reference documents'!B15," :
PPP.PVP.PVS PV SUPPORT STRUCTURES
PPP.PVP.PVS.02 STRUCTURES IN ELEVATION
PPP.PVP.PVS.03 PROTECTIVE TREATMENT
PPP.PVP.PVS.04 MONO-AXIAL TRACKER","
PPP.PVP.WRK WORKS
PPP.PVP.WRK.02 PV MODULES ACTIVITY
PPP.PVP.WRK.02.001 PV Modules Installation
PPP.PSS PROCESSES
PPP.PSS.ENG ENGINEERING 
PPP.PSS.ENG.01 GENERAL 
PPP.PSS.ENG.02 SPECIFIC STUDIES ")</f>
        <v xml:space="preserve">GRE.EEC.S.21.IT.P.18371.00.127.00 Technical Specification :
PPP.PVP.PVS PV SUPPORT STRUCTURES
PPP.PVP.PVS.02 STRUCTURES IN ELEVATION
PPP.PVP.PVS.03 PROTECTIVE TREATMENT
PPP.PVP.PVS.04 MONO-AXIAL TRACKER
PPP.PVP.WRK WORKS
PPP.PVP.WRK.02 PV MODULES ACTIVITY
PPP.PVP.WRK.02.001 PV Modules Installation
PPP.PSS PROCESSES
PPP.PSS.ENG ENGINEERING 
PPP.PSS.ENG.01 GENERAL 
PPP.PSS.ENG.02 SPECIFIC STUDIES </v>
      </c>
      <c r="D35" s="401" t="s">
        <v>155</v>
      </c>
      <c r="E35" s="1013" t="s">
        <v>1771</v>
      </c>
      <c r="F35" s="145" t="s">
        <v>160</v>
      </c>
      <c r="G35" s="988" t="s">
        <v>1768</v>
      </c>
      <c r="H35" s="989">
        <f>L9*N9+L10*N10+L11*N11+L12*N12</f>
        <v>0</v>
      </c>
      <c r="I35" s="990"/>
      <c r="J35" s="990"/>
      <c r="K35" s="991">
        <f t="shared" si="5"/>
        <v>0</v>
      </c>
      <c r="L35" s="990"/>
      <c r="M35" s="990"/>
      <c r="N35" s="991">
        <f t="shared" si="6"/>
        <v>0</v>
      </c>
      <c r="O35" s="992"/>
      <c r="P35" s="990"/>
      <c r="Q35" s="992"/>
      <c r="R35" s="994">
        <f t="shared" si="7"/>
        <v>0</v>
      </c>
      <c r="S35" s="994">
        <f t="shared" si="8"/>
        <v>0</v>
      </c>
      <c r="T35" s="1001"/>
    </row>
    <row r="36" spans="1:20" s="1010" customFormat="1" ht="96.75" customHeight="1" x14ac:dyDescent="0.2">
      <c r="A36" s="1006"/>
      <c r="B36" s="692" t="s">
        <v>155</v>
      </c>
      <c r="C36" s="964" t="str">
        <f>CONCATENATE('Reference documents'!B15," :
PPP.PVP.PVS.04 MONO-AXIAL TRACKER
PPP.PVP.ASC CONTROL AND DATA ACQUISITION SYSTEM
PPP.PVP.ASC.01 TRACKER CONTROL AND DATA ACQUISITION SYSTEM
PPP.PVP.CBL.02 POWER LV
PPP.PVP.DIN DEFINITIVE INFRASTRUCTURES
PPP.PVP.DIN.07 EARTHING SYSTEM")</f>
        <v>GRE.EEC.S.21.IT.P.18371.00.127.00 Technical Specification :
PPP.PVP.PVS.04 MONO-AXIAL TRACKER
PPP.PVP.ASC CONTROL AND DATA ACQUISITION SYSTEM
PPP.PVP.ASC.01 TRACKER CONTROL AND DATA ACQUISITION SYSTEM
PPP.PVP.CBL.02 POWER LV
PPP.PVP.DIN DEFINITIVE INFRASTRUCTURES
PPP.PVP.DIN.07 EARTHING SYSTEM</v>
      </c>
      <c r="D36" s="401" t="s">
        <v>155</v>
      </c>
      <c r="E36" s="1014" t="s">
        <v>1772</v>
      </c>
      <c r="F36" s="145" t="s">
        <v>160</v>
      </c>
      <c r="G36" s="988" t="s">
        <v>1773</v>
      </c>
      <c r="H36" s="989"/>
      <c r="I36" s="990"/>
      <c r="J36" s="990"/>
      <c r="K36" s="991">
        <f t="shared" si="5"/>
        <v>0</v>
      </c>
      <c r="L36" s="990"/>
      <c r="M36" s="990"/>
      <c r="N36" s="991">
        <f t="shared" si="6"/>
        <v>0</v>
      </c>
      <c r="O36" s="992"/>
      <c r="P36" s="990"/>
      <c r="Q36" s="992"/>
      <c r="R36" s="994">
        <f t="shared" si="7"/>
        <v>0</v>
      </c>
      <c r="S36" s="994">
        <f t="shared" si="8"/>
        <v>0</v>
      </c>
      <c r="T36" s="1001"/>
    </row>
    <row r="37" spans="1:20" s="1010" customFormat="1" ht="51" customHeight="1" x14ac:dyDescent="0.2">
      <c r="A37" s="1006"/>
      <c r="B37" s="693" t="s">
        <v>155</v>
      </c>
      <c r="C37" s="964" t="str">
        <f>CONCATENATE('Reference documents'!B15," 
PPP.PVP.PVS.04 MONO-AXIAL TRACKER")</f>
        <v>GRE.EEC.S.21.IT.P.18371.00.127.00 Technical Specification 
PPP.PVP.PVS.04 MONO-AXIAL TRACKER</v>
      </c>
      <c r="D37" s="401" t="s">
        <v>155</v>
      </c>
      <c r="E37" s="1000" t="s">
        <v>1774</v>
      </c>
      <c r="F37" s="145" t="s">
        <v>160</v>
      </c>
      <c r="G37" s="988" t="s">
        <v>1749</v>
      </c>
      <c r="H37" s="989"/>
      <c r="I37" s="990"/>
      <c r="J37" s="990"/>
      <c r="K37" s="991">
        <f t="shared" si="5"/>
        <v>0</v>
      </c>
      <c r="L37" s="990"/>
      <c r="M37" s="990"/>
      <c r="N37" s="991">
        <f t="shared" si="6"/>
        <v>0</v>
      </c>
      <c r="O37" s="992"/>
      <c r="P37" s="990"/>
      <c r="Q37" s="992"/>
      <c r="R37" s="994">
        <f t="shared" si="7"/>
        <v>0</v>
      </c>
      <c r="S37" s="994">
        <f t="shared" si="8"/>
        <v>0</v>
      </c>
      <c r="T37" s="1001"/>
    </row>
    <row r="38" spans="1:20" s="1010" customFormat="1" ht="47.25" customHeight="1" x14ac:dyDescent="0.2">
      <c r="A38" s="1006"/>
      <c r="B38" s="693" t="s">
        <v>155</v>
      </c>
      <c r="C38" s="964" t="str">
        <f>CONCATENATE('Reference documents'!B15," 
PPP.PVP.PVS.04 MONO-AXIAL TRACKER")</f>
        <v>GRE.EEC.S.21.IT.P.18371.00.127.00 Technical Specification 
PPP.PVP.PVS.04 MONO-AXIAL TRACKER</v>
      </c>
      <c r="D38" s="401" t="s">
        <v>155</v>
      </c>
      <c r="E38" s="1000" t="s">
        <v>1775</v>
      </c>
      <c r="F38" s="145" t="s">
        <v>160</v>
      </c>
      <c r="G38" s="988" t="s">
        <v>1776</v>
      </c>
      <c r="H38" s="989"/>
      <c r="I38" s="990"/>
      <c r="J38" s="990"/>
      <c r="K38" s="991">
        <f t="shared" si="5"/>
        <v>0</v>
      </c>
      <c r="L38" s="990"/>
      <c r="M38" s="990"/>
      <c r="N38" s="991">
        <f t="shared" si="6"/>
        <v>0</v>
      </c>
      <c r="O38" s="992"/>
      <c r="P38" s="990"/>
      <c r="Q38" s="992"/>
      <c r="R38" s="994">
        <f t="shared" si="7"/>
        <v>0</v>
      </c>
      <c r="S38" s="994">
        <f t="shared" si="8"/>
        <v>0</v>
      </c>
      <c r="T38" s="1001"/>
    </row>
    <row r="39" spans="1:20" s="1010" customFormat="1" ht="49.5" customHeight="1" x14ac:dyDescent="0.2">
      <c r="A39" s="1011"/>
      <c r="B39" s="693" t="s">
        <v>155</v>
      </c>
      <c r="C39" s="964" t="str">
        <f>CONCATENATE('Reference documents'!B15," 
PPP.PVP.PVS.04 MONO-AXIAL TRACKER")</f>
        <v>GRE.EEC.S.21.IT.P.18371.00.127.00 Technical Specification 
PPP.PVP.PVS.04 MONO-AXIAL TRACKER</v>
      </c>
      <c r="D39" s="401" t="s">
        <v>155</v>
      </c>
      <c r="E39" s="1000" t="s">
        <v>1777</v>
      </c>
      <c r="F39" s="145" t="s">
        <v>160</v>
      </c>
      <c r="G39" s="988" t="s">
        <v>1749</v>
      </c>
      <c r="H39" s="989"/>
      <c r="I39" s="990"/>
      <c r="J39" s="990"/>
      <c r="K39" s="991">
        <f t="shared" si="5"/>
        <v>0</v>
      </c>
      <c r="L39" s="990"/>
      <c r="M39" s="990"/>
      <c r="N39" s="991">
        <f t="shared" si="6"/>
        <v>0</v>
      </c>
      <c r="O39" s="992"/>
      <c r="P39" s="990"/>
      <c r="Q39" s="992"/>
      <c r="R39" s="994">
        <f t="shared" si="7"/>
        <v>0</v>
      </c>
      <c r="S39" s="994">
        <f t="shared" si="8"/>
        <v>0</v>
      </c>
      <c r="T39" s="1001"/>
    </row>
    <row r="40" spans="1:20" s="1016" customFormat="1" ht="54" customHeight="1" x14ac:dyDescent="0.2">
      <c r="A40" s="1006"/>
      <c r="B40" s="693" t="s">
        <v>155</v>
      </c>
      <c r="C40" s="964" t="str">
        <f>CONCATENATE('Reference documents'!B15," .
PPP.PVP.CBL.02 POWER LV")</f>
        <v>GRE.EEC.S.21.IT.P.18371.00.127.00 Technical Specification .
PPP.PVP.CBL.02 POWER LV</v>
      </c>
      <c r="D40" s="401" t="s">
        <v>155</v>
      </c>
      <c r="E40" s="1015" t="s">
        <v>1778</v>
      </c>
      <c r="F40" s="145" t="s">
        <v>160</v>
      </c>
      <c r="G40" s="988" t="s">
        <v>1776</v>
      </c>
      <c r="H40" s="989"/>
      <c r="I40" s="990"/>
      <c r="J40" s="990"/>
      <c r="K40" s="991">
        <f t="shared" si="5"/>
        <v>0</v>
      </c>
      <c r="L40" s="990"/>
      <c r="M40" s="990"/>
      <c r="N40" s="991">
        <f t="shared" si="6"/>
        <v>0</v>
      </c>
      <c r="O40" s="992"/>
      <c r="P40" s="990"/>
      <c r="Q40" s="992"/>
      <c r="R40" s="994">
        <f t="shared" si="7"/>
        <v>0</v>
      </c>
      <c r="S40" s="994">
        <f t="shared" si="8"/>
        <v>0</v>
      </c>
      <c r="T40" s="1001"/>
    </row>
    <row r="41" spans="1:20" s="1010" customFormat="1" ht="65.650000000000006" customHeight="1" x14ac:dyDescent="0.2">
      <c r="A41" s="1011"/>
      <c r="B41" s="693" t="s">
        <v>155</v>
      </c>
      <c r="C41" s="1332" t="str">
        <f>CONCATENATE('Reference documents'!B15," :
PPP.PVP.PVS.04.005 Monitoring")</f>
        <v>GRE.EEC.S.21.IT.P.18371.00.127.00 Technical Specification :
PPP.PVP.PVS.04.005 Monitoring</v>
      </c>
      <c r="D41" s="401" t="s">
        <v>155</v>
      </c>
      <c r="E41" s="1000" t="s">
        <v>1779</v>
      </c>
      <c r="F41" s="145" t="s">
        <v>160</v>
      </c>
      <c r="G41" s="988" t="s">
        <v>1765</v>
      </c>
      <c r="H41" s="989"/>
      <c r="I41" s="990"/>
      <c r="J41" s="990"/>
      <c r="K41" s="991">
        <f t="shared" si="5"/>
        <v>0</v>
      </c>
      <c r="L41" s="990"/>
      <c r="M41" s="990"/>
      <c r="N41" s="991">
        <f t="shared" si="6"/>
        <v>0</v>
      </c>
      <c r="O41" s="992"/>
      <c r="P41" s="990"/>
      <c r="Q41" s="992"/>
      <c r="R41" s="994">
        <f t="shared" si="7"/>
        <v>0</v>
      </c>
      <c r="S41" s="994">
        <f t="shared" si="8"/>
        <v>0</v>
      </c>
      <c r="T41" s="1001"/>
    </row>
    <row r="42" spans="1:20" s="1016" customFormat="1" ht="51" x14ac:dyDescent="0.2">
      <c r="A42" s="1011"/>
      <c r="B42" s="693" t="s">
        <v>155</v>
      </c>
      <c r="C42" s="964" t="str">
        <f>CONCATENATE('Reference documents'!B15," :
PPP.PVP.ASC CONTROL AND DATA ACQUISITION SYSTEM
PPP.PVP.ASC.01 TRACKER CONTROL AND DATA ACQUISITION SYSTEM")</f>
        <v>GRE.EEC.S.21.IT.P.18371.00.127.00 Technical Specification :
PPP.PVP.ASC CONTROL AND DATA ACQUISITION SYSTEM
PPP.PVP.ASC.01 TRACKER CONTROL AND DATA ACQUISITION SYSTEM</v>
      </c>
      <c r="D42" s="401" t="s">
        <v>155</v>
      </c>
      <c r="E42" s="1000" t="s">
        <v>1780</v>
      </c>
      <c r="F42" s="145" t="s">
        <v>167</v>
      </c>
      <c r="G42" s="988" t="s">
        <v>1749</v>
      </c>
      <c r="H42" s="989"/>
      <c r="I42" s="990"/>
      <c r="J42" s="990"/>
      <c r="K42" s="991">
        <f t="shared" si="5"/>
        <v>0</v>
      </c>
      <c r="L42" s="990"/>
      <c r="M42" s="990"/>
      <c r="N42" s="991">
        <f t="shared" si="6"/>
        <v>0</v>
      </c>
      <c r="O42" s="992"/>
      <c r="P42" s="990"/>
      <c r="Q42" s="992"/>
      <c r="R42" s="994">
        <f t="shared" si="7"/>
        <v>0</v>
      </c>
      <c r="S42" s="994">
        <f t="shared" si="8"/>
        <v>0</v>
      </c>
      <c r="T42" s="1001"/>
    </row>
    <row r="43" spans="1:20" s="1010" customFormat="1" ht="45" customHeight="1" x14ac:dyDescent="0.2">
      <c r="A43" s="1006"/>
      <c r="B43" s="694" t="s">
        <v>155</v>
      </c>
      <c r="C43" s="1018" t="str">
        <f>CONCATENATE('Reference documents'!B15," :
PPP.PVP.WRK.02 PV MODULES ACTIVITY
PPP.PVP.WRK.02.001 PV Modules Installation")</f>
        <v>GRE.EEC.S.21.IT.P.18371.00.127.00 Technical Specification :
PPP.PVP.WRK.02 PV MODULES ACTIVITY
PPP.PVP.WRK.02.001 PV Modules Installation</v>
      </c>
      <c r="D43" s="401" t="s">
        <v>155</v>
      </c>
      <c r="E43" s="1000" t="s">
        <v>1781</v>
      </c>
      <c r="F43" s="145" t="s">
        <v>160</v>
      </c>
      <c r="G43" s="988" t="s">
        <v>1782</v>
      </c>
      <c r="H43" s="989"/>
      <c r="I43" s="990"/>
      <c r="J43" s="990"/>
      <c r="K43" s="991">
        <f t="shared" si="5"/>
        <v>0</v>
      </c>
      <c r="L43" s="990"/>
      <c r="M43" s="990"/>
      <c r="N43" s="991">
        <f t="shared" si="6"/>
        <v>0</v>
      </c>
      <c r="O43" s="992"/>
      <c r="P43" s="990"/>
      <c r="Q43" s="992"/>
      <c r="R43" s="994">
        <f t="shared" si="7"/>
        <v>0</v>
      </c>
      <c r="S43" s="994">
        <f t="shared" si="8"/>
        <v>0</v>
      </c>
      <c r="T43" s="1001"/>
    </row>
    <row r="44" spans="1:20" s="1010" customFormat="1" ht="43.5" customHeight="1" x14ac:dyDescent="0.2">
      <c r="A44" s="1006"/>
      <c r="B44" s="694" t="s">
        <v>155</v>
      </c>
      <c r="C44" s="1018" t="str">
        <f>CONCATENATE('Reference documents'!B15," :
PPP.PVP.WRK.02 PV MODULES ACTIVITY
PPP.PVP.WRK.02.001 PV Modules Installation")</f>
        <v>GRE.EEC.S.21.IT.P.18371.00.127.00 Technical Specification :
PPP.PVP.WRK.02 PV MODULES ACTIVITY
PPP.PVP.WRK.02.001 PV Modules Installation</v>
      </c>
      <c r="D44" s="401" t="s">
        <v>155</v>
      </c>
      <c r="E44" s="1000" t="s">
        <v>1783</v>
      </c>
      <c r="F44" s="495" t="s">
        <v>160</v>
      </c>
      <c r="G44" s="988" t="s">
        <v>1782</v>
      </c>
      <c r="H44" s="989"/>
      <c r="I44" s="990"/>
      <c r="J44" s="990"/>
      <c r="K44" s="991">
        <f t="shared" si="5"/>
        <v>0</v>
      </c>
      <c r="L44" s="990"/>
      <c r="M44" s="990"/>
      <c r="N44" s="991">
        <f t="shared" si="6"/>
        <v>0</v>
      </c>
      <c r="O44" s="992"/>
      <c r="P44" s="990"/>
      <c r="Q44" s="992"/>
      <c r="R44" s="994">
        <f t="shared" si="7"/>
        <v>0</v>
      </c>
      <c r="S44" s="994">
        <f t="shared" si="8"/>
        <v>0</v>
      </c>
      <c r="T44" s="1001"/>
    </row>
    <row r="45" spans="1:20" s="1010" customFormat="1" ht="41.25" customHeight="1" x14ac:dyDescent="0.2">
      <c r="A45" s="1006"/>
      <c r="B45" s="694" t="s">
        <v>155</v>
      </c>
      <c r="C45" s="1018" t="str">
        <f>CONCATENATE('Reference documents'!B15," :
PPP.PVP.WRK.02 PV MODULES ACTIVITY
PPP.PVP.WRK.02.001 PV Modules Installation")</f>
        <v>GRE.EEC.S.21.IT.P.18371.00.127.00 Technical Specification :
PPP.PVP.WRK.02 PV MODULES ACTIVITY
PPP.PVP.WRK.02.001 PV Modules Installation</v>
      </c>
      <c r="D45" s="401" t="s">
        <v>155</v>
      </c>
      <c r="E45" s="1000" t="s">
        <v>1784</v>
      </c>
      <c r="F45" s="495" t="s">
        <v>160</v>
      </c>
      <c r="G45" s="988" t="s">
        <v>1782</v>
      </c>
      <c r="H45" s="989"/>
      <c r="I45" s="990"/>
      <c r="J45" s="990"/>
      <c r="K45" s="991">
        <f t="shared" si="5"/>
        <v>0</v>
      </c>
      <c r="L45" s="990"/>
      <c r="M45" s="990"/>
      <c r="N45" s="991">
        <f t="shared" si="6"/>
        <v>0</v>
      </c>
      <c r="O45" s="992"/>
      <c r="P45" s="990"/>
      <c r="Q45" s="992"/>
      <c r="R45" s="994">
        <f t="shared" si="7"/>
        <v>0</v>
      </c>
      <c r="S45" s="994">
        <f t="shared" si="8"/>
        <v>0</v>
      </c>
      <c r="T45" s="1001"/>
    </row>
    <row r="46" spans="1:20" s="1016" customFormat="1" ht="51" customHeight="1" x14ac:dyDescent="0.2">
      <c r="A46" s="1006"/>
      <c r="B46" s="694" t="s">
        <v>155</v>
      </c>
      <c r="C46" s="1018" t="str">
        <f>CONCATENATE('Reference documents'!B15," :
PPP.PVP.WRK.02 PV MODULES ACTIVITY
PPP.PVP.WRK.02.001 PV Modules Installation")</f>
        <v>GRE.EEC.S.21.IT.P.18371.00.127.00 Technical Specification :
PPP.PVP.WRK.02 PV MODULES ACTIVITY
PPP.PVP.WRK.02.001 PV Modules Installation</v>
      </c>
      <c r="D46" s="401" t="s">
        <v>155</v>
      </c>
      <c r="E46" s="1000" t="s">
        <v>1785</v>
      </c>
      <c r="F46" s="495" t="s">
        <v>160</v>
      </c>
      <c r="G46" s="988" t="s">
        <v>1782</v>
      </c>
      <c r="H46" s="989"/>
      <c r="I46" s="990"/>
      <c r="J46" s="990"/>
      <c r="K46" s="991">
        <f t="shared" si="5"/>
        <v>0</v>
      </c>
      <c r="L46" s="990"/>
      <c r="M46" s="990"/>
      <c r="N46" s="991">
        <f t="shared" si="6"/>
        <v>0</v>
      </c>
      <c r="O46" s="992"/>
      <c r="P46" s="990"/>
      <c r="Q46" s="992"/>
      <c r="R46" s="994">
        <f t="shared" si="7"/>
        <v>0</v>
      </c>
      <c r="S46" s="994">
        <f t="shared" si="8"/>
        <v>0</v>
      </c>
      <c r="T46" s="1001"/>
    </row>
    <row r="47" spans="1:20" s="275" customFormat="1" ht="24" customHeight="1" x14ac:dyDescent="0.25">
      <c r="B47" s="1661" t="s">
        <v>1786</v>
      </c>
      <c r="C47" s="1662"/>
      <c r="D47" s="1662"/>
      <c r="E47" s="1662"/>
      <c r="F47" s="1030"/>
      <c r="G47" s="1030"/>
      <c r="H47" s="1030"/>
      <c r="I47" s="1030"/>
      <c r="J47" s="1030"/>
      <c r="K47" s="1030"/>
      <c r="L47" s="1030"/>
      <c r="M47" s="1030"/>
      <c r="N47" s="1030"/>
      <c r="O47" s="1030"/>
      <c r="P47" s="1030"/>
      <c r="Q47" s="1030"/>
      <c r="R47" s="1030"/>
      <c r="S47" s="1030"/>
      <c r="T47" s="1031"/>
    </row>
    <row r="48" spans="1:20" s="1016" customFormat="1" ht="30" x14ac:dyDescent="0.2">
      <c r="A48" s="1011"/>
      <c r="B48" s="421" t="s">
        <v>155</v>
      </c>
      <c r="C48" s="985" t="str">
        <f>'Reference documents'!B$15</f>
        <v>GRE.EEC.S.21.IT.P.18371.00.127.00 Technical Specification</v>
      </c>
      <c r="D48" s="1029" t="s">
        <v>155</v>
      </c>
      <c r="E48" s="1352" t="s">
        <v>1787</v>
      </c>
      <c r="F48" s="987" t="s">
        <v>160</v>
      </c>
      <c r="G48" s="1024" t="s">
        <v>1749</v>
      </c>
      <c r="H48" s="989"/>
      <c r="I48" s="990"/>
      <c r="J48" s="990"/>
      <c r="K48" s="991">
        <f t="shared" si="5"/>
        <v>0</v>
      </c>
      <c r="L48" s="990"/>
      <c r="M48" s="990"/>
      <c r="N48" s="991">
        <f t="shared" si="6"/>
        <v>0</v>
      </c>
      <c r="O48" s="992"/>
      <c r="P48" s="990"/>
      <c r="Q48" s="992"/>
      <c r="R48" s="994">
        <f t="shared" si="7"/>
        <v>0</v>
      </c>
      <c r="S48" s="1025">
        <f t="shared" ref="S48:S53" si="9">H48*R48</f>
        <v>0</v>
      </c>
      <c r="T48" s="1024"/>
    </row>
    <row r="49" spans="1:20" s="1016" customFormat="1" ht="44.25" x14ac:dyDescent="0.2">
      <c r="A49" s="1011"/>
      <c r="B49" s="421" t="s">
        <v>155</v>
      </c>
      <c r="C49" s="985" t="str">
        <f>'Reference documents'!B$15</f>
        <v>GRE.EEC.S.21.IT.P.18371.00.127.00 Technical Specification</v>
      </c>
      <c r="D49" s="997" t="s">
        <v>155</v>
      </c>
      <c r="E49" s="973" t="s">
        <v>1788</v>
      </c>
      <c r="F49" s="145" t="s">
        <v>160</v>
      </c>
      <c r="G49" s="1001" t="s">
        <v>1749</v>
      </c>
      <c r="H49" s="989"/>
      <c r="I49" s="990"/>
      <c r="J49" s="990"/>
      <c r="K49" s="991">
        <f t="shared" si="5"/>
        <v>0</v>
      </c>
      <c r="L49" s="990"/>
      <c r="M49" s="990"/>
      <c r="N49" s="991">
        <f t="shared" si="6"/>
        <v>0</v>
      </c>
      <c r="O49" s="992"/>
      <c r="P49" s="990"/>
      <c r="Q49" s="992"/>
      <c r="R49" s="994">
        <f t="shared" si="7"/>
        <v>0</v>
      </c>
      <c r="S49" s="994">
        <f t="shared" si="9"/>
        <v>0</v>
      </c>
      <c r="T49" s="1001"/>
    </row>
    <row r="50" spans="1:20" s="1016" customFormat="1" ht="30" x14ac:dyDescent="0.2">
      <c r="A50" s="1011"/>
      <c r="B50" s="421" t="s">
        <v>155</v>
      </c>
      <c r="C50" s="985" t="str">
        <f>'Reference documents'!B$15</f>
        <v>GRE.EEC.S.21.IT.P.18371.00.127.00 Technical Specification</v>
      </c>
      <c r="D50" s="997" t="s">
        <v>155</v>
      </c>
      <c r="E50" s="973" t="s">
        <v>1789</v>
      </c>
      <c r="F50" s="145" t="s">
        <v>160</v>
      </c>
      <c r="G50" s="1001" t="s">
        <v>1749</v>
      </c>
      <c r="H50" s="989"/>
      <c r="I50" s="990"/>
      <c r="J50" s="990"/>
      <c r="K50" s="991">
        <f t="shared" si="5"/>
        <v>0</v>
      </c>
      <c r="L50" s="990"/>
      <c r="M50" s="990"/>
      <c r="N50" s="991">
        <f t="shared" si="6"/>
        <v>0</v>
      </c>
      <c r="O50" s="992"/>
      <c r="P50" s="990"/>
      <c r="Q50" s="992"/>
      <c r="R50" s="994">
        <f t="shared" si="7"/>
        <v>0</v>
      </c>
      <c r="S50" s="994">
        <f t="shared" si="9"/>
        <v>0</v>
      </c>
      <c r="T50" s="1001"/>
    </row>
    <row r="51" spans="1:20" s="1016" customFormat="1" ht="44.25" x14ac:dyDescent="0.2">
      <c r="A51" s="1011"/>
      <c r="B51" s="421" t="s">
        <v>155</v>
      </c>
      <c r="C51" s="985" t="str">
        <f>'Reference documents'!B$15</f>
        <v>GRE.EEC.S.21.IT.P.18371.00.127.00 Technical Specification</v>
      </c>
      <c r="D51" s="997" t="s">
        <v>155</v>
      </c>
      <c r="E51" s="973" t="s">
        <v>1790</v>
      </c>
      <c r="F51" s="145" t="s">
        <v>160</v>
      </c>
      <c r="G51" s="1001" t="s">
        <v>1749</v>
      </c>
      <c r="H51" s="989"/>
      <c r="I51" s="990"/>
      <c r="J51" s="990"/>
      <c r="K51" s="991">
        <f t="shared" si="5"/>
        <v>0</v>
      </c>
      <c r="L51" s="990"/>
      <c r="M51" s="990"/>
      <c r="N51" s="991">
        <f t="shared" si="6"/>
        <v>0</v>
      </c>
      <c r="O51" s="992"/>
      <c r="P51" s="990"/>
      <c r="Q51" s="992"/>
      <c r="R51" s="994">
        <f t="shared" si="7"/>
        <v>0</v>
      </c>
      <c r="S51" s="994">
        <f t="shared" si="9"/>
        <v>0</v>
      </c>
      <c r="T51" s="1001"/>
    </row>
    <row r="52" spans="1:20" s="1016" customFormat="1" ht="44.25" x14ac:dyDescent="0.2">
      <c r="A52" s="1011"/>
      <c r="B52" s="421" t="s">
        <v>155</v>
      </c>
      <c r="C52" s="985" t="str">
        <f>'Reference documents'!B$15</f>
        <v>GRE.EEC.S.21.IT.P.18371.00.127.00 Technical Specification</v>
      </c>
      <c r="D52" s="997" t="s">
        <v>155</v>
      </c>
      <c r="E52" s="973" t="s">
        <v>1791</v>
      </c>
      <c r="F52" s="145" t="s">
        <v>160</v>
      </c>
      <c r="G52" s="1001" t="s">
        <v>1749</v>
      </c>
      <c r="H52" s="989"/>
      <c r="I52" s="990"/>
      <c r="J52" s="990"/>
      <c r="K52" s="991">
        <f t="shared" si="5"/>
        <v>0</v>
      </c>
      <c r="L52" s="990"/>
      <c r="M52" s="990"/>
      <c r="N52" s="991">
        <f t="shared" si="6"/>
        <v>0</v>
      </c>
      <c r="O52" s="992"/>
      <c r="P52" s="990"/>
      <c r="Q52" s="992"/>
      <c r="R52" s="994">
        <f t="shared" si="7"/>
        <v>0</v>
      </c>
      <c r="S52" s="994">
        <f t="shared" si="9"/>
        <v>0</v>
      </c>
      <c r="T52" s="1001"/>
    </row>
    <row r="53" spans="1:20" s="1016" customFormat="1" ht="44.25" x14ac:dyDescent="0.2">
      <c r="A53" s="1011"/>
      <c r="B53" s="421" t="s">
        <v>155</v>
      </c>
      <c r="C53" s="985" t="str">
        <f>'Reference documents'!B$15</f>
        <v>GRE.EEC.S.21.IT.P.18371.00.127.00 Technical Specification</v>
      </c>
      <c r="D53" s="997" t="s">
        <v>155</v>
      </c>
      <c r="E53" s="973" t="s">
        <v>1792</v>
      </c>
      <c r="F53" s="495" t="s">
        <v>160</v>
      </c>
      <c r="G53" s="1020" t="s">
        <v>1749</v>
      </c>
      <c r="H53" s="989"/>
      <c r="I53" s="990"/>
      <c r="J53" s="990"/>
      <c r="K53" s="991">
        <f t="shared" si="5"/>
        <v>0</v>
      </c>
      <c r="L53" s="990"/>
      <c r="M53" s="990"/>
      <c r="N53" s="991">
        <f t="shared" si="6"/>
        <v>0</v>
      </c>
      <c r="O53" s="992"/>
      <c r="P53" s="990"/>
      <c r="Q53" s="992"/>
      <c r="R53" s="994">
        <f t="shared" si="7"/>
        <v>0</v>
      </c>
      <c r="S53" s="994">
        <f t="shared" si="9"/>
        <v>0</v>
      </c>
      <c r="T53" s="1001"/>
    </row>
    <row r="54" spans="1:20" customFormat="1" ht="41.65" customHeight="1" x14ac:dyDescent="0.25">
      <c r="B54" s="1667" t="s">
        <v>96</v>
      </c>
      <c r="C54" s="1668"/>
      <c r="D54" s="1668"/>
      <c r="E54" s="1669"/>
      <c r="F54" s="1665" t="s">
        <v>154</v>
      </c>
      <c r="G54" s="1665"/>
      <c r="H54" s="1665"/>
      <c r="I54" s="1665"/>
      <c r="J54" s="1665"/>
      <c r="K54" s="1665"/>
      <c r="L54" s="1665"/>
      <c r="M54" s="1665"/>
      <c r="N54" s="1665"/>
      <c r="O54" s="1665"/>
      <c r="P54" s="1665"/>
      <c r="Q54" s="1665"/>
      <c r="R54" s="1665"/>
      <c r="S54" s="877">
        <f>SUMIF(F56:F57,"Mandatory",S56:S57)</f>
        <v>0</v>
      </c>
      <c r="T54" s="878"/>
    </row>
    <row r="55" spans="1:20" customFormat="1" ht="41.65" customHeight="1" x14ac:dyDescent="0.25">
      <c r="B55" s="1670"/>
      <c r="C55" s="1671"/>
      <c r="D55" s="1671"/>
      <c r="E55" s="1672"/>
      <c r="F55" s="1666" t="s">
        <v>156</v>
      </c>
      <c r="G55" s="1666"/>
      <c r="H55" s="1666"/>
      <c r="I55" s="1666"/>
      <c r="J55" s="1666"/>
      <c r="K55" s="1666"/>
      <c r="L55" s="1666"/>
      <c r="M55" s="1666"/>
      <c r="N55" s="1666"/>
      <c r="O55" s="1666"/>
      <c r="P55" s="1666"/>
      <c r="Q55" s="1666"/>
      <c r="R55" s="1666"/>
      <c r="S55" s="1032">
        <f>SUMIF(F56:F57,"Optional",S56:S57)</f>
        <v>0</v>
      </c>
      <c r="T55" s="1033"/>
    </row>
    <row r="56" spans="1:20" s="1010" customFormat="1" ht="37.15" customHeight="1" x14ac:dyDescent="0.2">
      <c r="A56" s="1006"/>
      <c r="B56" s="421" t="s">
        <v>155</v>
      </c>
      <c r="C56" s="1247" t="s">
        <v>764</v>
      </c>
      <c r="D56" s="401" t="s">
        <v>155</v>
      </c>
      <c r="E56" s="973" t="s">
        <v>1793</v>
      </c>
      <c r="F56" s="145" t="s">
        <v>160</v>
      </c>
      <c r="G56" s="1001" t="s">
        <v>1758</v>
      </c>
      <c r="H56" s="989"/>
      <c r="I56" s="990"/>
      <c r="J56" s="990"/>
      <c r="K56" s="991">
        <f>I56*J56</f>
        <v>0</v>
      </c>
      <c r="L56" s="990"/>
      <c r="M56" s="990"/>
      <c r="N56" s="991">
        <f>L56*M56</f>
        <v>0</v>
      </c>
      <c r="O56" s="992"/>
      <c r="P56" s="990"/>
      <c r="Q56" s="992"/>
      <c r="R56" s="994">
        <f>P56+N56+K56</f>
        <v>0</v>
      </c>
      <c r="S56" s="994">
        <f>H56*R56</f>
        <v>0</v>
      </c>
      <c r="T56" s="1001"/>
    </row>
    <row r="57" spans="1:20" s="1010" customFormat="1" ht="37.15" customHeight="1" x14ac:dyDescent="0.2">
      <c r="A57" s="1011"/>
      <c r="B57" s="1026" t="s">
        <v>155</v>
      </c>
      <c r="C57" s="985" t="s">
        <v>254</v>
      </c>
      <c r="D57" s="1028" t="s">
        <v>155</v>
      </c>
      <c r="E57" s="980" t="s">
        <v>1794</v>
      </c>
      <c r="F57" s="1021" t="s">
        <v>160</v>
      </c>
      <c r="G57" s="1022" t="s">
        <v>1749</v>
      </c>
      <c r="H57" s="989"/>
      <c r="I57" s="990"/>
      <c r="J57" s="990"/>
      <c r="K57" s="991">
        <f>I57*J57</f>
        <v>0</v>
      </c>
      <c r="L57" s="990"/>
      <c r="M57" s="990"/>
      <c r="N57" s="991">
        <f>L57*M57</f>
        <v>0</v>
      </c>
      <c r="O57" s="992"/>
      <c r="P57" s="990"/>
      <c r="Q57" s="992"/>
      <c r="R57" s="994">
        <f>P57+N57+K57</f>
        <v>0</v>
      </c>
      <c r="S57" s="1023">
        <f>H57*R57</f>
        <v>0</v>
      </c>
      <c r="T57" s="1022"/>
    </row>
    <row r="58" spans="1:20" customFormat="1" ht="41.65" customHeight="1" x14ac:dyDescent="0.25">
      <c r="B58" s="1667" t="s">
        <v>132</v>
      </c>
      <c r="C58" s="1668"/>
      <c r="D58" s="1668"/>
      <c r="E58" s="1669"/>
      <c r="F58" s="1665" t="s">
        <v>154</v>
      </c>
      <c r="G58" s="1665"/>
      <c r="H58" s="1665"/>
      <c r="I58" s="1665"/>
      <c r="J58" s="1665"/>
      <c r="K58" s="1665"/>
      <c r="L58" s="1665"/>
      <c r="M58" s="1665"/>
      <c r="N58" s="1665"/>
      <c r="O58" s="1665"/>
      <c r="P58" s="1665"/>
      <c r="Q58" s="1665"/>
      <c r="R58" s="1665"/>
      <c r="S58" s="877">
        <f>SUMIF(F60:F60,"Mandatory",S60:S60)</f>
        <v>0</v>
      </c>
      <c r="T58" s="878"/>
    </row>
    <row r="59" spans="1:20" customFormat="1" ht="41.65" customHeight="1" x14ac:dyDescent="0.25">
      <c r="B59" s="1670"/>
      <c r="C59" s="1671"/>
      <c r="D59" s="1671"/>
      <c r="E59" s="1672"/>
      <c r="F59" s="1666" t="s">
        <v>156</v>
      </c>
      <c r="G59" s="1666"/>
      <c r="H59" s="1666"/>
      <c r="I59" s="1666"/>
      <c r="J59" s="1666"/>
      <c r="K59" s="1666"/>
      <c r="L59" s="1666"/>
      <c r="M59" s="1666"/>
      <c r="N59" s="1666"/>
      <c r="O59" s="1666"/>
      <c r="P59" s="1666"/>
      <c r="Q59" s="1666"/>
      <c r="R59" s="1666"/>
      <c r="S59" s="1032">
        <f>SUMIF(F60:F60,"Optional",S60:S60)</f>
        <v>0</v>
      </c>
      <c r="T59" s="1033"/>
    </row>
    <row r="60" spans="1:20" s="1010" customFormat="1" ht="37.15" customHeight="1" x14ac:dyDescent="0.2">
      <c r="A60" s="1011"/>
      <c r="B60" s="421"/>
      <c r="C60" s="971" t="str">
        <f>'Reference documents'!B16</f>
        <v>GRE…..</v>
      </c>
      <c r="D60" s="401"/>
      <c r="E60" s="973" t="s">
        <v>1795</v>
      </c>
      <c r="F60" s="145" t="s">
        <v>167</v>
      </c>
      <c r="G60" s="1001" t="s">
        <v>1749</v>
      </c>
      <c r="H60" s="989">
        <v>1</v>
      </c>
      <c r="I60" s="990"/>
      <c r="J60" s="990"/>
      <c r="K60" s="991"/>
      <c r="L60" s="990"/>
      <c r="M60" s="990"/>
      <c r="N60" s="991"/>
      <c r="O60" s="992"/>
      <c r="P60" s="990"/>
      <c r="Q60" s="992"/>
      <c r="R60" s="994">
        <f>P60+N60+K60</f>
        <v>0</v>
      </c>
      <c r="S60" s="994">
        <f>H60*R60</f>
        <v>0</v>
      </c>
      <c r="T60" s="1001"/>
    </row>
  </sheetData>
  <autoFilter ref="B15:T64" xr:uid="{32E03678-4CE2-4317-8A09-156CF665688E}">
    <filterColumn colId="7" showButton="0"/>
    <filterColumn colId="8" showButton="0"/>
    <filterColumn colId="10" showButton="0"/>
    <filterColumn colId="11" showButton="0"/>
    <filterColumn colId="12" showButton="0"/>
    <filterColumn colId="14" showButton="0"/>
  </autoFilter>
  <mergeCells count="35">
    <mergeCell ref="B15:B16"/>
    <mergeCell ref="C15:C16"/>
    <mergeCell ref="D15:D16"/>
    <mergeCell ref="E15:E16"/>
    <mergeCell ref="F15:F16"/>
    <mergeCell ref="B6:N6"/>
    <mergeCell ref="B3:M3"/>
    <mergeCell ref="C7:E7"/>
    <mergeCell ref="F7:H7"/>
    <mergeCell ref="L7:N7"/>
    <mergeCell ref="I7:K7"/>
    <mergeCell ref="B17:E18"/>
    <mergeCell ref="F17:R17"/>
    <mergeCell ref="F18:R18"/>
    <mergeCell ref="B26:E27"/>
    <mergeCell ref="F26:R26"/>
    <mergeCell ref="F27:R27"/>
    <mergeCell ref="R15:R16"/>
    <mergeCell ref="S15:S16"/>
    <mergeCell ref="T15:T16"/>
    <mergeCell ref="G15:G16"/>
    <mergeCell ref="H15:H16"/>
    <mergeCell ref="I15:K15"/>
    <mergeCell ref="L15:O15"/>
    <mergeCell ref="P15:Q15"/>
    <mergeCell ref="F30:R30"/>
    <mergeCell ref="F31:R31"/>
    <mergeCell ref="B58:E59"/>
    <mergeCell ref="F58:R58"/>
    <mergeCell ref="F59:R59"/>
    <mergeCell ref="B54:E55"/>
    <mergeCell ref="F54:R54"/>
    <mergeCell ref="F55:R55"/>
    <mergeCell ref="B30:E31"/>
    <mergeCell ref="B47:E47"/>
  </mergeCells>
  <phoneticPr fontId="99" type="noConversion"/>
  <dataValidations count="3">
    <dataValidation type="list" allowBlank="1" showInputMessage="1" showErrorMessage="1" sqref="F48:F53 F32:F46 F60 F28:F29 F19:F25 F56:F57" xr:uid="{ADE10BF2-87A9-4348-BB0D-E0A75E35EDD1}">
      <formula1>"Mandatory,Optional,NA"</formula1>
    </dataValidation>
    <dataValidation type="list" allowBlank="1" showInputMessage="1" showErrorMessage="1" sqref="C5" xr:uid="{B5A9456E-E166-4370-B5D4-1747E6D0E801}">
      <formula1>"1x,2x,3x"</formula1>
    </dataValidation>
    <dataValidation type="decimal" operator="greaterThanOrEqual" allowBlank="1" showInputMessage="1" showErrorMessage="1" sqref="P19:P23 L19:M25 I19:J23" xr:uid="{8F8F2C85-E9A5-4418-9859-D17149408FE9}">
      <formula1>0</formula1>
    </dataValidation>
  </dataValidations>
  <printOptions horizontalCentered="1"/>
  <pageMargins left="0.23622047244094491" right="0.23622047244094491" top="0.74803149606299213" bottom="0.55118110236220474" header="0.31496062992125984" footer="0.31496062992125984"/>
  <pageSetup paperSize="9" orientation="landscape" r:id="rId1"/>
  <headerFooter>
    <oddHeader>&amp;C&amp;"Arial"&amp;8&amp;K000000INTERNAL&amp;1#</oddHeader>
    <oddFooter>&amp;R&amp;8pag &amp;P di &amp;N</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A3C27-64ED-4A25-AE71-290519F254EA}">
  <sheetPr codeName="Foglio121">
    <tabColor rgb="FF00B050"/>
  </sheetPr>
  <dimension ref="A2:T37"/>
  <sheetViews>
    <sheetView zoomScale="85" zoomScaleNormal="85" workbookViewId="0">
      <selection activeCell="C12" sqref="C12"/>
    </sheetView>
  </sheetViews>
  <sheetFormatPr defaultColWidth="9.28515625" defaultRowHeight="12.75" x14ac:dyDescent="0.25"/>
  <cols>
    <col min="1" max="1" width="10.42578125" style="259" bestFit="1" customWidth="1"/>
    <col min="2" max="2" width="11.7109375" style="264" bestFit="1" customWidth="1"/>
    <col min="3" max="3" width="41.5703125" style="264" customWidth="1"/>
    <col min="4" max="4" width="13.7109375" style="259" bestFit="1" customWidth="1"/>
    <col min="5" max="5" width="72.42578125" style="264" customWidth="1"/>
    <col min="6" max="6" width="12.5703125" style="264" bestFit="1" customWidth="1"/>
    <col min="7" max="7" width="18.42578125" style="264" customWidth="1"/>
    <col min="8" max="8" width="17.5703125" style="1306" customWidth="1"/>
    <col min="9" max="9" width="10" style="259" customWidth="1"/>
    <col min="10" max="10" width="14.42578125" style="259" bestFit="1" customWidth="1"/>
    <col min="11" max="11" width="15" style="259" customWidth="1"/>
    <col min="12" max="14" width="9.28515625" style="264"/>
    <col min="15" max="15" width="18.42578125" style="264" customWidth="1"/>
    <col min="16" max="16" width="9.28515625" style="264"/>
    <col min="17" max="17" width="19.5703125" style="264" customWidth="1"/>
    <col min="18" max="16384" width="9.28515625" style="264"/>
  </cols>
  <sheetData>
    <row r="2" spans="1:20" s="171" customFormat="1" ht="15.75" x14ac:dyDescent="0.25">
      <c r="A2"/>
      <c r="B2" s="124"/>
      <c r="C2" s="20"/>
      <c r="D2" s="20"/>
      <c r="E2" s="21" t="s">
        <v>309</v>
      </c>
      <c r="F2" s="23"/>
      <c r="G2" s="22"/>
      <c r="H2" s="1115"/>
      <c r="I2" s="22"/>
      <c r="J2" s="22"/>
      <c r="K2" s="22"/>
      <c r="L2" s="22"/>
      <c r="M2" s="22"/>
      <c r="N2" s="22"/>
      <c r="O2" s="22"/>
      <c r="P2" s="22"/>
      <c r="Q2" s="22"/>
      <c r="R2" s="22"/>
      <c r="S2" s="22"/>
      <c r="T2" s="22"/>
    </row>
    <row r="3" spans="1:20" s="171" customFormat="1" ht="15.75" thickBot="1" x14ac:dyDescent="0.25">
      <c r="A3" s="524"/>
      <c r="B3" s="121"/>
      <c r="C3" s="26"/>
      <c r="D3" s="26"/>
      <c r="E3" s="28"/>
      <c r="F3" s="30"/>
      <c r="G3" s="29"/>
      <c r="H3" s="1111"/>
    </row>
    <row r="4" spans="1:20" s="172" customFormat="1" ht="54" customHeight="1" x14ac:dyDescent="0.25">
      <c r="B4" s="1540" t="s">
        <v>186</v>
      </c>
      <c r="C4" s="1540" t="s">
        <v>136</v>
      </c>
      <c r="D4" s="1540" t="s">
        <v>137</v>
      </c>
      <c r="E4" s="1540" t="s">
        <v>187</v>
      </c>
      <c r="F4" s="1546" t="s">
        <v>139</v>
      </c>
      <c r="G4" s="1524" t="s">
        <v>140</v>
      </c>
      <c r="H4" s="1524" t="s">
        <v>141</v>
      </c>
      <c r="I4" s="1528" t="s">
        <v>142</v>
      </c>
      <c r="J4" s="1528"/>
      <c r="K4" s="1528"/>
      <c r="L4" s="1528" t="s">
        <v>143</v>
      </c>
      <c r="M4" s="1528"/>
      <c r="N4" s="1528"/>
      <c r="O4" s="1528"/>
      <c r="P4" s="1686" t="s">
        <v>144</v>
      </c>
      <c r="Q4" s="1528"/>
      <c r="R4" s="1524" t="s">
        <v>145</v>
      </c>
      <c r="S4" s="1524" t="s">
        <v>146</v>
      </c>
      <c r="T4" s="1540" t="s">
        <v>147</v>
      </c>
    </row>
    <row r="5" spans="1:20" s="172" customFormat="1" ht="24.75" customHeight="1" x14ac:dyDescent="0.25">
      <c r="B5" s="1541"/>
      <c r="C5" s="1541"/>
      <c r="D5" s="1541"/>
      <c r="E5" s="1541"/>
      <c r="F5" s="1547"/>
      <c r="G5" s="1525"/>
      <c r="H5" s="1525"/>
      <c r="I5" s="983" t="s">
        <v>148</v>
      </c>
      <c r="J5" s="983" t="s">
        <v>149</v>
      </c>
      <c r="K5" s="983" t="s">
        <v>150</v>
      </c>
      <c r="L5" s="983" t="s">
        <v>148</v>
      </c>
      <c r="M5" s="983" t="s">
        <v>149</v>
      </c>
      <c r="N5" s="983" t="s">
        <v>150</v>
      </c>
      <c r="O5" s="983" t="s">
        <v>151</v>
      </c>
      <c r="P5" s="983" t="s">
        <v>150</v>
      </c>
      <c r="Q5" s="983" t="s">
        <v>152</v>
      </c>
      <c r="R5" s="1525"/>
      <c r="S5" s="1525"/>
      <c r="T5" s="1541"/>
    </row>
    <row r="6" spans="1:20" s="173" customFormat="1" ht="24.75" customHeight="1" x14ac:dyDescent="0.2">
      <c r="B6" s="1667" t="s">
        <v>1746</v>
      </c>
      <c r="C6" s="1668"/>
      <c r="D6" s="1668"/>
      <c r="E6" s="1669"/>
      <c r="F6" s="1673" t="s">
        <v>154</v>
      </c>
      <c r="G6" s="1674"/>
      <c r="H6" s="1674"/>
      <c r="I6" s="1674"/>
      <c r="J6" s="1674"/>
      <c r="K6" s="1674"/>
      <c r="L6" s="1674"/>
      <c r="M6" s="1674"/>
      <c r="N6" s="1674"/>
      <c r="O6" s="1674"/>
      <c r="P6" s="1674"/>
      <c r="Q6" s="1674"/>
      <c r="R6" s="1675"/>
      <c r="S6" s="908">
        <f>SUMIF(F8:F15,"Mandatory",S8:S15)</f>
        <v>0</v>
      </c>
      <c r="T6" s="864" t="s">
        <v>155</v>
      </c>
    </row>
    <row r="7" spans="1:20" s="173" customFormat="1" ht="24.75" customHeight="1" x14ac:dyDescent="0.2">
      <c r="B7" s="1670"/>
      <c r="C7" s="1671"/>
      <c r="D7" s="1671"/>
      <c r="E7" s="1672"/>
      <c r="F7" s="1673" t="s">
        <v>156</v>
      </c>
      <c r="G7" s="1674"/>
      <c r="H7" s="1674"/>
      <c r="I7" s="1674"/>
      <c r="J7" s="1674"/>
      <c r="K7" s="1674"/>
      <c r="L7" s="1674"/>
      <c r="M7" s="1674"/>
      <c r="N7" s="1674"/>
      <c r="O7" s="1674"/>
      <c r="P7" s="1674"/>
      <c r="Q7" s="1674"/>
      <c r="R7" s="1675"/>
      <c r="S7" s="863">
        <f>SUMIF(F8:F15,"optional",S8:S15)</f>
        <v>0</v>
      </c>
      <c r="T7" s="962" t="s">
        <v>155</v>
      </c>
    </row>
    <row r="8" spans="1:20" s="1002" customFormat="1" ht="24.75" customHeight="1" x14ac:dyDescent="0.2">
      <c r="A8" s="880" t="s">
        <v>1796</v>
      </c>
      <c r="B8" s="692"/>
      <c r="C8" s="999" t="s">
        <v>1747</v>
      </c>
      <c r="D8" s="995"/>
      <c r="E8" s="964" t="s">
        <v>1748</v>
      </c>
      <c r="F8" s="987" t="s">
        <v>160</v>
      </c>
      <c r="G8" s="1230" t="s">
        <v>1749</v>
      </c>
      <c r="H8" s="1304">
        <v>1</v>
      </c>
      <c r="I8" s="990"/>
      <c r="J8" s="990"/>
      <c r="K8" s="991">
        <f t="shared" ref="K8:K15" si="0">I8*J8</f>
        <v>0</v>
      </c>
      <c r="L8" s="990"/>
      <c r="M8" s="990"/>
      <c r="N8" s="991">
        <f t="shared" ref="N8:N15" si="1">L8*M8</f>
        <v>0</v>
      </c>
      <c r="O8" s="992"/>
      <c r="P8" s="990"/>
      <c r="Q8" s="992"/>
      <c r="R8" s="994">
        <f t="shared" ref="R8:R15" si="2">P8+N8+K8</f>
        <v>0</v>
      </c>
      <c r="S8" s="1035">
        <f t="shared" ref="S8:S15" si="3">IF(F8="na","",H8*R8)</f>
        <v>0</v>
      </c>
      <c r="T8" s="1001"/>
    </row>
    <row r="9" spans="1:20" s="1005" customFormat="1" ht="24.75" customHeight="1" x14ac:dyDescent="0.2">
      <c r="A9" s="880" t="s">
        <v>1797</v>
      </c>
      <c r="B9" s="693"/>
      <c r="C9" s="999" t="s">
        <v>1747</v>
      </c>
      <c r="D9" s="996"/>
      <c r="E9" s="964" t="s">
        <v>1798</v>
      </c>
      <c r="F9" s="145" t="s">
        <v>160</v>
      </c>
      <c r="G9" s="1230" t="s">
        <v>1749</v>
      </c>
      <c r="H9" s="1304">
        <v>1</v>
      </c>
      <c r="I9" s="990"/>
      <c r="J9" s="990"/>
      <c r="K9" s="991">
        <f t="shared" si="0"/>
        <v>0</v>
      </c>
      <c r="L9" s="990"/>
      <c r="M9" s="990"/>
      <c r="N9" s="991">
        <f t="shared" si="1"/>
        <v>0</v>
      </c>
      <c r="O9" s="992"/>
      <c r="P9" s="990"/>
      <c r="Q9" s="992"/>
      <c r="R9" s="994">
        <f t="shared" si="2"/>
        <v>0</v>
      </c>
      <c r="S9" s="1035">
        <f t="shared" si="3"/>
        <v>0</v>
      </c>
      <c r="T9" s="1001"/>
    </row>
    <row r="10" spans="1:20" s="1010" customFormat="1" ht="29.25" x14ac:dyDescent="0.25">
      <c r="A10" s="1068" t="s">
        <v>1799</v>
      </c>
      <c r="B10" s="1076"/>
      <c r="C10" s="1077" t="s">
        <v>1800</v>
      </c>
      <c r="D10" s="1078"/>
      <c r="E10" s="1079" t="s">
        <v>1752</v>
      </c>
      <c r="F10" s="987" t="s">
        <v>160</v>
      </c>
      <c r="G10" s="1080"/>
      <c r="H10" s="1307"/>
      <c r="I10" s="990"/>
      <c r="J10" s="990"/>
      <c r="K10" s="991">
        <f t="shared" si="0"/>
        <v>0</v>
      </c>
      <c r="L10" s="990"/>
      <c r="M10" s="990"/>
      <c r="N10" s="991">
        <f t="shared" si="1"/>
        <v>0</v>
      </c>
      <c r="O10" s="992"/>
      <c r="P10" s="990"/>
      <c r="Q10" s="992"/>
      <c r="R10" s="994">
        <f t="shared" si="2"/>
        <v>0</v>
      </c>
      <c r="S10" s="1035">
        <f t="shared" si="3"/>
        <v>0</v>
      </c>
      <c r="T10" s="1001"/>
    </row>
    <row r="11" spans="1:20" s="1010" customFormat="1" ht="44.25" x14ac:dyDescent="0.25">
      <c r="A11" s="1068" t="s">
        <v>1801</v>
      </c>
      <c r="B11" s="1081"/>
      <c r="C11" s="1082" t="s">
        <v>1800</v>
      </c>
      <c r="D11" s="1083"/>
      <c r="E11" s="1004" t="s">
        <v>1754</v>
      </c>
      <c r="F11" s="145" t="s">
        <v>160</v>
      </c>
      <c r="G11" s="971"/>
      <c r="H11" s="1308"/>
      <c r="I11" s="990"/>
      <c r="J11" s="990"/>
      <c r="K11" s="991">
        <f t="shared" si="0"/>
        <v>0</v>
      </c>
      <c r="L11" s="990"/>
      <c r="M11" s="990"/>
      <c r="N11" s="991">
        <f t="shared" si="1"/>
        <v>0</v>
      </c>
      <c r="O11" s="992"/>
      <c r="P11" s="990"/>
      <c r="Q11" s="992"/>
      <c r="R11" s="994">
        <f t="shared" si="2"/>
        <v>0</v>
      </c>
      <c r="S11" s="1035">
        <f t="shared" si="3"/>
        <v>0</v>
      </c>
      <c r="T11" s="1001"/>
    </row>
    <row r="12" spans="1:20" s="1010" customFormat="1" ht="25.5" x14ac:dyDescent="0.25">
      <c r="A12" s="1068" t="s">
        <v>1802</v>
      </c>
      <c r="B12" s="1061"/>
      <c r="C12" s="1082" t="s">
        <v>1800</v>
      </c>
      <c r="D12" s="1062"/>
      <c r="E12" s="1004" t="s">
        <v>1755</v>
      </c>
      <c r="F12" s="145" t="s">
        <v>160</v>
      </c>
      <c r="G12" s="880" t="s">
        <v>464</v>
      </c>
      <c r="H12" s="1309">
        <v>1</v>
      </c>
      <c r="I12" s="990"/>
      <c r="J12" s="990"/>
      <c r="K12" s="991">
        <f t="shared" si="0"/>
        <v>0</v>
      </c>
      <c r="L12" s="990"/>
      <c r="M12" s="990"/>
      <c r="N12" s="991">
        <f t="shared" si="1"/>
        <v>0</v>
      </c>
      <c r="O12" s="992"/>
      <c r="P12" s="990"/>
      <c r="Q12" s="992"/>
      <c r="R12" s="994">
        <f t="shared" si="2"/>
        <v>0</v>
      </c>
      <c r="S12" s="1035">
        <f t="shared" si="3"/>
        <v>0</v>
      </c>
      <c r="T12" s="1001"/>
    </row>
    <row r="13" spans="1:20" s="1010" customFormat="1" ht="24.75" customHeight="1" x14ac:dyDescent="0.2">
      <c r="A13" s="1006"/>
      <c r="B13" s="693"/>
      <c r="C13" s="964"/>
      <c r="D13" s="401"/>
      <c r="E13" s="964" t="s">
        <v>1803</v>
      </c>
      <c r="F13" s="145" t="s">
        <v>160</v>
      </c>
      <c r="G13" s="1241" t="s">
        <v>1749</v>
      </c>
      <c r="H13" s="1304">
        <v>1</v>
      </c>
      <c r="I13" s="990"/>
      <c r="J13" s="990"/>
      <c r="K13" s="991">
        <f t="shared" si="0"/>
        <v>0</v>
      </c>
      <c r="L13" s="990"/>
      <c r="M13" s="990"/>
      <c r="N13" s="991">
        <f t="shared" si="1"/>
        <v>0</v>
      </c>
      <c r="O13" s="992"/>
      <c r="P13" s="990"/>
      <c r="Q13" s="992"/>
      <c r="R13" s="994">
        <f t="shared" si="2"/>
        <v>0</v>
      </c>
      <c r="S13" s="1035">
        <f t="shared" si="3"/>
        <v>0</v>
      </c>
      <c r="T13" s="1001"/>
    </row>
    <row r="14" spans="1:20" s="1010" customFormat="1" ht="24.75" customHeight="1" x14ac:dyDescent="0.25">
      <c r="A14" s="1084" t="s">
        <v>1756</v>
      </c>
      <c r="B14" s="963"/>
      <c r="C14" s="1065" t="str">
        <f>'Reference documents'!B17</f>
        <v>GRE…..</v>
      </c>
      <c r="D14" s="1062"/>
      <c r="E14" s="964" t="s">
        <v>1804</v>
      </c>
      <c r="F14" s="145" t="s">
        <v>167</v>
      </c>
      <c r="G14" s="880" t="s">
        <v>464</v>
      </c>
      <c r="H14" s="1309">
        <v>1</v>
      </c>
      <c r="I14" s="990"/>
      <c r="J14" s="990"/>
      <c r="K14" s="991">
        <f t="shared" si="0"/>
        <v>0</v>
      </c>
      <c r="L14" s="990"/>
      <c r="M14" s="990"/>
      <c r="N14" s="991">
        <f t="shared" si="1"/>
        <v>0</v>
      </c>
      <c r="O14" s="992"/>
      <c r="P14" s="990"/>
      <c r="Q14" s="992"/>
      <c r="R14" s="994">
        <f t="shared" si="2"/>
        <v>0</v>
      </c>
      <c r="S14" s="1035">
        <f t="shared" si="3"/>
        <v>0</v>
      </c>
      <c r="T14" s="1001"/>
    </row>
    <row r="15" spans="1:20" s="970" customFormat="1" ht="25.5" x14ac:dyDescent="0.25">
      <c r="A15" s="1084" t="s">
        <v>1759</v>
      </c>
      <c r="B15" s="963"/>
      <c r="C15" s="1082"/>
      <c r="D15" s="1062"/>
      <c r="E15" s="964" t="s">
        <v>1805</v>
      </c>
      <c r="F15" s="145" t="s">
        <v>167</v>
      </c>
      <c r="G15" s="880" t="s">
        <v>464</v>
      </c>
      <c r="H15" s="1310">
        <v>1</v>
      </c>
      <c r="I15" s="990"/>
      <c r="J15" s="990"/>
      <c r="K15" s="991">
        <f t="shared" si="0"/>
        <v>0</v>
      </c>
      <c r="L15" s="990"/>
      <c r="M15" s="990"/>
      <c r="N15" s="991">
        <f t="shared" si="1"/>
        <v>0</v>
      </c>
      <c r="O15" s="992"/>
      <c r="P15" s="990"/>
      <c r="Q15" s="992"/>
      <c r="R15" s="994">
        <f t="shared" si="2"/>
        <v>0</v>
      </c>
      <c r="S15" s="1035">
        <f t="shared" si="3"/>
        <v>0</v>
      </c>
      <c r="T15" s="1001"/>
    </row>
    <row r="16" spans="1:20" customFormat="1" ht="18" customHeight="1" x14ac:dyDescent="0.25">
      <c r="B16" s="1667" t="s">
        <v>1761</v>
      </c>
      <c r="C16" s="1668"/>
      <c r="D16" s="1668"/>
      <c r="E16" s="1669"/>
      <c r="F16" s="1665" t="s">
        <v>154</v>
      </c>
      <c r="G16" s="1665"/>
      <c r="H16" s="1665"/>
      <c r="I16" s="1665"/>
      <c r="J16" s="1665"/>
      <c r="K16" s="1665"/>
      <c r="L16" s="1665"/>
      <c r="M16" s="1665"/>
      <c r="N16" s="1665"/>
      <c r="O16" s="1665"/>
      <c r="P16" s="1665"/>
      <c r="Q16" s="1665"/>
      <c r="R16" s="1665"/>
      <c r="S16" s="877">
        <f>SUMIF(F18:F19,"Mandatory",S18:S19)</f>
        <v>0</v>
      </c>
      <c r="T16" s="878"/>
    </row>
    <row r="17" spans="1:20" customFormat="1" ht="18" customHeight="1" x14ac:dyDescent="0.25">
      <c r="B17" s="1670"/>
      <c r="C17" s="1671"/>
      <c r="D17" s="1671"/>
      <c r="E17" s="1672"/>
      <c r="F17" s="1666" t="s">
        <v>156</v>
      </c>
      <c r="G17" s="1666"/>
      <c r="H17" s="1666"/>
      <c r="I17" s="1666"/>
      <c r="J17" s="1666"/>
      <c r="K17" s="1666"/>
      <c r="L17" s="1666"/>
      <c r="M17" s="1666"/>
      <c r="N17" s="1666"/>
      <c r="O17" s="1666"/>
      <c r="P17" s="1666"/>
      <c r="Q17" s="1666"/>
      <c r="R17" s="1666"/>
      <c r="S17" s="1032">
        <f>SUMIF(F18:F19,"Optional",S18:S19)</f>
        <v>0</v>
      </c>
      <c r="T17" s="1033"/>
    </row>
    <row r="18" spans="1:20" s="1063" customFormat="1" ht="51" x14ac:dyDescent="0.25">
      <c r="A18" s="880" t="s">
        <v>1806</v>
      </c>
      <c r="B18" s="1061"/>
      <c r="C18" s="1065" t="str">
        <f>CONCATENATE('Reference documents'!B18,"
GRE.EEC.S.27.XX.A.00000.00.239.XX - DPP Description")</f>
        <v>GRE…..
GRE.EEC.S.27.XX.A.00000.00.239.XX - DPP Description</v>
      </c>
      <c r="D18" s="1062"/>
      <c r="E18" s="964" t="s">
        <v>1807</v>
      </c>
      <c r="F18" s="145" t="s">
        <v>160</v>
      </c>
      <c r="G18" s="880" t="s">
        <v>464</v>
      </c>
      <c r="H18" s="1310">
        <v>1</v>
      </c>
      <c r="I18" s="990"/>
      <c r="J18" s="990"/>
      <c r="K18" s="991">
        <f t="shared" ref="K18:K19" si="4">I18*J18</f>
        <v>0</v>
      </c>
      <c r="L18" s="990"/>
      <c r="M18" s="990"/>
      <c r="N18" s="991">
        <f t="shared" ref="N18:N19" si="5">L18*M18</f>
        <v>0</v>
      </c>
      <c r="O18" s="992"/>
      <c r="P18" s="990"/>
      <c r="Q18" s="992"/>
      <c r="R18" s="994">
        <f t="shared" ref="R18:R19" si="6">P18+N18+K18</f>
        <v>0</v>
      </c>
      <c r="S18" s="1035">
        <f t="shared" ref="S18:S19" si="7">IF(F18="na","",H18*R18)</f>
        <v>0</v>
      </c>
      <c r="T18" s="1064"/>
    </row>
    <row r="19" spans="1:20" s="1063" customFormat="1" ht="30.75" customHeight="1" x14ac:dyDescent="0.25">
      <c r="A19" s="880" t="s">
        <v>1808</v>
      </c>
      <c r="B19" s="1061"/>
      <c r="C19" s="1065" t="str">
        <f>CONCATENATE('Reference documents'!B15," :
PPP.PSS.ENG.03.003 Pull-Out Test")</f>
        <v>GRE.EEC.S.21.IT.P.18371.00.127.00 Technical Specification :
PPP.PSS.ENG.03.003 Pull-Out Test</v>
      </c>
      <c r="D19" s="1062"/>
      <c r="E19" s="964" t="s">
        <v>1809</v>
      </c>
      <c r="F19" s="145" t="s">
        <v>160</v>
      </c>
      <c r="G19" s="880" t="s">
        <v>141</v>
      </c>
      <c r="H19" s="1311"/>
      <c r="I19" s="990"/>
      <c r="J19" s="990"/>
      <c r="K19" s="991">
        <f t="shared" si="4"/>
        <v>0</v>
      </c>
      <c r="L19" s="990"/>
      <c r="M19" s="990"/>
      <c r="N19" s="991">
        <f t="shared" si="5"/>
        <v>0</v>
      </c>
      <c r="O19" s="992"/>
      <c r="P19" s="990"/>
      <c r="Q19" s="992"/>
      <c r="R19" s="994">
        <f t="shared" si="6"/>
        <v>0</v>
      </c>
      <c r="S19" s="1035">
        <f t="shared" si="7"/>
        <v>0</v>
      </c>
      <c r="T19" s="1064"/>
    </row>
    <row r="20" spans="1:20" customFormat="1" ht="30.75" customHeight="1" x14ac:dyDescent="0.25">
      <c r="B20" s="1667" t="s">
        <v>1810</v>
      </c>
      <c r="C20" s="1668"/>
      <c r="D20" s="1668"/>
      <c r="E20" s="1669"/>
      <c r="F20" s="1665" t="s">
        <v>154</v>
      </c>
      <c r="G20" s="1665"/>
      <c r="H20" s="1665"/>
      <c r="I20" s="1665"/>
      <c r="J20" s="1665"/>
      <c r="K20" s="1665"/>
      <c r="L20" s="1665"/>
      <c r="M20" s="1665"/>
      <c r="N20" s="1665"/>
      <c r="O20" s="1665"/>
      <c r="P20" s="1665"/>
      <c r="Q20" s="1665"/>
      <c r="R20" s="1665"/>
      <c r="S20" s="877">
        <f>SUMIF(F23:F31,"Mandatory",S23:S31)</f>
        <v>0</v>
      </c>
      <c r="T20" s="878"/>
    </row>
    <row r="21" spans="1:20" customFormat="1" ht="30.75" customHeight="1" x14ac:dyDescent="0.25">
      <c r="B21" s="1670"/>
      <c r="C21" s="1671"/>
      <c r="D21" s="1671"/>
      <c r="E21" s="1672"/>
      <c r="F21" s="1666" t="s">
        <v>156</v>
      </c>
      <c r="G21" s="1666"/>
      <c r="H21" s="1666"/>
      <c r="I21" s="1666"/>
      <c r="J21" s="1666"/>
      <c r="K21" s="1666"/>
      <c r="L21" s="1666"/>
      <c r="M21" s="1666"/>
      <c r="N21" s="1666"/>
      <c r="O21" s="1666"/>
      <c r="P21" s="1666"/>
      <c r="Q21" s="1666"/>
      <c r="R21" s="1666"/>
      <c r="S21" s="1032">
        <f>SUMIF(F23:F31,"Optional",S23:S31)</f>
        <v>0</v>
      </c>
      <c r="T21" s="1033"/>
    </row>
    <row r="22" spans="1:20" s="1060" customFormat="1" ht="22.9" customHeight="1" x14ac:dyDescent="0.25">
      <c r="A22" s="1059" t="s">
        <v>1811</v>
      </c>
      <c r="B22" s="1684" t="s">
        <v>1812</v>
      </c>
      <c r="C22" s="1685"/>
      <c r="D22" s="1685"/>
      <c r="E22" s="1685"/>
      <c r="F22" s="1066"/>
      <c r="G22" s="1066"/>
      <c r="H22" s="1312"/>
      <c r="I22" s="1066"/>
      <c r="J22" s="1066"/>
      <c r="K22" s="1066"/>
      <c r="L22" s="1066"/>
      <c r="M22" s="1066"/>
      <c r="N22" s="1066"/>
      <c r="O22" s="1066"/>
      <c r="P22" s="1066"/>
      <c r="Q22" s="1066"/>
      <c r="R22" s="1066"/>
      <c r="S22" s="1066"/>
      <c r="T22" s="1067"/>
    </row>
    <row r="23" spans="1:20" s="1063" customFormat="1" ht="36" customHeight="1" x14ac:dyDescent="0.25">
      <c r="A23" s="1068" t="s">
        <v>1813</v>
      </c>
      <c r="B23" s="1061"/>
      <c r="C23" s="1065" t="str">
        <f>CONCATENATE('Reference documents'!B15," :
PPP.PVP.PVS.06 FIXED STRUCTURES")</f>
        <v>GRE.EEC.S.21.IT.P.18371.00.127.00 Technical Specification :
PPP.PVP.PVS.06 FIXED STRUCTURES</v>
      </c>
      <c r="D23" s="1062"/>
      <c r="E23" s="1069" t="s">
        <v>1814</v>
      </c>
      <c r="F23" s="145" t="s">
        <v>160</v>
      </c>
      <c r="G23" s="1068" t="s">
        <v>1815</v>
      </c>
      <c r="H23" s="1311"/>
      <c r="I23" s="990"/>
      <c r="J23" s="990"/>
      <c r="K23" s="991">
        <f t="shared" ref="K23:K31" si="8">I23*J23</f>
        <v>0</v>
      </c>
      <c r="L23" s="990"/>
      <c r="M23" s="990"/>
      <c r="N23" s="991">
        <f t="shared" ref="N23:N31" si="9">L23*M23</f>
        <v>0</v>
      </c>
      <c r="O23" s="992"/>
      <c r="P23" s="990"/>
      <c r="Q23" s="992"/>
      <c r="R23" s="994">
        <f t="shared" ref="R23:R31" si="10">P23+N23+K23</f>
        <v>0</v>
      </c>
      <c r="S23" s="1035">
        <f t="shared" ref="S23:S31" si="11">IF(F23="na","",H23*R23)</f>
        <v>0</v>
      </c>
      <c r="T23" s="1064"/>
    </row>
    <row r="24" spans="1:20" s="1063" customFormat="1" ht="51" x14ac:dyDescent="0.25">
      <c r="A24" s="1068" t="s">
        <v>1816</v>
      </c>
      <c r="B24" s="1061"/>
      <c r="C24" s="1065" t="str">
        <f>CONCATENATE('Reference documents'!B15," ::
PPP.PVP.PVS PV SUPPORT STRUCTURES
PPP.PVP.PVS.01 FOUNDATION")</f>
        <v>GRE.EEC.S.21.IT.P.18371.00.127.00 Technical Specification ::
PPP.PVP.PVS PV SUPPORT STRUCTURES
PPP.PVP.PVS.01 FOUNDATION</v>
      </c>
      <c r="D24" s="1062"/>
      <c r="E24" s="1069" t="str">
        <f>"Foundation Supply with Wind Tunnel Dimensioning (this Item is alternative to Item "&amp;A23&amp;")"</f>
        <v>Foundation Supply with Wind Tunnel Dimensioning (this Item is alternative to Item FXS2.1)</v>
      </c>
      <c r="F24" s="145" t="s">
        <v>160</v>
      </c>
      <c r="G24" s="1068" t="s">
        <v>1815</v>
      </c>
      <c r="H24" s="1311"/>
      <c r="I24" s="990"/>
      <c r="J24" s="990"/>
      <c r="K24" s="991">
        <f t="shared" si="8"/>
        <v>0</v>
      </c>
      <c r="L24" s="990"/>
      <c r="M24" s="990"/>
      <c r="N24" s="991">
        <f t="shared" si="9"/>
        <v>0</v>
      </c>
      <c r="O24" s="992"/>
      <c r="P24" s="990"/>
      <c r="Q24" s="992"/>
      <c r="R24" s="994">
        <f t="shared" si="10"/>
        <v>0</v>
      </c>
      <c r="S24" s="1035">
        <f t="shared" si="11"/>
        <v>0</v>
      </c>
      <c r="T24" s="1064"/>
    </row>
    <row r="25" spans="1:20" s="1063" customFormat="1" ht="38.25" x14ac:dyDescent="0.25">
      <c r="A25" s="1068" t="s">
        <v>1817</v>
      </c>
      <c r="B25" s="1061"/>
      <c r="C25" s="1065" t="str">
        <f>CONCATENATE('Reference documents'!B15," :
PPP.PVP.PVS PV SUPPORT STRUCTURES")</f>
        <v>GRE.EEC.S.21.IT.P.18371.00.127.00 Technical Specification :
PPP.PVP.PVS PV SUPPORT STRUCTURES</v>
      </c>
      <c r="D25" s="1062"/>
      <c r="E25" s="1069" t="s">
        <v>1818</v>
      </c>
      <c r="F25" s="145" t="s">
        <v>160</v>
      </c>
      <c r="G25" s="1068" t="s">
        <v>464</v>
      </c>
      <c r="H25" s="1311"/>
      <c r="I25" s="990"/>
      <c r="J25" s="990"/>
      <c r="K25" s="991">
        <f t="shared" si="8"/>
        <v>0</v>
      </c>
      <c r="L25" s="990"/>
      <c r="M25" s="990"/>
      <c r="N25" s="991">
        <f t="shared" si="9"/>
        <v>0</v>
      </c>
      <c r="O25" s="992"/>
      <c r="P25" s="990"/>
      <c r="Q25" s="992"/>
      <c r="R25" s="994">
        <f t="shared" si="10"/>
        <v>0</v>
      </c>
      <c r="S25" s="1035">
        <f t="shared" si="11"/>
        <v>0</v>
      </c>
      <c r="T25" s="1064"/>
    </row>
    <row r="26" spans="1:20" s="1063" customFormat="1" ht="38.25" x14ac:dyDescent="0.25">
      <c r="A26" s="1068" t="s">
        <v>1819</v>
      </c>
      <c r="B26" s="1061"/>
      <c r="C26" s="1065" t="str">
        <f>CONCATENATE('Reference documents'!B15," :
PPP.PVP.PVS PV SUPPORT STRUCTURES")</f>
        <v>GRE.EEC.S.21.IT.P.18371.00.127.00 Technical Specification :
PPP.PVP.PVS PV SUPPORT STRUCTURES</v>
      </c>
      <c r="D26" s="1062"/>
      <c r="E26" s="1069" t="str">
        <f>"Supply of Supporting Structures with Wind Tunnel Dimensioning, as per Standard distance from the Ground (50cm). This Item is alternative to Item "&amp;A25</f>
        <v>Supply of Supporting Structures with Wind Tunnel Dimensioning, as per Standard distance from the Ground (50cm). This Item is alternative to Item FXS2.3</v>
      </c>
      <c r="F26" s="145" t="s">
        <v>160</v>
      </c>
      <c r="G26" s="1068" t="s">
        <v>464</v>
      </c>
      <c r="H26" s="1311"/>
      <c r="I26" s="990"/>
      <c r="J26" s="990"/>
      <c r="K26" s="991">
        <f t="shared" si="8"/>
        <v>0</v>
      </c>
      <c r="L26" s="990"/>
      <c r="M26" s="990"/>
      <c r="N26" s="991">
        <f t="shared" si="9"/>
        <v>0</v>
      </c>
      <c r="O26" s="992"/>
      <c r="P26" s="990"/>
      <c r="Q26" s="992"/>
      <c r="R26" s="994">
        <f t="shared" si="10"/>
        <v>0</v>
      </c>
      <c r="S26" s="1035">
        <f t="shared" si="11"/>
        <v>0</v>
      </c>
      <c r="T26" s="1064"/>
    </row>
    <row r="27" spans="1:20" s="1063" customFormat="1" ht="23.25" customHeight="1" x14ac:dyDescent="0.25">
      <c r="A27" s="1068" t="s">
        <v>1820</v>
      </c>
      <c r="B27" s="1061"/>
      <c r="C27" s="1065" t="str">
        <f>'Reference documents'!B17</f>
        <v>GRE…..</v>
      </c>
      <c r="D27" s="1062"/>
      <c r="E27" s="1069" t="s">
        <v>1821</v>
      </c>
      <c r="F27" s="145" t="s">
        <v>160</v>
      </c>
      <c r="G27" s="1068" t="s">
        <v>464</v>
      </c>
      <c r="H27" s="1310">
        <v>1</v>
      </c>
      <c r="I27" s="990"/>
      <c r="J27" s="990"/>
      <c r="K27" s="991">
        <f t="shared" si="8"/>
        <v>0</v>
      </c>
      <c r="L27" s="990"/>
      <c r="M27" s="990"/>
      <c r="N27" s="991">
        <f t="shared" si="9"/>
        <v>0</v>
      </c>
      <c r="O27" s="992"/>
      <c r="P27" s="990"/>
      <c r="Q27" s="992"/>
      <c r="R27" s="994">
        <f t="shared" si="10"/>
        <v>0</v>
      </c>
      <c r="S27" s="1035">
        <f t="shared" si="11"/>
        <v>0</v>
      </c>
      <c r="T27" s="1064"/>
    </row>
    <row r="28" spans="1:20" s="1063" customFormat="1" ht="30.75" customHeight="1" x14ac:dyDescent="0.25">
      <c r="A28" s="1068" t="s">
        <v>1822</v>
      </c>
      <c r="B28" s="1061"/>
      <c r="C28" s="1065" t="str">
        <f>CONCATENATE('Reference documents'!B$15," :
PPP.PVP.WRK.02.001 PV Modules Installation")</f>
        <v>GRE.EEC.S.21.IT.P.18371.00.127.00 Technical Specification :
PPP.PVP.WRK.02.001 PV Modules Installation</v>
      </c>
      <c r="D28" s="1062"/>
      <c r="E28" s="1069" t="s">
        <v>1823</v>
      </c>
      <c r="F28" s="145" t="s">
        <v>160</v>
      </c>
      <c r="G28" s="1068" t="s">
        <v>1782</v>
      </c>
      <c r="H28" s="1310"/>
      <c r="I28" s="990"/>
      <c r="J28" s="990"/>
      <c r="K28" s="991">
        <f t="shared" si="8"/>
        <v>0</v>
      </c>
      <c r="L28" s="990"/>
      <c r="M28" s="990"/>
      <c r="N28" s="991">
        <f t="shared" si="9"/>
        <v>0</v>
      </c>
      <c r="O28" s="992"/>
      <c r="P28" s="990"/>
      <c r="Q28" s="992"/>
      <c r="R28" s="994">
        <f t="shared" si="10"/>
        <v>0</v>
      </c>
      <c r="S28" s="1035">
        <f t="shared" si="11"/>
        <v>0</v>
      </c>
      <c r="T28" s="1064"/>
    </row>
    <row r="29" spans="1:20" s="1063" customFormat="1" ht="36.75" customHeight="1" x14ac:dyDescent="0.25">
      <c r="A29" s="1068" t="s">
        <v>1824</v>
      </c>
      <c r="B29" s="1061"/>
      <c r="C29" s="1065" t="str">
        <f>CONCATENATE('Reference documents'!B$15," :
PPP.PVP.WRK.02.001 PV Modules Installation")</f>
        <v>GRE.EEC.S.21.IT.P.18371.00.127.00 Technical Specification :
PPP.PVP.WRK.02.001 PV Modules Installation</v>
      </c>
      <c r="D29" s="1062"/>
      <c r="E29" s="1069" t="s">
        <v>1783</v>
      </c>
      <c r="F29" s="145" t="s">
        <v>160</v>
      </c>
      <c r="G29" s="1068" t="s">
        <v>1782</v>
      </c>
      <c r="H29" s="1310"/>
      <c r="I29" s="990"/>
      <c r="J29" s="990"/>
      <c r="K29" s="991">
        <f t="shared" si="8"/>
        <v>0</v>
      </c>
      <c r="L29" s="990"/>
      <c r="M29" s="990"/>
      <c r="N29" s="991">
        <f t="shared" si="9"/>
        <v>0</v>
      </c>
      <c r="O29" s="992"/>
      <c r="P29" s="990"/>
      <c r="Q29" s="992"/>
      <c r="R29" s="994">
        <f t="shared" si="10"/>
        <v>0</v>
      </c>
      <c r="S29" s="1035">
        <f t="shared" si="11"/>
        <v>0</v>
      </c>
      <c r="T29" s="1064"/>
    </row>
    <row r="30" spans="1:20" s="1063" customFormat="1" ht="31.5" customHeight="1" x14ac:dyDescent="0.25">
      <c r="A30" s="1068" t="s">
        <v>1825</v>
      </c>
      <c r="B30" s="1061"/>
      <c r="C30" s="1065" t="str">
        <f>CONCATENATE('Reference documents'!B$15," :
PPP.PVP.WRK.02.001 PV Modules Installation")</f>
        <v>GRE.EEC.S.21.IT.P.18371.00.127.00 Technical Specification :
PPP.PVP.WRK.02.001 PV Modules Installation</v>
      </c>
      <c r="D30" s="1062"/>
      <c r="E30" s="1069" t="s">
        <v>1784</v>
      </c>
      <c r="F30" s="145" t="s">
        <v>160</v>
      </c>
      <c r="G30" s="1068" t="s">
        <v>1782</v>
      </c>
      <c r="H30" s="1310"/>
      <c r="I30" s="990"/>
      <c r="J30" s="990"/>
      <c r="K30" s="991">
        <f t="shared" si="8"/>
        <v>0</v>
      </c>
      <c r="L30" s="990"/>
      <c r="M30" s="990"/>
      <c r="N30" s="991">
        <f t="shared" si="9"/>
        <v>0</v>
      </c>
      <c r="O30" s="992"/>
      <c r="P30" s="990"/>
      <c r="Q30" s="992"/>
      <c r="R30" s="994">
        <f t="shared" si="10"/>
        <v>0</v>
      </c>
      <c r="S30" s="1035">
        <f t="shared" si="11"/>
        <v>0</v>
      </c>
      <c r="T30" s="1064"/>
    </row>
    <row r="31" spans="1:20" s="1063" customFormat="1" ht="30.75" customHeight="1" x14ac:dyDescent="0.25">
      <c r="A31" s="1068" t="s">
        <v>1826</v>
      </c>
      <c r="B31" s="1070"/>
      <c r="C31" s="1065" t="str">
        <f>CONCATENATE('Reference documents'!B$15," :
PPP.PVP.WRK.02.001 PV Modules Installation")</f>
        <v>GRE.EEC.S.21.IT.P.18371.00.127.00 Technical Specification :
PPP.PVP.WRK.02.001 PV Modules Installation</v>
      </c>
      <c r="D31" s="1072"/>
      <c r="E31" s="1073" t="s">
        <v>1785</v>
      </c>
      <c r="F31" s="1021" t="s">
        <v>160</v>
      </c>
      <c r="G31" s="1074" t="s">
        <v>1782</v>
      </c>
      <c r="H31" s="1313"/>
      <c r="I31" s="1055"/>
      <c r="J31" s="1055"/>
      <c r="K31" s="1056">
        <f t="shared" si="8"/>
        <v>0</v>
      </c>
      <c r="L31" s="1055"/>
      <c r="M31" s="1055"/>
      <c r="N31" s="1056">
        <f t="shared" si="9"/>
        <v>0</v>
      </c>
      <c r="O31" s="1057"/>
      <c r="P31" s="1055"/>
      <c r="Q31" s="1057"/>
      <c r="R31" s="1023">
        <f t="shared" si="10"/>
        <v>0</v>
      </c>
      <c r="S31" s="1058">
        <f t="shared" si="11"/>
        <v>0</v>
      </c>
      <c r="T31" s="1075"/>
    </row>
    <row r="32" spans="1:20" customFormat="1" ht="41.65" customHeight="1" x14ac:dyDescent="0.25">
      <c r="B32" s="1667" t="s">
        <v>96</v>
      </c>
      <c r="C32" s="1668"/>
      <c r="D32" s="1668"/>
      <c r="E32" s="1669"/>
      <c r="F32" s="1665" t="s">
        <v>154</v>
      </c>
      <c r="G32" s="1665"/>
      <c r="H32" s="1665"/>
      <c r="I32" s="1665"/>
      <c r="J32" s="1665"/>
      <c r="K32" s="1665"/>
      <c r="L32" s="1665"/>
      <c r="M32" s="1665"/>
      <c r="N32" s="1665"/>
      <c r="O32" s="1665"/>
      <c r="P32" s="1665"/>
      <c r="Q32" s="1665"/>
      <c r="R32" s="1665"/>
      <c r="S32" s="877">
        <f>SUMIF(F34:F35,"Mandatory",S34:S35)</f>
        <v>0</v>
      </c>
      <c r="T32" s="878"/>
    </row>
    <row r="33" spans="1:20" customFormat="1" ht="41.65" customHeight="1" x14ac:dyDescent="0.25">
      <c r="B33" s="1670"/>
      <c r="C33" s="1671"/>
      <c r="D33" s="1671"/>
      <c r="E33" s="1672"/>
      <c r="F33" s="1666" t="s">
        <v>156</v>
      </c>
      <c r="G33" s="1666"/>
      <c r="H33" s="1666"/>
      <c r="I33" s="1666"/>
      <c r="J33" s="1666"/>
      <c r="K33" s="1666"/>
      <c r="L33" s="1666"/>
      <c r="M33" s="1666"/>
      <c r="N33" s="1666"/>
      <c r="O33" s="1666"/>
      <c r="P33" s="1666"/>
      <c r="Q33" s="1666"/>
      <c r="R33" s="1666"/>
      <c r="S33" s="1032">
        <f>SUMIF(F34:F35,"Optional",S34:S35)</f>
        <v>0</v>
      </c>
      <c r="T33" s="1033"/>
    </row>
    <row r="34" spans="1:20" s="1063" customFormat="1" ht="30.75" customHeight="1" x14ac:dyDescent="0.25">
      <c r="A34" s="1267"/>
      <c r="B34" s="970"/>
      <c r="C34" s="1071" t="s">
        <v>262</v>
      </c>
      <c r="D34" s="1266"/>
      <c r="E34" s="973" t="s">
        <v>1827</v>
      </c>
      <c r="F34" s="1262" t="s">
        <v>160</v>
      </c>
      <c r="G34" s="1001" t="s">
        <v>1758</v>
      </c>
      <c r="H34" s="1313"/>
      <c r="I34" s="1055"/>
      <c r="J34" s="1055"/>
      <c r="K34" s="1056"/>
      <c r="L34" s="1055"/>
      <c r="M34" s="1055"/>
      <c r="N34" s="1056"/>
      <c r="O34" s="1057"/>
      <c r="P34" s="1055"/>
      <c r="Q34" s="1057"/>
      <c r="R34" s="1023"/>
      <c r="S34" s="1265"/>
      <c r="T34" s="1075"/>
    </row>
    <row r="35" spans="1:20" customFormat="1" ht="30.75" customHeight="1" x14ac:dyDescent="0.25">
      <c r="B35" s="1667" t="s">
        <v>132</v>
      </c>
      <c r="C35" s="1668"/>
      <c r="D35" s="1668"/>
      <c r="E35" s="1669"/>
      <c r="F35" s="1665" t="s">
        <v>154</v>
      </c>
      <c r="G35" s="1665"/>
      <c r="H35" s="1665"/>
      <c r="I35" s="1665"/>
      <c r="J35" s="1665"/>
      <c r="K35" s="1665"/>
      <c r="L35" s="1665"/>
      <c r="M35" s="1665"/>
      <c r="N35" s="1665"/>
      <c r="O35" s="1665"/>
      <c r="P35" s="1665"/>
      <c r="Q35" s="1665"/>
      <c r="R35" s="1665"/>
      <c r="S35" s="877">
        <f>SUMIF(F37:F37,"Mandatory",S37:S37)</f>
        <v>0</v>
      </c>
      <c r="T35" s="878"/>
    </row>
    <row r="36" spans="1:20" customFormat="1" ht="30.75" customHeight="1" x14ac:dyDescent="0.25">
      <c r="B36" s="1670"/>
      <c r="C36" s="1671"/>
      <c r="D36" s="1671"/>
      <c r="E36" s="1672"/>
      <c r="F36" s="1666" t="s">
        <v>156</v>
      </c>
      <c r="G36" s="1666"/>
      <c r="H36" s="1666"/>
      <c r="I36" s="1666"/>
      <c r="J36" s="1666"/>
      <c r="K36" s="1666"/>
      <c r="L36" s="1666"/>
      <c r="M36" s="1666"/>
      <c r="N36" s="1666"/>
      <c r="O36" s="1666"/>
      <c r="P36" s="1666"/>
      <c r="Q36" s="1666"/>
      <c r="R36" s="1666"/>
      <c r="S36" s="1032">
        <f>SUMIF(F37:F37,"Optional",S37:S37)</f>
        <v>0</v>
      </c>
      <c r="T36" s="1033"/>
    </row>
    <row r="37" spans="1:20" s="1010" customFormat="1" ht="30.75" customHeight="1" x14ac:dyDescent="0.2">
      <c r="A37" s="1006"/>
      <c r="B37" s="692"/>
      <c r="C37" s="964" t="str">
        <f>'Reference documents'!B17</f>
        <v>GRE…..</v>
      </c>
      <c r="D37" s="401"/>
      <c r="E37" s="1238" t="s">
        <v>1795</v>
      </c>
      <c r="F37" s="145" t="s">
        <v>167</v>
      </c>
      <c r="G37" s="1230" t="s">
        <v>1749</v>
      </c>
      <c r="H37" s="1304">
        <v>1</v>
      </c>
      <c r="I37" s="990"/>
      <c r="J37" s="990"/>
      <c r="K37" s="991">
        <f>I37*J37</f>
        <v>0</v>
      </c>
      <c r="L37" s="990"/>
      <c r="M37" s="990"/>
      <c r="N37" s="991"/>
      <c r="O37" s="992"/>
      <c r="P37" s="990"/>
      <c r="Q37" s="992"/>
      <c r="R37" s="994">
        <f>P37+N37+K37</f>
        <v>0</v>
      </c>
      <c r="S37" s="994">
        <f>H37*R37</f>
        <v>0</v>
      </c>
      <c r="T37" s="1001"/>
    </row>
  </sheetData>
  <autoFilter ref="A4:T37" xr:uid="{F23A3C27-64ED-4A25-AE71-290519F254EA}">
    <filterColumn colId="8" showButton="0"/>
    <filterColumn colId="9" showButton="0"/>
    <filterColumn colId="11" showButton="0"/>
    <filterColumn colId="12" showButton="0"/>
    <filterColumn colId="13" showButton="0"/>
    <filterColumn colId="15" showButton="0"/>
  </autoFilter>
  <mergeCells count="29">
    <mergeCell ref="T4:T5"/>
    <mergeCell ref="S4:S5"/>
    <mergeCell ref="R4:R5"/>
    <mergeCell ref="C4:C5"/>
    <mergeCell ref="B4:B5"/>
    <mergeCell ref="E4:E5"/>
    <mergeCell ref="D4:D5"/>
    <mergeCell ref="I4:K4"/>
    <mergeCell ref="L4:O4"/>
    <mergeCell ref="P4:Q4"/>
    <mergeCell ref="H4:H5"/>
    <mergeCell ref="G4:G5"/>
    <mergeCell ref="F4:F5"/>
    <mergeCell ref="B22:E22"/>
    <mergeCell ref="B6:E7"/>
    <mergeCell ref="B16:E17"/>
    <mergeCell ref="B20:E21"/>
    <mergeCell ref="F20:R20"/>
    <mergeCell ref="F21:R21"/>
    <mergeCell ref="F6:R6"/>
    <mergeCell ref="F7:R7"/>
    <mergeCell ref="F16:R16"/>
    <mergeCell ref="F17:R17"/>
    <mergeCell ref="B35:E36"/>
    <mergeCell ref="F35:R35"/>
    <mergeCell ref="F36:R36"/>
    <mergeCell ref="B32:E33"/>
    <mergeCell ref="F32:R32"/>
    <mergeCell ref="F33:R33"/>
  </mergeCells>
  <dataValidations count="2">
    <dataValidation type="list" allowBlank="1" showInputMessage="1" showErrorMessage="1" sqref="F18:F19 F8:F15 F37 F23:F31 F34" xr:uid="{51DF0C3C-71B9-4852-81B4-6826220417D8}">
      <formula1>"Mandatory,Optional,NA"</formula1>
    </dataValidation>
    <dataValidation type="decimal" operator="greaterThanOrEqual" allowBlank="1" showInputMessage="1" showErrorMessage="1" sqref="L8:M15" xr:uid="{CC4A8151-AC10-4A41-9EDD-6DCC3E92BF2F}">
      <formula1>0</formula1>
    </dataValidation>
  </dataValidations>
  <pageMargins left="0.7" right="0.7" top="0.75" bottom="0.75" header="0.3" footer="0.3"/>
  <pageSetup paperSize="9" orientation="portrait" r:id="rId1"/>
  <headerFooter>
    <oddHeader>&amp;C&amp;"Arial"&amp;8&amp;K000000INTERNAL&amp;1#</oddHead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CF4B6-3B76-4CE5-90F0-D5D2DB217819}">
  <sheetPr>
    <tabColor rgb="FFFFFF00"/>
  </sheetPr>
  <dimension ref="A2:T48"/>
  <sheetViews>
    <sheetView zoomScaleNormal="100" workbookViewId="0">
      <selection activeCell="D15" sqref="D15"/>
    </sheetView>
  </sheetViews>
  <sheetFormatPr defaultColWidth="9.28515625" defaultRowHeight="12.75" x14ac:dyDescent="0.25"/>
  <cols>
    <col min="1" max="1" width="10.42578125" style="259" bestFit="1" customWidth="1"/>
    <col min="2" max="2" width="11.28515625" style="264" bestFit="1" customWidth="1"/>
    <col min="3" max="3" width="73.42578125" style="264" bestFit="1" customWidth="1"/>
    <col min="4" max="4" width="13.7109375" style="259" bestFit="1" customWidth="1"/>
    <col min="5" max="5" width="38.28515625" style="264" customWidth="1"/>
    <col min="6" max="14" width="13.5703125" style="264" customWidth="1"/>
    <col min="15" max="15" width="17.28515625" style="264" customWidth="1"/>
    <col min="16" max="16" width="18.42578125" style="264" customWidth="1"/>
    <col min="17" max="17" width="13.42578125" style="259" hidden="1" customWidth="1"/>
    <col min="18" max="18" width="9.28515625" style="259"/>
    <col min="19" max="19" width="14.42578125" style="259" bestFit="1" customWidth="1"/>
    <col min="20" max="16384" width="9.28515625" style="264"/>
  </cols>
  <sheetData>
    <row r="2" spans="1:20" s="171" customFormat="1" ht="15.75" x14ac:dyDescent="0.2">
      <c r="A2" s="525"/>
      <c r="B2" s="124"/>
      <c r="C2" s="20"/>
      <c r="D2" s="20"/>
      <c r="E2" s="21" t="s">
        <v>1828</v>
      </c>
      <c r="F2" s="23"/>
      <c r="G2" s="22"/>
      <c r="H2" s="22"/>
      <c r="I2" s="22"/>
      <c r="J2" s="22"/>
      <c r="K2" s="22"/>
      <c r="L2" s="22"/>
      <c r="M2" s="22"/>
      <c r="N2" s="22"/>
      <c r="O2" s="22"/>
      <c r="P2" s="22"/>
      <c r="Q2" s="22"/>
      <c r="R2" s="22"/>
      <c r="S2" s="22"/>
      <c r="T2" s="22"/>
    </row>
    <row r="3" spans="1:20" s="171" customFormat="1" ht="15.75" thickBot="1" x14ac:dyDescent="0.25">
      <c r="A3" s="524"/>
      <c r="B3" s="121"/>
      <c r="C3" s="26"/>
      <c r="D3" s="26"/>
      <c r="E3" s="28"/>
      <c r="F3" s="30"/>
      <c r="G3" s="29"/>
      <c r="H3" s="29"/>
    </row>
    <row r="4" spans="1:20" s="172" customFormat="1" ht="35.25" customHeight="1" thickBot="1" x14ac:dyDescent="0.3">
      <c r="A4" s="526"/>
      <c r="B4" s="528" t="s">
        <v>186</v>
      </c>
      <c r="C4" s="32" t="s">
        <v>136</v>
      </c>
      <c r="D4" s="32" t="s">
        <v>137</v>
      </c>
      <c r="E4" s="32" t="s">
        <v>187</v>
      </c>
      <c r="F4" s="90" t="s">
        <v>139</v>
      </c>
      <c r="G4" s="33" t="s">
        <v>140</v>
      </c>
      <c r="H4" s="91" t="s">
        <v>141</v>
      </c>
      <c r="I4" s="1690" t="s">
        <v>142</v>
      </c>
      <c r="J4" s="1691"/>
      <c r="K4" s="1692"/>
      <c r="L4" s="1690" t="s">
        <v>143</v>
      </c>
      <c r="M4" s="1691"/>
      <c r="N4" s="1691"/>
      <c r="O4" s="1692"/>
      <c r="P4" s="1690" t="s">
        <v>144</v>
      </c>
      <c r="Q4" s="1692"/>
      <c r="R4" s="91" t="s">
        <v>145</v>
      </c>
      <c r="S4" s="91" t="s">
        <v>146</v>
      </c>
      <c r="T4" s="529" t="s">
        <v>147</v>
      </c>
    </row>
    <row r="5" spans="1:20" s="172" customFormat="1" ht="24.75" customHeight="1" thickBot="1" x14ac:dyDescent="0.3">
      <c r="A5" s="526"/>
      <c r="B5" s="530"/>
      <c r="C5" s="531"/>
      <c r="D5" s="531"/>
      <c r="E5" s="531"/>
      <c r="F5" s="532"/>
      <c r="G5" s="533"/>
      <c r="H5" s="533"/>
      <c r="I5" s="534" t="s">
        <v>148</v>
      </c>
      <c r="J5" s="534" t="s">
        <v>149</v>
      </c>
      <c r="K5" s="534" t="s">
        <v>150</v>
      </c>
      <c r="L5" s="534" t="s">
        <v>148</v>
      </c>
      <c r="M5" s="534" t="s">
        <v>149</v>
      </c>
      <c r="N5" s="534" t="s">
        <v>150</v>
      </c>
      <c r="O5" s="534" t="s">
        <v>151</v>
      </c>
      <c r="P5" s="534" t="s">
        <v>150</v>
      </c>
      <c r="Q5" s="534" t="s">
        <v>152</v>
      </c>
      <c r="R5" s="533"/>
      <c r="S5" s="533"/>
      <c r="T5" s="535"/>
    </row>
    <row r="6" spans="1:20" s="172" customFormat="1" ht="24.75" customHeight="1" x14ac:dyDescent="0.25">
      <c r="A6" s="526"/>
      <c r="B6" s="536"/>
      <c r="C6" s="109"/>
      <c r="D6" s="109"/>
      <c r="E6" s="109"/>
      <c r="F6" s="110"/>
      <c r="G6" s="523"/>
      <c r="H6" s="523"/>
      <c r="I6" s="523"/>
      <c r="J6" s="523"/>
      <c r="K6" s="523"/>
      <c r="L6" s="523"/>
      <c r="M6" s="523"/>
      <c r="N6" s="523"/>
      <c r="O6" s="523"/>
      <c r="P6" s="523"/>
      <c r="Q6" s="111"/>
      <c r="R6" s="111"/>
      <c r="S6" s="111"/>
      <c r="T6" s="109"/>
    </row>
    <row r="7" spans="1:20" ht="22.5" customHeight="1" x14ac:dyDescent="0.25">
      <c r="A7" s="268" t="s">
        <v>1829</v>
      </c>
      <c r="C7" s="269"/>
      <c r="D7" s="1687" t="s">
        <v>1705</v>
      </c>
      <c r="E7" s="1688"/>
      <c r="F7" s="1688"/>
      <c r="G7" s="1688"/>
      <c r="H7" s="1688"/>
      <c r="I7" s="1688"/>
      <c r="J7" s="1688"/>
      <c r="K7" s="1688"/>
      <c r="L7" s="1688"/>
      <c r="M7" s="1688"/>
      <c r="N7" s="1688"/>
      <c r="O7" s="1688"/>
      <c r="P7" s="1688"/>
      <c r="Q7" s="1688"/>
      <c r="R7" s="1688"/>
      <c r="S7" s="1688"/>
      <c r="T7" s="1689"/>
    </row>
    <row r="8" spans="1:20" ht="22.5" customHeight="1" x14ac:dyDescent="0.25">
      <c r="A8" s="276" t="str">
        <f>$A$7&amp;"."&amp;COUNTA($C$8:C8)</f>
        <v>TKI2.0</v>
      </c>
      <c r="C8" s="278"/>
      <c r="E8" s="277" t="s">
        <v>1830</v>
      </c>
      <c r="G8" s="278" t="s">
        <v>1292</v>
      </c>
      <c r="H8" s="302"/>
      <c r="I8" s="303"/>
      <c r="J8" s="303"/>
      <c r="K8" s="304">
        <f t="shared" ref="K8:K11" si="0">I8*J8</f>
        <v>0</v>
      </c>
      <c r="L8" s="303"/>
      <c r="M8" s="303"/>
      <c r="N8" s="304">
        <f t="shared" ref="N8:N11" si="1">L8*M8</f>
        <v>0</v>
      </c>
      <c r="O8" s="305"/>
      <c r="P8" s="303"/>
      <c r="Q8" s="305"/>
      <c r="R8" s="306">
        <f t="shared" ref="R8:R11" si="2">P8+N8+K8</f>
        <v>0</v>
      </c>
      <c r="S8" s="281">
        <f t="shared" ref="S8:S11" si="3">+H8*R8</f>
        <v>0</v>
      </c>
      <c r="T8" s="282"/>
    </row>
    <row r="9" spans="1:20" ht="22.5" customHeight="1" x14ac:dyDescent="0.25">
      <c r="A9" s="276" t="str">
        <f>$A$7&amp;"."&amp;COUNTA($C$8:C9)</f>
        <v>TKI2.0</v>
      </c>
      <c r="C9" s="278"/>
      <c r="E9" s="277" t="s">
        <v>1709</v>
      </c>
      <c r="G9" s="278" t="s">
        <v>1710</v>
      </c>
      <c r="H9" s="302"/>
      <c r="I9" s="303"/>
      <c r="J9" s="303"/>
      <c r="K9" s="304">
        <f t="shared" si="0"/>
        <v>0</v>
      </c>
      <c r="L9" s="303"/>
      <c r="M9" s="303"/>
      <c r="N9" s="304">
        <f t="shared" si="1"/>
        <v>0</v>
      </c>
      <c r="O9" s="305"/>
      <c r="P9" s="303"/>
      <c r="Q9" s="305"/>
      <c r="R9" s="306">
        <f t="shared" si="2"/>
        <v>0</v>
      </c>
      <c r="S9" s="281">
        <f t="shared" si="3"/>
        <v>0</v>
      </c>
      <c r="T9" s="282"/>
    </row>
    <row r="10" spans="1:20" ht="38.25" x14ac:dyDescent="0.25">
      <c r="A10" s="276" t="str">
        <f>$A$7&amp;"."&amp;COUNTA($C$8:C10)</f>
        <v>TKI2.0</v>
      </c>
      <c r="C10" s="278"/>
      <c r="E10" s="277" t="s">
        <v>1711</v>
      </c>
      <c r="G10" s="278" t="s">
        <v>141</v>
      </c>
      <c r="H10" s="302"/>
      <c r="I10" s="303"/>
      <c r="J10" s="303"/>
      <c r="K10" s="304">
        <f t="shared" si="0"/>
        <v>0</v>
      </c>
      <c r="L10" s="303"/>
      <c r="M10" s="303"/>
      <c r="N10" s="304">
        <f t="shared" si="1"/>
        <v>0</v>
      </c>
      <c r="O10" s="305"/>
      <c r="P10" s="303"/>
      <c r="Q10" s="305"/>
      <c r="R10" s="306">
        <f t="shared" si="2"/>
        <v>0</v>
      </c>
      <c r="S10" s="281">
        <f t="shared" si="3"/>
        <v>0</v>
      </c>
      <c r="T10" s="282"/>
    </row>
    <row r="11" spans="1:20" ht="51" x14ac:dyDescent="0.25">
      <c r="A11" s="276" t="str">
        <f>$A$7&amp;"."&amp;COUNTA($C$8:C11)</f>
        <v>TKI2.0</v>
      </c>
      <c r="C11" s="278"/>
      <c r="E11" s="277" t="s">
        <v>1831</v>
      </c>
      <c r="G11" s="278" t="s">
        <v>464</v>
      </c>
      <c r="H11" s="302"/>
      <c r="I11" s="303"/>
      <c r="J11" s="303"/>
      <c r="K11" s="304">
        <f t="shared" si="0"/>
        <v>0</v>
      </c>
      <c r="L11" s="303"/>
      <c r="M11" s="303"/>
      <c r="N11" s="304">
        <f t="shared" si="1"/>
        <v>0</v>
      </c>
      <c r="O11" s="305"/>
      <c r="P11" s="303"/>
      <c r="Q11" s="305"/>
      <c r="R11" s="306">
        <f t="shared" si="2"/>
        <v>0</v>
      </c>
      <c r="S11" s="281">
        <f t="shared" si="3"/>
        <v>0</v>
      </c>
      <c r="T11" s="282"/>
    </row>
    <row r="12" spans="1:20" s="275" customFormat="1" ht="30" customHeight="1" x14ac:dyDescent="0.25">
      <c r="A12" s="268" t="s">
        <v>1832</v>
      </c>
      <c r="C12" s="269"/>
      <c r="D12" s="1687" t="s">
        <v>1546</v>
      </c>
      <c r="E12" s="1688"/>
      <c r="F12" s="1688"/>
      <c r="G12" s="1688"/>
      <c r="H12" s="1688"/>
      <c r="I12" s="1688"/>
      <c r="J12" s="1688"/>
      <c r="K12" s="1688"/>
      <c r="L12" s="1688"/>
      <c r="M12" s="1688"/>
      <c r="N12" s="1688"/>
      <c r="O12" s="1688"/>
      <c r="P12" s="1688"/>
      <c r="Q12" s="1688"/>
      <c r="R12" s="1688"/>
      <c r="S12" s="1688"/>
      <c r="T12" s="1689"/>
    </row>
    <row r="13" spans="1:20" s="275" customFormat="1" ht="15" x14ac:dyDescent="0.25">
      <c r="A13" s="276" t="str">
        <f>$A$12&amp;"."&amp;COUNTA($C$13:C13)</f>
        <v>TKI3.1</v>
      </c>
      <c r="C13" s="278" t="s">
        <v>4</v>
      </c>
      <c r="E13" s="277" t="s">
        <v>1833</v>
      </c>
      <c r="G13" s="278" t="s">
        <v>164</v>
      </c>
      <c r="H13" s="307"/>
      <c r="I13" s="303"/>
      <c r="J13" s="303"/>
      <c r="K13" s="304">
        <f t="shared" ref="K13" si="4">I13*J13</f>
        <v>0</v>
      </c>
      <c r="L13" s="303"/>
      <c r="M13" s="303"/>
      <c r="N13" s="304">
        <f t="shared" ref="N13" si="5">L13*M13</f>
        <v>0</v>
      </c>
      <c r="O13" s="305"/>
      <c r="P13" s="303"/>
      <c r="Q13" s="305"/>
      <c r="R13" s="306">
        <f t="shared" ref="R13" si="6">P13+N13+K13</f>
        <v>0</v>
      </c>
      <c r="S13" s="281">
        <f t="shared" ref="S13" si="7">+H13*R13</f>
        <v>0</v>
      </c>
      <c r="T13" s="282"/>
    </row>
    <row r="14" spans="1:20" ht="15" customHeight="1" x14ac:dyDescent="0.25">
      <c r="A14" s="261"/>
      <c r="C14" s="261"/>
      <c r="E14" s="261"/>
      <c r="G14" s="261"/>
      <c r="H14" s="261"/>
      <c r="I14" s="261"/>
      <c r="J14" s="261"/>
      <c r="K14" s="261"/>
      <c r="L14" s="261"/>
      <c r="M14" s="261"/>
      <c r="N14" s="261"/>
      <c r="O14" s="261"/>
      <c r="P14" s="261"/>
      <c r="Q14" s="261"/>
      <c r="R14" s="261"/>
      <c r="S14" s="261"/>
      <c r="T14" s="261"/>
    </row>
    <row r="15" spans="1:20" ht="31.5" customHeight="1" x14ac:dyDescent="0.25">
      <c r="A15" s="261" t="s">
        <v>854</v>
      </c>
      <c r="C15" s="298">
        <v>0</v>
      </c>
      <c r="E15" s="262" t="s">
        <v>1834</v>
      </c>
      <c r="G15" s="308" t="e">
        <f>+IF(COUNTIF(#REF!,"=B")&gt;0,"BASE","OPTIONAL")</f>
        <v>#REF!</v>
      </c>
      <c r="H15" s="299" t="str">
        <f>C15&amp;" Quantity"</f>
        <v>0 Quantity</v>
      </c>
      <c r="I15" s="484" t="s">
        <v>142</v>
      </c>
      <c r="J15" s="485">
        <v>0</v>
      </c>
      <c r="K15" s="486">
        <v>0</v>
      </c>
      <c r="L15" s="487" t="s">
        <v>143</v>
      </c>
      <c r="M15" s="485"/>
      <c r="N15" s="485"/>
      <c r="O15" s="486"/>
      <c r="P15" s="487" t="s">
        <v>144</v>
      </c>
      <c r="Q15" s="486"/>
      <c r="R15" s="488" t="s">
        <v>856</v>
      </c>
      <c r="S15" s="488"/>
      <c r="T15" s="482" t="s">
        <v>4</v>
      </c>
    </row>
    <row r="16" spans="1:20" ht="42" customHeight="1" x14ac:dyDescent="0.25">
      <c r="A16" s="265" t="s">
        <v>860</v>
      </c>
      <c r="C16" s="266" t="s">
        <v>1835</v>
      </c>
      <c r="E16" s="266" t="s">
        <v>138</v>
      </c>
      <c r="G16" s="267" t="s">
        <v>338</v>
      </c>
      <c r="H16" s="266" t="s">
        <v>864</v>
      </c>
      <c r="I16" s="300" t="s">
        <v>148</v>
      </c>
      <c r="J16" s="301" t="s">
        <v>149</v>
      </c>
      <c r="K16" s="301" t="s">
        <v>150</v>
      </c>
      <c r="L16" s="301" t="s">
        <v>148</v>
      </c>
      <c r="M16" s="301" t="s">
        <v>149</v>
      </c>
      <c r="N16" s="301" t="s">
        <v>150</v>
      </c>
      <c r="O16" s="301" t="s">
        <v>151</v>
      </c>
      <c r="P16" s="301" t="s">
        <v>150</v>
      </c>
      <c r="Q16" s="301" t="s">
        <v>152</v>
      </c>
      <c r="R16" s="267" t="s">
        <v>865</v>
      </c>
      <c r="S16" s="266" t="s">
        <v>133</v>
      </c>
      <c r="T16" s="483"/>
    </row>
    <row r="17" spans="1:20" s="275" customFormat="1" ht="15" customHeight="1" x14ac:dyDescent="0.25">
      <c r="A17" s="268" t="s">
        <v>1836</v>
      </c>
      <c r="C17" s="269"/>
      <c r="D17" s="1687" t="s">
        <v>1837</v>
      </c>
      <c r="E17" s="1688"/>
      <c r="F17" s="1688"/>
      <c r="G17" s="1688"/>
      <c r="H17" s="1688"/>
      <c r="I17" s="1688"/>
      <c r="J17" s="1688"/>
      <c r="K17" s="1688"/>
      <c r="L17" s="1688"/>
      <c r="M17" s="1688"/>
      <c r="N17" s="1688"/>
      <c r="O17" s="1688"/>
      <c r="P17" s="1688"/>
      <c r="Q17" s="1688"/>
      <c r="R17" s="1688"/>
      <c r="S17" s="1688"/>
      <c r="T17" s="1688"/>
    </row>
    <row r="18" spans="1:20" ht="15" customHeight="1" x14ac:dyDescent="0.25">
      <c r="A18" s="268" t="s">
        <v>1838</v>
      </c>
      <c r="C18" s="269"/>
      <c r="D18" s="1687" t="s">
        <v>1839</v>
      </c>
      <c r="E18" s="1688"/>
      <c r="F18" s="1688"/>
      <c r="G18" s="1688"/>
      <c r="H18" s="1688"/>
      <c r="I18" s="1688"/>
      <c r="J18" s="1688"/>
      <c r="K18" s="1688"/>
      <c r="L18" s="1688"/>
      <c r="M18" s="1688"/>
      <c r="N18" s="1688"/>
      <c r="O18" s="1688"/>
      <c r="P18" s="1688"/>
      <c r="Q18" s="1688"/>
      <c r="R18" s="1688"/>
      <c r="S18" s="1688"/>
      <c r="T18" s="1689"/>
    </row>
    <row r="19" spans="1:20" ht="15" customHeight="1" x14ac:dyDescent="0.25">
      <c r="A19" s="276" t="str">
        <f>$A$18&amp;"."&amp;COUNTA($C$19:C19)</f>
        <v>TKS1.1</v>
      </c>
      <c r="C19" s="278" t="s">
        <v>1840</v>
      </c>
      <c r="E19" s="292" t="s">
        <v>1841</v>
      </c>
      <c r="G19" s="278" t="s">
        <v>464</v>
      </c>
      <c r="H19" s="309">
        <v>1</v>
      </c>
      <c r="I19" s="303"/>
      <c r="J19" s="303"/>
      <c r="K19" s="304">
        <f t="shared" ref="K19:K25" si="8">I19*J19</f>
        <v>0</v>
      </c>
      <c r="L19" s="303"/>
      <c r="M19" s="303"/>
      <c r="N19" s="304">
        <f t="shared" ref="N19:N25" si="9">L19*M19</f>
        <v>0</v>
      </c>
      <c r="O19" s="305"/>
      <c r="P19" s="303"/>
      <c r="Q19" s="305"/>
      <c r="R19" s="306">
        <f t="shared" ref="R19:R40" si="10">P19+N19+K19</f>
        <v>0</v>
      </c>
      <c r="S19" s="281">
        <f t="shared" ref="S19:S25" si="11">H19*R19</f>
        <v>0</v>
      </c>
      <c r="T19" s="282" t="e">
        <v>#N/A</v>
      </c>
    </row>
    <row r="20" spans="1:20" ht="15" x14ac:dyDescent="0.25">
      <c r="A20" s="276" t="str">
        <f>$A$18&amp;"."&amp;COUNTA($C$19:C20)</f>
        <v>TKS1.2</v>
      </c>
      <c r="C20" s="278" t="s">
        <v>1839</v>
      </c>
      <c r="E20" s="292" t="s">
        <v>1842</v>
      </c>
      <c r="G20" s="278" t="s">
        <v>464</v>
      </c>
      <c r="H20" s="309">
        <v>1</v>
      </c>
      <c r="I20" s="303"/>
      <c r="J20" s="303"/>
      <c r="K20" s="304">
        <f t="shared" si="8"/>
        <v>0</v>
      </c>
      <c r="L20" s="303"/>
      <c r="M20" s="303"/>
      <c r="N20" s="304">
        <f t="shared" si="9"/>
        <v>0</v>
      </c>
      <c r="O20" s="305"/>
      <c r="P20" s="303"/>
      <c r="Q20" s="305"/>
      <c r="R20" s="306">
        <f t="shared" si="10"/>
        <v>0</v>
      </c>
      <c r="S20" s="281">
        <f t="shared" si="11"/>
        <v>0</v>
      </c>
      <c r="T20" s="282" t="e">
        <v>#N/A</v>
      </c>
    </row>
    <row r="21" spans="1:20" ht="15" x14ac:dyDescent="0.25">
      <c r="A21" s="276" t="str">
        <f>$A$18&amp;"."&amp;COUNTA($C$19:C21)</f>
        <v>TKS1.3</v>
      </c>
      <c r="C21" s="278" t="s">
        <v>1717</v>
      </c>
      <c r="E21" s="292" t="s">
        <v>1843</v>
      </c>
      <c r="G21" s="278" t="s">
        <v>464</v>
      </c>
      <c r="H21" s="309">
        <v>1</v>
      </c>
      <c r="I21" s="303"/>
      <c r="J21" s="303"/>
      <c r="K21" s="304">
        <f t="shared" si="8"/>
        <v>0</v>
      </c>
      <c r="L21" s="303"/>
      <c r="M21" s="303"/>
      <c r="N21" s="304">
        <f t="shared" si="9"/>
        <v>0</v>
      </c>
      <c r="O21" s="305"/>
      <c r="P21" s="303"/>
      <c r="Q21" s="305"/>
      <c r="R21" s="306">
        <f t="shared" si="10"/>
        <v>0</v>
      </c>
      <c r="S21" s="281">
        <f t="shared" si="11"/>
        <v>0</v>
      </c>
      <c r="T21" s="282" t="e">
        <v>#N/A</v>
      </c>
    </row>
    <row r="22" spans="1:20" ht="15" customHeight="1" x14ac:dyDescent="0.25">
      <c r="A22" s="276" t="str">
        <f>$A$18&amp;"."&amp;COUNTA($C$19:C22)</f>
        <v>TKS1.4</v>
      </c>
      <c r="C22" s="291" t="s">
        <v>1747</v>
      </c>
      <c r="D22" s="793"/>
      <c r="E22" s="794" t="s">
        <v>1844</v>
      </c>
      <c r="G22" s="278" t="s">
        <v>464</v>
      </c>
      <c r="H22" s="309">
        <v>1</v>
      </c>
      <c r="I22" s="303"/>
      <c r="J22" s="303"/>
      <c r="K22" s="304">
        <f t="shared" si="8"/>
        <v>0</v>
      </c>
      <c r="L22" s="303"/>
      <c r="M22" s="303"/>
      <c r="N22" s="304">
        <f t="shared" si="9"/>
        <v>0</v>
      </c>
      <c r="O22" s="305"/>
      <c r="P22" s="303"/>
      <c r="Q22" s="305"/>
      <c r="R22" s="306">
        <f t="shared" si="10"/>
        <v>0</v>
      </c>
      <c r="S22" s="281">
        <f t="shared" si="11"/>
        <v>0</v>
      </c>
      <c r="T22" s="282" t="e">
        <v>#N/A</v>
      </c>
    </row>
    <row r="23" spans="1:20" ht="27.75" customHeight="1" x14ac:dyDescent="0.25">
      <c r="A23" s="276" t="str">
        <f>$A$18&amp;"."&amp;COUNTA($C$19:C23)</f>
        <v>TKS1.5</v>
      </c>
      <c r="C23" s="291" t="s">
        <v>1747</v>
      </c>
      <c r="D23" s="793"/>
      <c r="E23" s="794" t="s">
        <v>1845</v>
      </c>
      <c r="G23" s="278" t="s">
        <v>464</v>
      </c>
      <c r="H23" s="309">
        <v>1</v>
      </c>
      <c r="I23" s="303"/>
      <c r="J23" s="303"/>
      <c r="K23" s="304">
        <f t="shared" si="8"/>
        <v>0</v>
      </c>
      <c r="L23" s="303"/>
      <c r="M23" s="303"/>
      <c r="N23" s="304">
        <f t="shared" si="9"/>
        <v>0</v>
      </c>
      <c r="O23" s="305"/>
      <c r="P23" s="303"/>
      <c r="Q23" s="305"/>
      <c r="R23" s="306">
        <f t="shared" si="10"/>
        <v>0</v>
      </c>
      <c r="S23" s="281">
        <f t="shared" si="11"/>
        <v>0</v>
      </c>
      <c r="T23" s="282" t="e">
        <v>#N/A</v>
      </c>
    </row>
    <row r="24" spans="1:20" ht="38.25" x14ac:dyDescent="0.25">
      <c r="A24" s="276" t="str">
        <f>$A$18&amp;"."&amp;COUNTA($C$19:C24)</f>
        <v>TKS1.6</v>
      </c>
      <c r="C24" s="278" t="s">
        <v>122</v>
      </c>
      <c r="E24" s="292" t="s">
        <v>1807</v>
      </c>
      <c r="G24" s="278" t="s">
        <v>464</v>
      </c>
      <c r="H24" s="309">
        <v>1</v>
      </c>
      <c r="I24" s="303"/>
      <c r="J24" s="303"/>
      <c r="K24" s="304">
        <f t="shared" si="8"/>
        <v>0</v>
      </c>
      <c r="L24" s="303"/>
      <c r="M24" s="303"/>
      <c r="N24" s="304">
        <f t="shared" si="9"/>
        <v>0</v>
      </c>
      <c r="O24" s="305"/>
      <c r="P24" s="303"/>
      <c r="Q24" s="305"/>
      <c r="R24" s="306">
        <f t="shared" si="10"/>
        <v>0</v>
      </c>
      <c r="S24" s="281">
        <f t="shared" si="11"/>
        <v>0</v>
      </c>
      <c r="T24" s="282" t="e">
        <v>#N/A</v>
      </c>
    </row>
    <row r="25" spans="1:20" ht="15" customHeight="1" x14ac:dyDescent="0.25">
      <c r="A25" s="276" t="str">
        <f>$A$18&amp;"."&amp;COUNTA($C$19:C25)</f>
        <v>TKS1.7</v>
      </c>
      <c r="C25" s="291" t="s">
        <v>1293</v>
      </c>
      <c r="E25" s="292" t="s">
        <v>1809</v>
      </c>
      <c r="G25" s="278" t="s">
        <v>141</v>
      </c>
      <c r="H25" s="279"/>
      <c r="I25" s="303"/>
      <c r="J25" s="303"/>
      <c r="K25" s="304">
        <f t="shared" si="8"/>
        <v>0</v>
      </c>
      <c r="L25" s="303"/>
      <c r="M25" s="303"/>
      <c r="N25" s="304">
        <f t="shared" si="9"/>
        <v>0</v>
      </c>
      <c r="O25" s="305"/>
      <c r="P25" s="303"/>
      <c r="Q25" s="305"/>
      <c r="R25" s="306">
        <f t="shared" si="10"/>
        <v>0</v>
      </c>
      <c r="S25" s="281">
        <f t="shared" si="11"/>
        <v>0</v>
      </c>
      <c r="T25" s="282" t="e">
        <v>#N/A</v>
      </c>
    </row>
    <row r="26" spans="1:20" ht="15" customHeight="1" x14ac:dyDescent="0.25">
      <c r="A26" s="268" t="s">
        <v>1846</v>
      </c>
      <c r="C26" s="269"/>
      <c r="E26" s="270" t="s">
        <v>1812</v>
      </c>
      <c r="G26" s="269"/>
      <c r="H26" s="271"/>
      <c r="I26" s="271"/>
      <c r="J26" s="271"/>
      <c r="K26" s="271"/>
      <c r="L26" s="271"/>
      <c r="M26" s="271"/>
      <c r="N26" s="271"/>
      <c r="O26" s="271"/>
      <c r="P26" s="271"/>
      <c r="Q26" s="271"/>
      <c r="R26" s="285"/>
      <c r="S26" s="285"/>
      <c r="T26" s="273"/>
    </row>
    <row r="27" spans="1:20" s="275" customFormat="1" ht="15" x14ac:dyDescent="0.25">
      <c r="A27" s="310" t="str">
        <f>$A$26&amp;"."&amp;COUNTA($C$27:C27)</f>
        <v>TKS2.1</v>
      </c>
      <c r="C27" s="291" t="s">
        <v>1293</v>
      </c>
      <c r="E27" s="292" t="s">
        <v>1814</v>
      </c>
      <c r="G27" s="312" t="s">
        <v>1847</v>
      </c>
      <c r="H27" s="297"/>
      <c r="I27" s="303"/>
      <c r="J27" s="303"/>
      <c r="K27" s="304">
        <f t="shared" ref="K27:K35" si="12">I27*J27</f>
        <v>0</v>
      </c>
      <c r="L27" s="303"/>
      <c r="M27" s="303"/>
      <c r="N27" s="304">
        <f t="shared" ref="N27:N35" si="13">L27*M27</f>
        <v>0</v>
      </c>
      <c r="O27" s="305"/>
      <c r="P27" s="303"/>
      <c r="Q27" s="305"/>
      <c r="R27" s="306">
        <f t="shared" si="10"/>
        <v>0</v>
      </c>
      <c r="S27" s="313">
        <f t="shared" ref="S27:S35" si="14">H27*R27</f>
        <v>0</v>
      </c>
      <c r="T27" s="314" t="e">
        <v>#N/A</v>
      </c>
    </row>
    <row r="28" spans="1:20" ht="36.75" customHeight="1" x14ac:dyDescent="0.25">
      <c r="A28" s="310" t="str">
        <f>$A$26&amp;"."&amp;COUNTA($C$27:C28)</f>
        <v>TKS2.2</v>
      </c>
      <c r="C28" s="291" t="s">
        <v>1293</v>
      </c>
      <c r="E28" s="311" t="str">
        <f>"Foundation Supply with Wind Tunnel Dimensioning (this Item is alternative to Item "&amp;A27&amp;")"</f>
        <v>Foundation Supply with Wind Tunnel Dimensioning (this Item is alternative to Item TKS2.1)</v>
      </c>
      <c r="G28" s="312" t="s">
        <v>1847</v>
      </c>
      <c r="H28" s="297"/>
      <c r="I28" s="303"/>
      <c r="J28" s="303"/>
      <c r="K28" s="304">
        <f t="shared" si="12"/>
        <v>0</v>
      </c>
      <c r="L28" s="303"/>
      <c r="M28" s="303"/>
      <c r="N28" s="304">
        <f t="shared" si="13"/>
        <v>0</v>
      </c>
      <c r="O28" s="305"/>
      <c r="P28" s="303"/>
      <c r="Q28" s="305"/>
      <c r="R28" s="306">
        <f t="shared" si="10"/>
        <v>0</v>
      </c>
      <c r="S28" s="313">
        <f t="shared" si="14"/>
        <v>0</v>
      </c>
      <c r="T28" s="314" t="e">
        <v>#N/A</v>
      </c>
    </row>
    <row r="29" spans="1:20" s="275" customFormat="1" ht="38.25" x14ac:dyDescent="0.25">
      <c r="A29" s="310" t="str">
        <f>$A$26&amp;"."&amp;COUNTA($C$27:C29)</f>
        <v>TKS2.3</v>
      </c>
      <c r="C29" s="291" t="s">
        <v>1293</v>
      </c>
      <c r="E29" s="311" t="s">
        <v>1848</v>
      </c>
      <c r="G29" s="312" t="s">
        <v>1847</v>
      </c>
      <c r="H29" s="297"/>
      <c r="I29" s="303"/>
      <c r="J29" s="303"/>
      <c r="K29" s="304">
        <f t="shared" si="12"/>
        <v>0</v>
      </c>
      <c r="L29" s="303"/>
      <c r="M29" s="303"/>
      <c r="N29" s="304">
        <f t="shared" si="13"/>
        <v>0</v>
      </c>
      <c r="O29" s="305"/>
      <c r="P29" s="303"/>
      <c r="Q29" s="305"/>
      <c r="R29" s="306">
        <f t="shared" si="10"/>
        <v>0</v>
      </c>
      <c r="S29" s="313">
        <f t="shared" si="14"/>
        <v>0</v>
      </c>
      <c r="T29" s="314" t="e">
        <v>#N/A</v>
      </c>
    </row>
    <row r="30" spans="1:20" ht="27" customHeight="1" x14ac:dyDescent="0.25">
      <c r="A30" s="310" t="str">
        <f>$A$26&amp;"."&amp;COUNTA($C$27:C30)</f>
        <v>TKS2.4</v>
      </c>
      <c r="C30" s="291" t="s">
        <v>1293</v>
      </c>
      <c r="E30" s="311" t="str">
        <f>"Supply of Supporting Structures with Wind Tunnel Dimensioning, including engines, electronic system and cables as per Standard distance from the Ground (50cm). This Item is alternative to Item "&amp;A29</f>
        <v>Supply of Supporting Structures with Wind Tunnel Dimensioning, including engines, electronic system and cables as per Standard distance from the Ground (50cm). This Item is alternative to Item TKS2.3</v>
      </c>
      <c r="G30" s="312" t="s">
        <v>1847</v>
      </c>
      <c r="H30" s="297"/>
      <c r="I30" s="303"/>
      <c r="J30" s="303"/>
      <c r="K30" s="304">
        <f t="shared" si="12"/>
        <v>0</v>
      </c>
      <c r="L30" s="303"/>
      <c r="M30" s="303"/>
      <c r="N30" s="304">
        <f t="shared" si="13"/>
        <v>0</v>
      </c>
      <c r="O30" s="305"/>
      <c r="P30" s="303"/>
      <c r="Q30" s="305"/>
      <c r="R30" s="306">
        <f t="shared" si="10"/>
        <v>0</v>
      </c>
      <c r="S30" s="313">
        <f t="shared" si="14"/>
        <v>0</v>
      </c>
      <c r="T30" s="314" t="e">
        <v>#N/A</v>
      </c>
    </row>
    <row r="31" spans="1:20" ht="15" customHeight="1" x14ac:dyDescent="0.25">
      <c r="A31" s="310" t="str">
        <f>$A$26&amp;"."&amp;COUNTA($C$27:C31)</f>
        <v>TKS2.5</v>
      </c>
      <c r="C31" s="291" t="s">
        <v>1293</v>
      </c>
      <c r="E31" s="311" t="s">
        <v>1849</v>
      </c>
      <c r="G31" s="312" t="s">
        <v>748</v>
      </c>
      <c r="H31" s="297"/>
      <c r="I31" s="303"/>
      <c r="J31" s="303"/>
      <c r="K31" s="304">
        <f t="shared" si="12"/>
        <v>0</v>
      </c>
      <c r="L31" s="303"/>
      <c r="M31" s="303"/>
      <c r="N31" s="304">
        <f t="shared" si="13"/>
        <v>0</v>
      </c>
      <c r="O31" s="305"/>
      <c r="P31" s="303"/>
      <c r="Q31" s="305"/>
      <c r="R31" s="306">
        <f t="shared" si="10"/>
        <v>0</v>
      </c>
      <c r="S31" s="313">
        <f t="shared" si="14"/>
        <v>0</v>
      </c>
      <c r="T31" s="314" t="e">
        <v>#N/A</v>
      </c>
    </row>
    <row r="32" spans="1:20" ht="15" x14ac:dyDescent="0.25">
      <c r="A32" s="310" t="str">
        <f>$A$26&amp;"."&amp;COUNTA($C$27:C32)</f>
        <v>TKS2.6</v>
      </c>
      <c r="C32" s="291" t="s">
        <v>1293</v>
      </c>
      <c r="E32" s="311" t="s">
        <v>1850</v>
      </c>
      <c r="G32" s="312" t="s">
        <v>748</v>
      </c>
      <c r="H32" s="297"/>
      <c r="I32" s="303"/>
      <c r="J32" s="303"/>
      <c r="K32" s="304">
        <f t="shared" si="12"/>
        <v>0</v>
      </c>
      <c r="L32" s="303"/>
      <c r="M32" s="303"/>
      <c r="N32" s="304">
        <f t="shared" si="13"/>
        <v>0</v>
      </c>
      <c r="O32" s="305"/>
      <c r="P32" s="303"/>
      <c r="Q32" s="305"/>
      <c r="R32" s="306">
        <f t="shared" si="10"/>
        <v>0</v>
      </c>
      <c r="S32" s="313">
        <f t="shared" si="14"/>
        <v>0</v>
      </c>
      <c r="T32" s="314" t="e">
        <v>#N/A</v>
      </c>
    </row>
    <row r="33" spans="1:20" ht="25.5" customHeight="1" x14ac:dyDescent="0.25">
      <c r="A33" s="310" t="str">
        <f>$A$26&amp;"."&amp;COUNTA($C$27:C33)</f>
        <v>TKS2.7</v>
      </c>
      <c r="C33" s="291" t="s">
        <v>1293</v>
      </c>
      <c r="E33" s="277" t="s">
        <v>1851</v>
      </c>
      <c r="G33" s="312" t="s">
        <v>464</v>
      </c>
      <c r="H33" s="309">
        <v>1</v>
      </c>
      <c r="I33" s="303"/>
      <c r="J33" s="303"/>
      <c r="K33" s="304">
        <f t="shared" si="12"/>
        <v>0</v>
      </c>
      <c r="L33" s="303"/>
      <c r="M33" s="303"/>
      <c r="N33" s="304">
        <f t="shared" si="13"/>
        <v>0</v>
      </c>
      <c r="O33" s="305"/>
      <c r="P33" s="303"/>
      <c r="Q33" s="305"/>
      <c r="R33" s="306">
        <f t="shared" si="10"/>
        <v>0</v>
      </c>
      <c r="S33" s="313">
        <f t="shared" si="14"/>
        <v>0</v>
      </c>
      <c r="T33" s="314" t="e">
        <v>#N/A</v>
      </c>
    </row>
    <row r="34" spans="1:20" ht="15" x14ac:dyDescent="0.25">
      <c r="A34" s="310" t="str">
        <f>$A$26&amp;"."&amp;COUNTA($C$27:C34)</f>
        <v>TKS2.8</v>
      </c>
      <c r="C34" s="291" t="s">
        <v>1293</v>
      </c>
      <c r="E34" s="311" t="s">
        <v>1852</v>
      </c>
      <c r="G34" s="312" t="s">
        <v>464</v>
      </c>
      <c r="H34" s="309">
        <v>1</v>
      </c>
      <c r="I34" s="303"/>
      <c r="J34" s="303"/>
      <c r="K34" s="304">
        <f t="shared" si="12"/>
        <v>0</v>
      </c>
      <c r="L34" s="303"/>
      <c r="M34" s="303"/>
      <c r="N34" s="304">
        <f t="shared" si="13"/>
        <v>0</v>
      </c>
      <c r="O34" s="305"/>
      <c r="P34" s="303"/>
      <c r="Q34" s="305"/>
      <c r="R34" s="306">
        <f t="shared" si="10"/>
        <v>0</v>
      </c>
      <c r="S34" s="313">
        <f t="shared" si="14"/>
        <v>0</v>
      </c>
      <c r="T34" s="314" t="e">
        <v>#N/A</v>
      </c>
    </row>
    <row r="35" spans="1:20" s="275" customFormat="1" ht="15" x14ac:dyDescent="0.25">
      <c r="A35" s="310" t="str">
        <f>$A$26&amp;"."&amp;COUNTA($C$27:C35)</f>
        <v>TKS2.9</v>
      </c>
      <c r="C35" s="291" t="s">
        <v>1293</v>
      </c>
      <c r="E35" s="311" t="s">
        <v>1853</v>
      </c>
      <c r="G35" s="312" t="s">
        <v>748</v>
      </c>
      <c r="H35" s="297"/>
      <c r="I35" s="303"/>
      <c r="J35" s="303"/>
      <c r="K35" s="304">
        <f t="shared" si="12"/>
        <v>0</v>
      </c>
      <c r="L35" s="303"/>
      <c r="M35" s="303"/>
      <c r="N35" s="304">
        <f t="shared" si="13"/>
        <v>0</v>
      </c>
      <c r="O35" s="305"/>
      <c r="P35" s="303"/>
      <c r="Q35" s="305"/>
      <c r="R35" s="306">
        <f t="shared" si="10"/>
        <v>0</v>
      </c>
      <c r="S35" s="313">
        <f t="shared" si="14"/>
        <v>0</v>
      </c>
      <c r="T35" s="314" t="e">
        <v>#N/A</v>
      </c>
    </row>
    <row r="36" spans="1:20" x14ac:dyDescent="0.25">
      <c r="A36" s="268" t="s">
        <v>1854</v>
      </c>
      <c r="C36" s="269"/>
      <c r="E36" s="270" t="s">
        <v>1855</v>
      </c>
      <c r="G36" s="269"/>
      <c r="H36" s="271"/>
      <c r="I36" s="271"/>
      <c r="J36" s="271"/>
      <c r="K36" s="271"/>
      <c r="L36" s="271"/>
      <c r="M36" s="271"/>
      <c r="N36" s="271"/>
      <c r="O36" s="271"/>
      <c r="P36" s="271"/>
      <c r="Q36" s="271"/>
      <c r="R36" s="285"/>
      <c r="S36" s="285"/>
      <c r="T36" s="273"/>
    </row>
    <row r="37" spans="1:20" s="275" customFormat="1" ht="25.5" x14ac:dyDescent="0.25">
      <c r="A37" s="276" t="str">
        <f>$A$36&amp;"."&amp;COUNTA($C37:C$37)</f>
        <v>TKS3.1</v>
      </c>
      <c r="C37" s="278" t="s">
        <v>4</v>
      </c>
      <c r="E37" s="277" t="s">
        <v>1856</v>
      </c>
      <c r="G37" s="278" t="s">
        <v>464</v>
      </c>
      <c r="H37" s="309">
        <v>1</v>
      </c>
      <c r="I37" s="303"/>
      <c r="J37" s="303"/>
      <c r="K37" s="304">
        <f t="shared" ref="K37" si="15">I37*J37</f>
        <v>0</v>
      </c>
      <c r="L37" s="303"/>
      <c r="M37" s="303"/>
      <c r="N37" s="304">
        <f t="shared" ref="N37" si="16">L37*M37</f>
        <v>0</v>
      </c>
      <c r="O37" s="305"/>
      <c r="P37" s="303"/>
      <c r="Q37" s="305"/>
      <c r="R37" s="306">
        <f t="shared" si="10"/>
        <v>0</v>
      </c>
      <c r="S37" s="281">
        <f t="shared" ref="S37" si="17">H37*R37</f>
        <v>0</v>
      </c>
      <c r="T37" s="282" t="e">
        <v>#N/A</v>
      </c>
    </row>
    <row r="38" spans="1:20" ht="15" customHeight="1" x14ac:dyDescent="0.25">
      <c r="A38" s="268" t="s">
        <v>1857</v>
      </c>
      <c r="C38" s="269"/>
      <c r="E38" s="270" t="s">
        <v>1858</v>
      </c>
      <c r="G38" s="269"/>
      <c r="H38" s="271"/>
      <c r="I38" s="271"/>
      <c r="J38" s="271"/>
      <c r="K38" s="271"/>
      <c r="L38" s="271"/>
      <c r="M38" s="271"/>
      <c r="N38" s="271"/>
      <c r="O38" s="271"/>
      <c r="P38" s="271"/>
      <c r="Q38" s="271"/>
      <c r="R38" s="285"/>
      <c r="S38" s="285"/>
      <c r="T38" s="273"/>
    </row>
    <row r="39" spans="1:20" ht="15" customHeight="1" x14ac:dyDescent="0.25">
      <c r="A39" s="276" t="str">
        <f>$A$38&amp;"."&amp;COUNTA($C39:C$39)</f>
        <v>TKS4.1</v>
      </c>
      <c r="C39" s="278" t="s">
        <v>4</v>
      </c>
      <c r="E39" s="277" t="s">
        <v>1859</v>
      </c>
      <c r="G39" s="278" t="s">
        <v>464</v>
      </c>
      <c r="H39" s="309">
        <v>1</v>
      </c>
      <c r="I39" s="303"/>
      <c r="J39" s="303"/>
      <c r="K39" s="304">
        <f t="shared" ref="K39:K40" si="18">I39*J39</f>
        <v>0</v>
      </c>
      <c r="L39" s="303"/>
      <c r="M39" s="303"/>
      <c r="N39" s="304">
        <f t="shared" ref="N39:N40" si="19">L39*M39</f>
        <v>0</v>
      </c>
      <c r="O39" s="305"/>
      <c r="P39" s="303"/>
      <c r="Q39" s="305"/>
      <c r="R39" s="306">
        <f t="shared" si="10"/>
        <v>0</v>
      </c>
      <c r="S39" s="281">
        <f t="shared" ref="S39:S40" si="20">H39*R39</f>
        <v>0</v>
      </c>
      <c r="T39" s="282" t="e">
        <v>#N/A</v>
      </c>
    </row>
    <row r="40" spans="1:20" customFormat="1" ht="15" x14ac:dyDescent="0.25">
      <c r="A40" s="276" t="str">
        <f>$A$38&amp;"."&amp;COUNTA($C$39:C40)</f>
        <v>TKS4.2</v>
      </c>
      <c r="B40" s="264"/>
      <c r="C40" s="291" t="s">
        <v>1293</v>
      </c>
      <c r="D40" s="259"/>
      <c r="E40" s="277" t="s">
        <v>1860</v>
      </c>
      <c r="F40" s="264"/>
      <c r="G40" s="278" t="s">
        <v>464</v>
      </c>
      <c r="H40" s="309">
        <v>1</v>
      </c>
      <c r="I40" s="303"/>
      <c r="J40" s="303"/>
      <c r="K40" s="304">
        <f t="shared" si="18"/>
        <v>0</v>
      </c>
      <c r="L40" s="303"/>
      <c r="M40" s="303"/>
      <c r="N40" s="304">
        <f t="shared" si="19"/>
        <v>0</v>
      </c>
      <c r="O40" s="305"/>
      <c r="P40" s="303"/>
      <c r="Q40" s="305"/>
      <c r="R40" s="306">
        <f t="shared" si="10"/>
        <v>0</v>
      </c>
      <c r="S40" s="281">
        <f t="shared" si="20"/>
        <v>0</v>
      </c>
      <c r="T40" s="282" t="e">
        <v>#N/A</v>
      </c>
    </row>
    <row r="41" spans="1:20" x14ac:dyDescent="0.25">
      <c r="G41" s="259"/>
      <c r="Q41" s="264"/>
      <c r="R41" s="264"/>
      <c r="S41" s="264"/>
      <c r="T41" s="259"/>
    </row>
    <row r="42" spans="1:20" s="259" customFormat="1" ht="34.5" customHeight="1" x14ac:dyDescent="0.25">
      <c r="A42" s="261"/>
      <c r="C42" s="298"/>
      <c r="E42" s="262" t="s">
        <v>1834</v>
      </c>
      <c r="G42" s="489" t="s">
        <v>72</v>
      </c>
      <c r="H42" s="490"/>
      <c r="I42" s="490"/>
      <c r="J42" s="490"/>
      <c r="K42" s="490"/>
      <c r="L42" s="490"/>
      <c r="M42" s="490"/>
      <c r="N42" s="490"/>
      <c r="O42" s="490"/>
      <c r="P42" s="490"/>
      <c r="Q42" s="490"/>
      <c r="R42" s="490"/>
      <c r="S42" s="491"/>
      <c r="T42" s="482" t="s">
        <v>4</v>
      </c>
    </row>
    <row r="43" spans="1:20" s="259" customFormat="1" ht="25.5" customHeight="1" x14ac:dyDescent="0.25">
      <c r="A43" s="265" t="s">
        <v>860</v>
      </c>
      <c r="C43" s="266" t="s">
        <v>1835</v>
      </c>
      <c r="E43" s="266" t="s">
        <v>138</v>
      </c>
      <c r="G43" s="267" t="s">
        <v>338</v>
      </c>
      <c r="H43" s="266" t="s">
        <v>864</v>
      </c>
      <c r="I43" s="266"/>
      <c r="J43" s="266"/>
      <c r="K43" s="266"/>
      <c r="L43" s="266"/>
      <c r="M43" s="266"/>
      <c r="N43" s="266"/>
      <c r="O43" s="266"/>
      <c r="P43" s="266"/>
      <c r="Q43" s="266"/>
      <c r="R43" s="267" t="s">
        <v>865</v>
      </c>
      <c r="S43" s="266" t="s">
        <v>133</v>
      </c>
      <c r="T43" s="483"/>
    </row>
    <row r="44" spans="1:20" x14ac:dyDescent="0.25">
      <c r="A44" s="268" t="s">
        <v>1861</v>
      </c>
      <c r="C44" s="269"/>
      <c r="E44" s="270" t="s">
        <v>1812</v>
      </c>
      <c r="G44" s="269"/>
      <c r="H44" s="271"/>
      <c r="I44" s="271"/>
      <c r="J44" s="271"/>
      <c r="K44" s="271"/>
      <c r="L44" s="271"/>
      <c r="M44" s="271"/>
      <c r="N44" s="271"/>
      <c r="O44" s="271"/>
      <c r="P44" s="271"/>
      <c r="Q44" s="271"/>
      <c r="R44" s="272"/>
      <c r="S44" s="272"/>
      <c r="T44" s="273"/>
    </row>
    <row r="45" spans="1:20" ht="51" x14ac:dyDescent="0.25">
      <c r="A45" s="310" t="str">
        <f>$A$44&amp;"."&amp;COUNTA($C$45:C45)</f>
        <v>OTKS2.1</v>
      </c>
      <c r="C45" s="291" t="s">
        <v>1293</v>
      </c>
      <c r="E45" s="311" t="s">
        <v>1862</v>
      </c>
      <c r="G45" s="312" t="s">
        <v>464</v>
      </c>
      <c r="H45" s="309">
        <v>1</v>
      </c>
      <c r="I45" s="303"/>
      <c r="J45" s="303"/>
      <c r="K45" s="304">
        <f t="shared" ref="K45" si="21">I45*J45</f>
        <v>0</v>
      </c>
      <c r="L45" s="303"/>
      <c r="M45" s="303"/>
      <c r="N45" s="304">
        <f t="shared" ref="N45" si="22">L45*M45</f>
        <v>0</v>
      </c>
      <c r="O45" s="305"/>
      <c r="P45" s="303"/>
      <c r="Q45" s="305"/>
      <c r="R45" s="306">
        <f t="shared" ref="R45" si="23">P45+N45+K45</f>
        <v>0</v>
      </c>
      <c r="S45" s="313">
        <f>H45*R45</f>
        <v>0</v>
      </c>
      <c r="T45" s="314" t="e">
        <v>#N/A</v>
      </c>
    </row>
    <row r="46" spans="1:20" ht="25.5" x14ac:dyDescent="0.25">
      <c r="A46" s="268" t="s">
        <v>1863</v>
      </c>
      <c r="C46" s="269"/>
      <c r="E46" s="270" t="s">
        <v>1864</v>
      </c>
      <c r="G46" s="269"/>
      <c r="H46" s="271"/>
      <c r="I46" s="271"/>
      <c r="J46" s="271"/>
      <c r="K46" s="271"/>
      <c r="L46" s="271"/>
      <c r="M46" s="271"/>
      <c r="N46" s="271"/>
      <c r="O46" s="271"/>
      <c r="P46" s="271"/>
      <c r="Q46" s="271"/>
      <c r="R46" s="285"/>
      <c r="S46" s="285"/>
      <c r="T46" s="273" t="e">
        <f>+IF($G$15="OPTIONAL","","N.A.")</f>
        <v>#REF!</v>
      </c>
    </row>
    <row r="47" spans="1:20" ht="15" x14ac:dyDescent="0.25">
      <c r="A47" s="276" t="str">
        <f>$A$46&amp;"."&amp;COUNTA($C$47:C47)</f>
        <v>OTKS5.1</v>
      </c>
      <c r="C47" s="278" t="s">
        <v>4</v>
      </c>
      <c r="E47" s="277" t="s">
        <v>1865</v>
      </c>
      <c r="G47" s="278" t="s">
        <v>464</v>
      </c>
      <c r="H47" s="309">
        <v>1</v>
      </c>
      <c r="I47" s="303"/>
      <c r="J47" s="303"/>
      <c r="K47" s="304">
        <f t="shared" ref="K47:K48" si="24">I47*J47</f>
        <v>0</v>
      </c>
      <c r="L47" s="303"/>
      <c r="M47" s="303"/>
      <c r="N47" s="304">
        <f t="shared" ref="N47:N48" si="25">L47*M47</f>
        <v>0</v>
      </c>
      <c r="O47" s="305"/>
      <c r="P47" s="303"/>
      <c r="Q47" s="305"/>
      <c r="R47" s="306">
        <f t="shared" ref="R47:R48" si="26">P47+N47+K47</f>
        <v>0</v>
      </c>
      <c r="S47" s="281">
        <f t="shared" ref="S47:S48" si="27">H47*R47</f>
        <v>0</v>
      </c>
      <c r="T47" s="282" t="e">
        <f>+IF($G$15="OPTIONAL","X","N.A.")</f>
        <v>#REF!</v>
      </c>
    </row>
    <row r="48" spans="1:20" ht="15" x14ac:dyDescent="0.25">
      <c r="A48" s="276" t="str">
        <f>$A$46&amp;"."&amp;COUNTA($C$47:C48)</f>
        <v>OTKS5.2</v>
      </c>
      <c r="C48" s="278" t="s">
        <v>4</v>
      </c>
      <c r="E48" s="277" t="s">
        <v>1866</v>
      </c>
      <c r="G48" s="278" t="s">
        <v>464</v>
      </c>
      <c r="H48" s="309">
        <v>1</v>
      </c>
      <c r="I48" s="303"/>
      <c r="J48" s="303"/>
      <c r="K48" s="304">
        <f t="shared" si="24"/>
        <v>0</v>
      </c>
      <c r="L48" s="303"/>
      <c r="M48" s="303"/>
      <c r="N48" s="304">
        <f t="shared" si="25"/>
        <v>0</v>
      </c>
      <c r="O48" s="305"/>
      <c r="P48" s="303"/>
      <c r="Q48" s="305"/>
      <c r="R48" s="306">
        <f t="shared" si="26"/>
        <v>0</v>
      </c>
      <c r="S48" s="281">
        <f t="shared" si="27"/>
        <v>0</v>
      </c>
      <c r="T48" s="282" t="e">
        <f>+IF($G$15="OPTIONAL","X","N.A.")</f>
        <v>#REF!</v>
      </c>
    </row>
  </sheetData>
  <mergeCells count="7">
    <mergeCell ref="D17:T17"/>
    <mergeCell ref="D18:T18"/>
    <mergeCell ref="I4:K4"/>
    <mergeCell ref="L4:O4"/>
    <mergeCell ref="P4:Q4"/>
    <mergeCell ref="D7:T7"/>
    <mergeCell ref="D12:T12"/>
  </mergeCells>
  <dataValidations count="1">
    <dataValidation type="decimal" operator="greaterThanOrEqual" allowBlank="1" showInputMessage="1" showErrorMessage="1" sqref="P19:P25 I19:J25 L19:M25 P27:P35 I27:J35 L27:M35 P37 I37:J37 L37:M37 P39:P40 I39:J40 L39:M40 P45 I45:J45 L45:M45 P47:P48 I47:J48 L47:M48 P13 I13:J13 L13:M13 L8:M11 I8:J11 P8:P11" xr:uid="{98429C40-FF31-4BB5-94E6-1384E0420241}">
      <formula1>0</formula1>
    </dataValidation>
  </dataValidations>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F2540-6614-49C2-8898-DB2598B744D3}">
  <sheetPr>
    <tabColor rgb="FF00B050"/>
  </sheetPr>
  <dimension ref="A2:T26"/>
  <sheetViews>
    <sheetView showGridLines="0" topLeftCell="A5" zoomScale="70" zoomScaleNormal="70" workbookViewId="0">
      <selection activeCell="B14" sqref="B14:E15"/>
    </sheetView>
  </sheetViews>
  <sheetFormatPr defaultColWidth="9.28515625" defaultRowHeight="15" x14ac:dyDescent="0.2"/>
  <cols>
    <col min="1" max="1" width="8.5703125" style="492" customWidth="1"/>
    <col min="2" max="2" width="17.42578125" style="171" customWidth="1"/>
    <col min="3" max="3" width="58.28515625" style="180" customWidth="1"/>
    <col min="4" max="4" width="18.5703125" style="180" bestFit="1" customWidth="1"/>
    <col min="5" max="5" width="86.42578125" style="457" customWidth="1"/>
    <col min="6" max="6" width="15.7109375" style="180" bestFit="1" customWidth="1"/>
    <col min="7" max="7" width="21" style="180" bestFit="1" customWidth="1"/>
    <col min="8" max="8" width="15.7109375" style="171" bestFit="1" customWidth="1"/>
    <col min="9" max="9" width="25.42578125" style="171" customWidth="1"/>
    <col min="10" max="10" width="17.42578125" style="171" customWidth="1"/>
    <col min="11" max="11" width="12.7109375" style="171" customWidth="1"/>
    <col min="12" max="12" width="16" style="457" customWidth="1"/>
    <col min="13" max="13" width="30.42578125" style="457" customWidth="1"/>
    <col min="14" max="14" width="9.28515625" style="457"/>
    <col min="15" max="15" width="12.28515625" style="457" customWidth="1"/>
    <col min="16" max="16" width="9.28515625" style="457"/>
    <col min="17" max="17" width="18.5703125" style="457" customWidth="1"/>
    <col min="18" max="18" width="14" style="457" bestFit="1" customWidth="1"/>
    <col min="19" max="19" width="15" style="457" bestFit="1" customWidth="1"/>
    <col min="20" max="16384" width="9.28515625" style="457"/>
  </cols>
  <sheetData>
    <row r="2" spans="2:20" ht="15.75" customHeight="1" thickBot="1" x14ac:dyDescent="0.25">
      <c r="B2" s="124"/>
      <c r="C2" s="20"/>
      <c r="D2" s="20"/>
      <c r="E2" s="1049" t="s">
        <v>1867</v>
      </c>
      <c r="F2" s="20"/>
      <c r="G2" s="20"/>
      <c r="H2" s="20"/>
      <c r="I2" s="20"/>
      <c r="J2" s="20"/>
      <c r="K2" s="20"/>
      <c r="L2" s="1050"/>
      <c r="M2" s="1050"/>
      <c r="N2" s="1050"/>
    </row>
    <row r="3" spans="2:20" s="172" customFormat="1" ht="54" customHeight="1" x14ac:dyDescent="0.25">
      <c r="B3" s="1540" t="s">
        <v>186</v>
      </c>
      <c r="C3" s="1540" t="s">
        <v>136</v>
      </c>
      <c r="D3" s="1540" t="s">
        <v>137</v>
      </c>
      <c r="E3" s="1540" t="s">
        <v>187</v>
      </c>
      <c r="F3" s="1546" t="s">
        <v>139</v>
      </c>
      <c r="G3" s="1524" t="s">
        <v>140</v>
      </c>
      <c r="H3" s="1524" t="s">
        <v>141</v>
      </c>
      <c r="I3" s="1528" t="s">
        <v>142</v>
      </c>
      <c r="J3" s="1528"/>
      <c r="K3" s="1528"/>
      <c r="L3" s="1528" t="s">
        <v>143</v>
      </c>
      <c r="M3" s="1528"/>
      <c r="N3" s="1528"/>
      <c r="O3" s="1528"/>
      <c r="P3" s="1528" t="s">
        <v>144</v>
      </c>
      <c r="Q3" s="1528"/>
      <c r="R3" s="1524" t="s">
        <v>145</v>
      </c>
      <c r="S3" s="1524" t="s">
        <v>146</v>
      </c>
      <c r="T3" s="1540" t="s">
        <v>147</v>
      </c>
    </row>
    <row r="4" spans="2:20" s="172" customFormat="1" ht="24.75" customHeight="1" x14ac:dyDescent="0.25">
      <c r="B4" s="1540"/>
      <c r="C4" s="1540"/>
      <c r="D4" s="1540"/>
      <c r="E4" s="1540"/>
      <c r="F4" s="1546"/>
      <c r="G4" s="1524"/>
      <c r="H4" s="1524"/>
      <c r="I4" s="983" t="s">
        <v>148</v>
      </c>
      <c r="J4" s="983" t="s">
        <v>149</v>
      </c>
      <c r="K4" s="983" t="s">
        <v>150</v>
      </c>
      <c r="L4" s="983" t="s">
        <v>148</v>
      </c>
      <c r="M4" s="983" t="s">
        <v>149</v>
      </c>
      <c r="N4" s="983" t="s">
        <v>150</v>
      </c>
      <c r="O4" s="983" t="s">
        <v>151</v>
      </c>
      <c r="P4" s="983" t="s">
        <v>150</v>
      </c>
      <c r="Q4" s="983" t="s">
        <v>152</v>
      </c>
      <c r="R4" s="1524"/>
      <c r="S4" s="1524"/>
      <c r="T4" s="1540"/>
    </row>
    <row r="5" spans="2:20" s="173" customFormat="1" ht="20.25" collapsed="1" x14ac:dyDescent="0.2">
      <c r="B5" s="1667" t="s">
        <v>1746</v>
      </c>
      <c r="C5" s="1667"/>
      <c r="D5" s="1667"/>
      <c r="E5" s="1667"/>
      <c r="F5" s="1673" t="s">
        <v>154</v>
      </c>
      <c r="G5" s="1673"/>
      <c r="H5" s="1673"/>
      <c r="I5" s="1673"/>
      <c r="J5" s="1673"/>
      <c r="K5" s="1673"/>
      <c r="L5" s="1673"/>
      <c r="M5" s="1673"/>
      <c r="N5" s="1673"/>
      <c r="O5" s="1673"/>
      <c r="P5" s="1673"/>
      <c r="Q5" s="1673"/>
      <c r="R5" s="1673"/>
      <c r="S5" s="908">
        <f>SUMIF(F7:F10,"Mandatory",S7:S10)</f>
        <v>0</v>
      </c>
      <c r="T5" s="864" t="s">
        <v>155</v>
      </c>
    </row>
    <row r="6" spans="2:20" s="173" customFormat="1" ht="20.25" x14ac:dyDescent="0.2">
      <c r="B6" s="1667"/>
      <c r="C6" s="1667"/>
      <c r="D6" s="1667"/>
      <c r="E6" s="1667"/>
      <c r="F6" s="1673" t="s">
        <v>156</v>
      </c>
      <c r="G6" s="1673"/>
      <c r="H6" s="1673"/>
      <c r="I6" s="1673"/>
      <c r="J6" s="1673"/>
      <c r="K6" s="1673"/>
      <c r="L6" s="1673"/>
      <c r="M6" s="1673"/>
      <c r="N6" s="1673"/>
      <c r="O6" s="1673"/>
      <c r="P6" s="1673"/>
      <c r="Q6" s="1673"/>
      <c r="R6" s="1673"/>
      <c r="S6" s="863">
        <f>SUMIF(F7:F10,"optional",S7:S10)</f>
        <v>0</v>
      </c>
      <c r="T6" s="962" t="s">
        <v>155</v>
      </c>
    </row>
    <row r="7" spans="2:20" s="1002" customFormat="1" ht="37.15" customHeight="1" x14ac:dyDescent="0.2">
      <c r="B7" s="692"/>
      <c r="C7" s="999"/>
      <c r="D7" s="995"/>
      <c r="E7" s="1229" t="s">
        <v>1748</v>
      </c>
      <c r="F7" s="987" t="s">
        <v>160</v>
      </c>
      <c r="G7" s="1230" t="s">
        <v>1749</v>
      </c>
      <c r="H7" s="1230">
        <v>1</v>
      </c>
      <c r="I7" s="990"/>
      <c r="J7" s="990"/>
      <c r="K7" s="991">
        <f>I7*J7</f>
        <v>0</v>
      </c>
      <c r="L7" s="990"/>
      <c r="M7" s="990"/>
      <c r="N7" s="991"/>
      <c r="O7" s="992"/>
      <c r="P7" s="990"/>
      <c r="Q7" s="992"/>
      <c r="R7" s="994">
        <f>P7+N7+K7</f>
        <v>0</v>
      </c>
      <c r="S7" s="1035">
        <f>IF(F7="na","",H7*R7)</f>
        <v>0</v>
      </c>
      <c r="T7" s="1001"/>
    </row>
    <row r="8" spans="2:20" s="1005" customFormat="1" ht="51" customHeight="1" x14ac:dyDescent="0.2">
      <c r="B8" s="693"/>
      <c r="C8" s="1003" t="s">
        <v>1868</v>
      </c>
      <c r="D8" s="996"/>
      <c r="E8" s="1231" t="s">
        <v>1869</v>
      </c>
      <c r="F8" s="145" t="s">
        <v>160</v>
      </c>
      <c r="G8" s="1230" t="s">
        <v>1749</v>
      </c>
      <c r="H8" s="1230">
        <v>1</v>
      </c>
      <c r="I8" s="990"/>
      <c r="J8" s="990"/>
      <c r="K8" s="991">
        <f>I8*J8</f>
        <v>0</v>
      </c>
      <c r="L8" s="990"/>
      <c r="M8" s="990"/>
      <c r="N8" s="991"/>
      <c r="O8" s="992"/>
      <c r="P8" s="990"/>
      <c r="Q8" s="992"/>
      <c r="R8" s="994">
        <f t="shared" ref="R8:R26" si="0">P8+N8+K8</f>
        <v>0</v>
      </c>
      <c r="S8" s="994">
        <f t="shared" ref="S8:S26" si="1">H8*R8</f>
        <v>0</v>
      </c>
      <c r="T8" s="1001"/>
    </row>
    <row r="9" spans="2:20" s="1010" customFormat="1" x14ac:dyDescent="0.2">
      <c r="B9" s="693"/>
      <c r="C9" s="964"/>
      <c r="D9" s="401"/>
      <c r="E9" s="1238" t="s">
        <v>1870</v>
      </c>
      <c r="F9" s="145" t="s">
        <v>160</v>
      </c>
      <c r="G9" s="1230" t="s">
        <v>1765</v>
      </c>
      <c r="H9" s="1237"/>
      <c r="I9" s="990"/>
      <c r="J9" s="990"/>
      <c r="K9" s="991">
        <f>I9*J9</f>
        <v>0</v>
      </c>
      <c r="L9" s="990"/>
      <c r="M9" s="990"/>
      <c r="N9" s="991"/>
      <c r="O9" s="992"/>
      <c r="P9" s="990"/>
      <c r="Q9" s="992"/>
      <c r="R9" s="994">
        <f>P9+N9+K9</f>
        <v>0</v>
      </c>
      <c r="S9" s="994">
        <f>H9*R9</f>
        <v>0</v>
      </c>
      <c r="T9" s="1001"/>
    </row>
    <row r="10" spans="2:20" s="1010" customFormat="1" x14ac:dyDescent="0.2">
      <c r="B10" s="693"/>
      <c r="C10" s="964"/>
      <c r="D10" s="401"/>
      <c r="E10" s="1238" t="s">
        <v>1803</v>
      </c>
      <c r="F10" s="145" t="s">
        <v>160</v>
      </c>
      <c r="G10" s="1241" t="s">
        <v>1749</v>
      </c>
      <c r="H10" s="1230">
        <v>1</v>
      </c>
      <c r="I10" s="990"/>
      <c r="J10" s="990"/>
      <c r="K10" s="991">
        <f>I10*J10</f>
        <v>0</v>
      </c>
      <c r="L10" s="990"/>
      <c r="M10" s="990"/>
      <c r="N10" s="991"/>
      <c r="O10" s="992"/>
      <c r="P10" s="990"/>
      <c r="Q10" s="992"/>
      <c r="R10" s="994">
        <f>P10+N10+K10</f>
        <v>0</v>
      </c>
      <c r="S10" s="994">
        <f>H10*R10</f>
        <v>0</v>
      </c>
      <c r="T10" s="1001"/>
    </row>
    <row r="11" spans="2:20" customFormat="1" ht="15" customHeight="1" x14ac:dyDescent="0.25">
      <c r="B11" s="1667" t="s">
        <v>1761</v>
      </c>
      <c r="C11" s="1667"/>
      <c r="D11" s="1667"/>
      <c r="E11" s="1667"/>
      <c r="F11" s="1665" t="s">
        <v>154</v>
      </c>
      <c r="G11" s="1665"/>
      <c r="H11" s="1665"/>
      <c r="I11" s="1665"/>
      <c r="J11" s="1665"/>
      <c r="K11" s="1665"/>
      <c r="L11" s="1665"/>
      <c r="M11" s="1665"/>
      <c r="N11" s="1665"/>
      <c r="O11" s="1665"/>
      <c r="P11" s="1665"/>
      <c r="Q11" s="1665"/>
      <c r="R11" s="1665"/>
      <c r="S11" s="877">
        <f>SUMIF(F13:F13,"Mandatory",S13:S13)</f>
        <v>0</v>
      </c>
      <c r="T11" s="878"/>
    </row>
    <row r="12" spans="2:20" customFormat="1" x14ac:dyDescent="0.25">
      <c r="B12" s="1667"/>
      <c r="C12" s="1667"/>
      <c r="D12" s="1667"/>
      <c r="E12" s="1667"/>
      <c r="F12" s="1666" t="s">
        <v>156</v>
      </c>
      <c r="G12" s="1666"/>
      <c r="H12" s="1666"/>
      <c r="I12" s="1666"/>
      <c r="J12" s="1666"/>
      <c r="K12" s="1666"/>
      <c r="L12" s="1666"/>
      <c r="M12" s="1666"/>
      <c r="N12" s="1666"/>
      <c r="O12" s="1666"/>
      <c r="P12" s="1666"/>
      <c r="Q12" s="1666"/>
      <c r="R12" s="1666"/>
      <c r="S12" s="1032">
        <f>SUMIF(F13:F13,"Optional",S13:S13)</f>
        <v>0</v>
      </c>
      <c r="T12" s="1033"/>
    </row>
    <row r="13" spans="2:20" s="1010" customFormat="1" ht="50.25" customHeight="1" x14ac:dyDescent="0.25">
      <c r="B13" s="1007"/>
      <c r="C13" s="1008"/>
      <c r="D13" s="1246"/>
      <c r="E13" s="1229" t="s">
        <v>1871</v>
      </c>
      <c r="F13" s="145" t="s">
        <v>160</v>
      </c>
      <c r="G13" s="1230" t="s">
        <v>1749</v>
      </c>
      <c r="H13" s="1230">
        <v>1</v>
      </c>
      <c r="I13" s="990"/>
      <c r="J13" s="990"/>
      <c r="K13" s="991">
        <f>I13*J13</f>
        <v>0</v>
      </c>
      <c r="L13" s="990"/>
      <c r="M13" s="990"/>
      <c r="N13" s="991"/>
      <c r="O13" s="992"/>
      <c r="P13" s="990"/>
      <c r="Q13" s="992"/>
      <c r="R13" s="994">
        <f t="shared" si="0"/>
        <v>0</v>
      </c>
      <c r="S13" s="994">
        <f t="shared" si="1"/>
        <v>0</v>
      </c>
      <c r="T13" s="1001"/>
    </row>
    <row r="14" spans="2:20" customFormat="1" ht="15" customHeight="1" x14ac:dyDescent="0.25">
      <c r="B14" s="1667" t="s">
        <v>767</v>
      </c>
      <c r="C14" s="1667"/>
      <c r="D14" s="1667"/>
      <c r="E14" s="1667"/>
      <c r="F14" s="1665" t="s">
        <v>154</v>
      </c>
      <c r="G14" s="1665"/>
      <c r="H14" s="1665"/>
      <c r="I14" s="1665"/>
      <c r="J14" s="1665"/>
      <c r="K14" s="1665"/>
      <c r="L14" s="1665"/>
      <c r="M14" s="1665"/>
      <c r="N14" s="1665"/>
      <c r="O14" s="1665"/>
      <c r="P14" s="1665"/>
      <c r="Q14" s="1665"/>
      <c r="R14" s="1665"/>
      <c r="S14" s="877">
        <f>SUMIF(F16:F20,"Mandatory",S16:S20)</f>
        <v>0</v>
      </c>
      <c r="T14" s="878"/>
    </row>
    <row r="15" spans="2:20" customFormat="1" x14ac:dyDescent="0.25">
      <c r="B15" s="1667"/>
      <c r="C15" s="1667"/>
      <c r="D15" s="1667"/>
      <c r="E15" s="1667"/>
      <c r="F15" s="1666" t="s">
        <v>156</v>
      </c>
      <c r="G15" s="1666"/>
      <c r="H15" s="1666"/>
      <c r="I15" s="1666"/>
      <c r="J15" s="1666"/>
      <c r="K15" s="1666"/>
      <c r="L15" s="1666"/>
      <c r="M15" s="1666"/>
      <c r="N15" s="1666"/>
      <c r="O15" s="1666"/>
      <c r="P15" s="1666"/>
      <c r="Q15" s="1666"/>
      <c r="R15" s="1666"/>
      <c r="S15" s="1032">
        <f>SUMIF(F16:F20,"Optional",S16:S20)</f>
        <v>0</v>
      </c>
      <c r="T15" s="1033"/>
    </row>
    <row r="16" spans="2:20" s="1010" customFormat="1" ht="39.75" customHeight="1" x14ac:dyDescent="0.2">
      <c r="B16" s="693"/>
      <c r="C16" s="964"/>
      <c r="D16" s="406"/>
      <c r="E16" s="1238" t="s">
        <v>1872</v>
      </c>
      <c r="F16" s="145" t="s">
        <v>160</v>
      </c>
      <c r="G16" s="1239" t="s">
        <v>1765</v>
      </c>
      <c r="H16" s="1240"/>
      <c r="I16" s="990"/>
      <c r="J16" s="990"/>
      <c r="K16" s="991">
        <f>I16*J16</f>
        <v>0</v>
      </c>
      <c r="L16" s="990"/>
      <c r="M16" s="990"/>
      <c r="N16" s="991"/>
      <c r="O16" s="992"/>
      <c r="P16" s="990"/>
      <c r="Q16" s="992"/>
      <c r="R16" s="994">
        <f t="shared" si="0"/>
        <v>0</v>
      </c>
      <c r="S16" s="994">
        <f t="shared" si="1"/>
        <v>0</v>
      </c>
      <c r="T16" s="1001"/>
    </row>
    <row r="17" spans="2:20" s="1010" customFormat="1" ht="162" customHeight="1" x14ac:dyDescent="0.2">
      <c r="B17" s="693"/>
      <c r="C17" s="964"/>
      <c r="D17" s="401"/>
      <c r="E17" s="1238" t="s">
        <v>1873</v>
      </c>
      <c r="F17" s="145" t="s">
        <v>160</v>
      </c>
      <c r="G17" s="1239" t="s">
        <v>1765</v>
      </c>
      <c r="H17" s="1237"/>
      <c r="I17" s="990"/>
      <c r="J17" s="990"/>
      <c r="K17" s="991">
        <f>I17*J17</f>
        <v>0</v>
      </c>
      <c r="L17" s="990"/>
      <c r="M17" s="990"/>
      <c r="N17" s="991"/>
      <c r="O17" s="992"/>
      <c r="P17" s="990"/>
      <c r="Q17" s="992"/>
      <c r="R17" s="994">
        <f t="shared" si="0"/>
        <v>0</v>
      </c>
      <c r="S17" s="994">
        <f t="shared" si="1"/>
        <v>0</v>
      </c>
      <c r="T17" s="1012"/>
    </row>
    <row r="18" spans="2:20" s="1010" customFormat="1" ht="37.15" customHeight="1" x14ac:dyDescent="0.2">
      <c r="B18" s="421"/>
      <c r="C18" s="971"/>
      <c r="D18" s="401"/>
      <c r="E18" s="1238" t="s">
        <v>1874</v>
      </c>
      <c r="F18" s="145" t="s">
        <v>167</v>
      </c>
      <c r="G18" s="1230" t="s">
        <v>1765</v>
      </c>
      <c r="H18" s="1237"/>
      <c r="I18" s="990"/>
      <c r="J18" s="990"/>
      <c r="K18" s="991">
        <f>I18*J18</f>
        <v>0</v>
      </c>
      <c r="L18" s="990"/>
      <c r="M18" s="990"/>
      <c r="N18" s="991"/>
      <c r="O18" s="992"/>
      <c r="P18" s="990"/>
      <c r="Q18" s="992"/>
      <c r="R18" s="994">
        <f>P18+N18+K18</f>
        <v>0</v>
      </c>
      <c r="S18" s="994">
        <f>H18*R18</f>
        <v>0</v>
      </c>
      <c r="T18" s="1001"/>
    </row>
    <row r="19" spans="2:20" s="1010" customFormat="1" ht="37.15" customHeight="1" x14ac:dyDescent="0.2">
      <c r="B19" s="421"/>
      <c r="C19" s="971"/>
      <c r="D19" s="401"/>
      <c r="E19" s="1238" t="s">
        <v>1875</v>
      </c>
      <c r="F19" s="145" t="s">
        <v>167</v>
      </c>
      <c r="G19" s="1230" t="s">
        <v>1765</v>
      </c>
      <c r="H19" s="1237"/>
      <c r="I19" s="990"/>
      <c r="J19" s="990"/>
      <c r="K19" s="991">
        <f>I19*J19</f>
        <v>0</v>
      </c>
      <c r="L19" s="990"/>
      <c r="M19" s="990"/>
      <c r="N19" s="991"/>
      <c r="O19" s="992"/>
      <c r="P19" s="990"/>
      <c r="Q19" s="992"/>
      <c r="R19" s="994">
        <f>P19+N19+K19</f>
        <v>0</v>
      </c>
      <c r="S19" s="994">
        <f>H19*R19</f>
        <v>0</v>
      </c>
      <c r="T19" s="1001"/>
    </row>
    <row r="20" spans="2:20" s="1010" customFormat="1" ht="37.15" customHeight="1" x14ac:dyDescent="0.2">
      <c r="B20" s="421"/>
      <c r="C20" s="1247"/>
      <c r="D20" s="401"/>
      <c r="E20" s="1242" t="s">
        <v>1876</v>
      </c>
      <c r="F20" s="145" t="s">
        <v>167</v>
      </c>
      <c r="G20" s="1241" t="s">
        <v>1749</v>
      </c>
      <c r="H20" s="1230">
        <v>1</v>
      </c>
      <c r="I20" s="990"/>
      <c r="J20" s="990"/>
      <c r="K20" s="991">
        <f>I20*J20</f>
        <v>0</v>
      </c>
      <c r="L20" s="990"/>
      <c r="M20" s="990"/>
      <c r="N20" s="991"/>
      <c r="O20" s="992"/>
      <c r="P20" s="990"/>
      <c r="Q20" s="992"/>
      <c r="R20" s="994">
        <f>P20+N20+K20</f>
        <v>0</v>
      </c>
      <c r="S20" s="994">
        <f>H20*R20</f>
        <v>0</v>
      </c>
      <c r="T20" s="1001"/>
    </row>
    <row r="21" spans="2:20" customFormat="1" ht="15" customHeight="1" x14ac:dyDescent="0.25">
      <c r="B21" s="1667" t="s">
        <v>96</v>
      </c>
      <c r="C21" s="1668"/>
      <c r="D21" s="1668"/>
      <c r="E21" s="1669"/>
      <c r="F21" s="1665" t="s">
        <v>154</v>
      </c>
      <c r="G21" s="1665"/>
      <c r="H21" s="1665"/>
      <c r="I21" s="1665"/>
      <c r="J21" s="1665"/>
      <c r="K21" s="1665"/>
      <c r="L21" s="1665"/>
      <c r="M21" s="1665"/>
      <c r="N21" s="1665"/>
      <c r="O21" s="1665"/>
      <c r="P21" s="1665"/>
      <c r="Q21" s="1665"/>
      <c r="R21" s="1665"/>
      <c r="S21" s="877">
        <f>SUMIF(F23:F23,"Mandatory",S23:S23)</f>
        <v>0</v>
      </c>
      <c r="T21" s="878"/>
    </row>
    <row r="22" spans="2:20" customFormat="1" x14ac:dyDescent="0.25">
      <c r="B22" s="1670"/>
      <c r="C22" s="1671"/>
      <c r="D22" s="1671"/>
      <c r="E22" s="1672"/>
      <c r="F22" s="1666" t="s">
        <v>156</v>
      </c>
      <c r="G22" s="1666"/>
      <c r="H22" s="1666"/>
      <c r="I22" s="1666"/>
      <c r="J22" s="1666"/>
      <c r="K22" s="1666"/>
      <c r="L22" s="1666"/>
      <c r="M22" s="1666"/>
      <c r="N22" s="1666"/>
      <c r="O22" s="1666"/>
      <c r="P22" s="1666"/>
      <c r="Q22" s="1666"/>
      <c r="R22" s="1666"/>
      <c r="S22" s="1032">
        <f>SUMIF(F23:F23,"Optional",S23:S23)</f>
        <v>0</v>
      </c>
      <c r="T22" s="1033"/>
    </row>
    <row r="23" spans="2:20" s="1010" customFormat="1" ht="25.5" x14ac:dyDescent="0.2">
      <c r="B23" s="693"/>
      <c r="C23" s="964" t="s">
        <v>766</v>
      </c>
      <c r="D23" s="401"/>
      <c r="E23" s="1238" t="s">
        <v>1877</v>
      </c>
      <c r="F23" s="145" t="s">
        <v>160</v>
      </c>
      <c r="G23" s="1241" t="s">
        <v>1749</v>
      </c>
      <c r="H23" s="1241">
        <v>1</v>
      </c>
      <c r="I23" s="990"/>
      <c r="J23" s="990"/>
      <c r="K23" s="991">
        <f>I23*J23</f>
        <v>0</v>
      </c>
      <c r="L23" s="990"/>
      <c r="M23" s="990"/>
      <c r="N23" s="991"/>
      <c r="O23" s="992"/>
      <c r="P23" s="990"/>
      <c r="Q23" s="992"/>
      <c r="R23" s="994">
        <f t="shared" si="0"/>
        <v>0</v>
      </c>
      <c r="S23" s="994">
        <f t="shared" si="1"/>
        <v>0</v>
      </c>
      <c r="T23" s="1001"/>
    </row>
    <row r="24" spans="2:20" customFormat="1" ht="15" customHeight="1" x14ac:dyDescent="0.25">
      <c r="B24" s="1667" t="s">
        <v>132</v>
      </c>
      <c r="C24" s="1668"/>
      <c r="D24" s="1668"/>
      <c r="E24" s="1669"/>
      <c r="F24" s="1665" t="s">
        <v>154</v>
      </c>
      <c r="G24" s="1665"/>
      <c r="H24" s="1665"/>
      <c r="I24" s="1665"/>
      <c r="J24" s="1665"/>
      <c r="K24" s="1665"/>
      <c r="L24" s="1665"/>
      <c r="M24" s="1665"/>
      <c r="N24" s="1665"/>
      <c r="O24" s="1665"/>
      <c r="P24" s="1665"/>
      <c r="Q24" s="1665"/>
      <c r="R24" s="1665"/>
      <c r="S24" s="877">
        <f>SUMIF(F26:F26,"Mandatory",S26:S26)</f>
        <v>0</v>
      </c>
      <c r="T24" s="878"/>
    </row>
    <row r="25" spans="2:20" customFormat="1" x14ac:dyDescent="0.25">
      <c r="B25" s="1670"/>
      <c r="C25" s="1671"/>
      <c r="D25" s="1671"/>
      <c r="E25" s="1672"/>
      <c r="F25" s="1666" t="s">
        <v>156</v>
      </c>
      <c r="G25" s="1666"/>
      <c r="H25" s="1666"/>
      <c r="I25" s="1666"/>
      <c r="J25" s="1666"/>
      <c r="K25" s="1666"/>
      <c r="L25" s="1666"/>
      <c r="M25" s="1666"/>
      <c r="N25" s="1666"/>
      <c r="O25" s="1666"/>
      <c r="P25" s="1666"/>
      <c r="Q25" s="1666"/>
      <c r="R25" s="1666"/>
      <c r="S25" s="1032">
        <f>SUMIF(F26:F26,"Optional",S26:S26)</f>
        <v>0</v>
      </c>
      <c r="T25" s="1033"/>
    </row>
    <row r="26" spans="2:20" s="1010" customFormat="1" ht="96.75" customHeight="1" x14ac:dyDescent="0.2">
      <c r="B26" s="692"/>
      <c r="C26" s="964" t="str">
        <f>'Reference documents'!B26</f>
        <v>GRE…..</v>
      </c>
      <c r="D26" s="401"/>
      <c r="E26" s="1238" t="s">
        <v>1878</v>
      </c>
      <c r="F26" s="145" t="s">
        <v>167</v>
      </c>
      <c r="G26" s="1230" t="s">
        <v>1749</v>
      </c>
      <c r="H26" s="1230">
        <v>1</v>
      </c>
      <c r="I26" s="990"/>
      <c r="J26" s="990"/>
      <c r="K26" s="991">
        <f>I26*J26</f>
        <v>0</v>
      </c>
      <c r="L26" s="990"/>
      <c r="M26" s="990"/>
      <c r="N26" s="991"/>
      <c r="O26" s="992"/>
      <c r="P26" s="990"/>
      <c r="Q26" s="992"/>
      <c r="R26" s="994">
        <f t="shared" si="0"/>
        <v>0</v>
      </c>
      <c r="S26" s="994">
        <f t="shared" si="1"/>
        <v>0</v>
      </c>
      <c r="T26" s="1001"/>
    </row>
  </sheetData>
  <autoFilter ref="B3:T26" xr:uid="{32E03678-4CE2-4317-8A09-156CF665688E}">
    <filterColumn colId="7" showButton="0"/>
    <filterColumn colId="8" showButton="0"/>
    <filterColumn colId="10" showButton="0"/>
    <filterColumn colId="11" showButton="0"/>
    <filterColumn colId="12" showButton="0"/>
    <filterColumn colId="14" showButton="0"/>
  </autoFilter>
  <mergeCells count="28">
    <mergeCell ref="T3:T4"/>
    <mergeCell ref="B5:E6"/>
    <mergeCell ref="F5:R5"/>
    <mergeCell ref="F6:R6"/>
    <mergeCell ref="H3:H4"/>
    <mergeCell ref="I3:K3"/>
    <mergeCell ref="L3:O3"/>
    <mergeCell ref="P3:Q3"/>
    <mergeCell ref="R3:R4"/>
    <mergeCell ref="S3:S4"/>
    <mergeCell ref="B3:B4"/>
    <mergeCell ref="C3:C4"/>
    <mergeCell ref="D3:D4"/>
    <mergeCell ref="E3:E4"/>
    <mergeCell ref="F3:F4"/>
    <mergeCell ref="G3:G4"/>
    <mergeCell ref="B24:E25"/>
    <mergeCell ref="F24:R24"/>
    <mergeCell ref="F25:R25"/>
    <mergeCell ref="B21:E22"/>
    <mergeCell ref="F21:R21"/>
    <mergeCell ref="F22:R22"/>
    <mergeCell ref="B11:E12"/>
    <mergeCell ref="F11:R11"/>
    <mergeCell ref="F12:R12"/>
    <mergeCell ref="B14:E15"/>
    <mergeCell ref="F14:R14"/>
    <mergeCell ref="F15:R15"/>
  </mergeCells>
  <dataValidations count="1">
    <dataValidation type="list" allowBlank="1" showInputMessage="1" showErrorMessage="1" sqref="F13 F26 F23 F7:F10 F16:F20" xr:uid="{3BDABD86-5329-495E-827F-57EB324E752C}">
      <formula1>"Mandatory,Optional,NA"</formula1>
    </dataValidation>
  </dataValidations>
  <printOptions horizontalCentered="1"/>
  <pageMargins left="0.23622047244094491" right="0.23622047244094491" top="0.74803149606299213" bottom="0.55118110236220474" header="0.31496062992125984" footer="0.31496062992125984"/>
  <pageSetup paperSize="9" orientation="landscape" r:id="rId1"/>
  <headerFooter>
    <oddHeader>&amp;C&amp;"Arial"&amp;8&amp;K000000INTERNAL&amp;1#</oddHeader>
    <oddFooter>&amp;R&amp;8pag &amp;P di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46DCF-28E5-48F6-9DE7-4616FEA3D3E1}">
  <sheetPr>
    <tabColor rgb="FF00B050"/>
  </sheetPr>
  <dimension ref="A2:T61"/>
  <sheetViews>
    <sheetView showGridLines="0" zoomScale="85" zoomScaleNormal="85" workbookViewId="0">
      <selection activeCell="C8" sqref="C8"/>
    </sheetView>
  </sheetViews>
  <sheetFormatPr defaultColWidth="9.28515625" defaultRowHeight="15" x14ac:dyDescent="0.2"/>
  <cols>
    <col min="1" max="1" width="8.5703125" style="492" customWidth="1"/>
    <col min="2" max="2" width="17.42578125" style="171" customWidth="1"/>
    <col min="3" max="3" width="58.28515625" style="180" customWidth="1"/>
    <col min="4" max="4" width="18.5703125" style="180" bestFit="1" customWidth="1"/>
    <col min="5" max="5" width="86.42578125" style="457" customWidth="1"/>
    <col min="6" max="6" width="15.7109375" style="180" bestFit="1" customWidth="1"/>
    <col min="7" max="7" width="21" style="180" bestFit="1" customWidth="1"/>
    <col min="8" max="8" width="15.7109375" style="171" bestFit="1" customWidth="1"/>
    <col min="9" max="9" width="25.42578125" style="171" customWidth="1"/>
    <col min="10" max="10" width="17.42578125" style="171" customWidth="1"/>
    <col min="11" max="11" width="12.7109375" style="171" customWidth="1"/>
    <col min="12" max="12" width="16" style="457" customWidth="1"/>
    <col min="13" max="13" width="30.42578125" style="457" customWidth="1"/>
    <col min="14" max="14" width="9.28515625" style="457"/>
    <col min="15" max="15" width="12.28515625" style="457" customWidth="1"/>
    <col min="16" max="16" width="9.28515625" style="457"/>
    <col min="17" max="17" width="18.5703125" style="457" customWidth="1"/>
    <col min="18" max="18" width="14" style="457" bestFit="1" customWidth="1"/>
    <col min="19" max="19" width="15" style="457" bestFit="1" customWidth="1"/>
    <col min="20" max="16384" width="9.28515625" style="457"/>
  </cols>
  <sheetData>
    <row r="2" spans="1:20" ht="15.75" customHeight="1" thickBot="1" x14ac:dyDescent="0.25">
      <c r="B2" s="124"/>
      <c r="C2" s="20"/>
      <c r="D2" s="20"/>
      <c r="E2" s="1049" t="s">
        <v>1879</v>
      </c>
      <c r="F2" s="20"/>
      <c r="G2" s="20"/>
      <c r="H2" s="20"/>
      <c r="I2" s="20"/>
      <c r="J2" s="20"/>
      <c r="K2" s="20"/>
      <c r="L2" s="1050"/>
      <c r="M2" s="1050"/>
      <c r="N2" s="1050"/>
    </row>
    <row r="3" spans="1:20" s="172" customFormat="1" ht="54" customHeight="1" x14ac:dyDescent="0.25">
      <c r="B3" s="1540" t="s">
        <v>186</v>
      </c>
      <c r="C3" s="1540" t="s">
        <v>136</v>
      </c>
      <c r="D3" s="1540" t="s">
        <v>137</v>
      </c>
      <c r="E3" s="1540" t="s">
        <v>187</v>
      </c>
      <c r="F3" s="1546" t="s">
        <v>139</v>
      </c>
      <c r="G3" s="1524" t="s">
        <v>140</v>
      </c>
      <c r="H3" s="1524" t="s">
        <v>141</v>
      </c>
      <c r="I3" s="1528" t="s">
        <v>142</v>
      </c>
      <c r="J3" s="1528"/>
      <c r="K3" s="1528"/>
      <c r="L3" s="1528" t="s">
        <v>143</v>
      </c>
      <c r="M3" s="1528"/>
      <c r="N3" s="1528"/>
      <c r="O3" s="1528"/>
      <c r="P3" s="1528" t="s">
        <v>144</v>
      </c>
      <c r="Q3" s="1528"/>
      <c r="R3" s="1524" t="s">
        <v>145</v>
      </c>
      <c r="S3" s="1524" t="s">
        <v>146</v>
      </c>
      <c r="T3" s="1540" t="s">
        <v>147</v>
      </c>
    </row>
    <row r="4" spans="1:20" s="172" customFormat="1" ht="24.75" customHeight="1" x14ac:dyDescent="0.25">
      <c r="B4" s="1540"/>
      <c r="C4" s="1540"/>
      <c r="D4" s="1540"/>
      <c r="E4" s="1540"/>
      <c r="F4" s="1546"/>
      <c r="G4" s="1524"/>
      <c r="H4" s="1524"/>
      <c r="I4" s="983" t="s">
        <v>148</v>
      </c>
      <c r="J4" s="983" t="s">
        <v>149</v>
      </c>
      <c r="K4" s="983" t="s">
        <v>150</v>
      </c>
      <c r="L4" s="983" t="s">
        <v>148</v>
      </c>
      <c r="M4" s="983" t="s">
        <v>149</v>
      </c>
      <c r="N4" s="983" t="s">
        <v>150</v>
      </c>
      <c r="O4" s="983" t="s">
        <v>151</v>
      </c>
      <c r="P4" s="983" t="s">
        <v>150</v>
      </c>
      <c r="Q4" s="983" t="s">
        <v>152</v>
      </c>
      <c r="R4" s="1524"/>
      <c r="S4" s="1524"/>
      <c r="T4" s="1540"/>
    </row>
    <row r="5" spans="1:20" s="173" customFormat="1" ht="24.75" customHeight="1" x14ac:dyDescent="0.2">
      <c r="B5" s="1667" t="s">
        <v>1746</v>
      </c>
      <c r="C5" s="1667"/>
      <c r="D5" s="1667"/>
      <c r="E5" s="1667"/>
      <c r="F5" s="1673" t="s">
        <v>154</v>
      </c>
      <c r="G5" s="1673"/>
      <c r="H5" s="1673"/>
      <c r="I5" s="1673"/>
      <c r="J5" s="1673"/>
      <c r="K5" s="1673"/>
      <c r="L5" s="1673"/>
      <c r="M5" s="1673"/>
      <c r="N5" s="1673"/>
      <c r="O5" s="1673"/>
      <c r="P5" s="1673"/>
      <c r="Q5" s="1673"/>
      <c r="R5" s="1673"/>
      <c r="S5" s="908">
        <f>SUMIF(F7:F11,"Mandatory",S7:S11)</f>
        <v>0</v>
      </c>
      <c r="T5" s="864" t="s">
        <v>155</v>
      </c>
    </row>
    <row r="6" spans="1:20" s="173" customFormat="1" ht="24.75" customHeight="1" x14ac:dyDescent="0.2">
      <c r="B6" s="1667"/>
      <c r="C6" s="1667"/>
      <c r="D6" s="1667"/>
      <c r="E6" s="1667"/>
      <c r="F6" s="1673" t="s">
        <v>156</v>
      </c>
      <c r="G6" s="1673"/>
      <c r="H6" s="1673"/>
      <c r="I6" s="1673"/>
      <c r="J6" s="1673"/>
      <c r="K6" s="1673"/>
      <c r="L6" s="1673"/>
      <c r="M6" s="1673"/>
      <c r="N6" s="1673"/>
      <c r="O6" s="1673"/>
      <c r="P6" s="1673"/>
      <c r="Q6" s="1673"/>
      <c r="R6" s="1673"/>
      <c r="S6" s="863">
        <f>SUMIF(F7:F11,"optional",S7:S11)</f>
        <v>0</v>
      </c>
      <c r="T6" s="962" t="s">
        <v>155</v>
      </c>
    </row>
    <row r="7" spans="1:20" s="1002" customFormat="1" ht="24.75" customHeight="1" x14ac:dyDescent="0.2">
      <c r="A7" s="998"/>
      <c r="B7" s="692"/>
      <c r="C7" s="999"/>
      <c r="D7" s="995"/>
      <c r="E7" s="1229" t="s">
        <v>1748</v>
      </c>
      <c r="F7" s="987" t="s">
        <v>160</v>
      </c>
      <c r="G7" s="1230" t="s">
        <v>1749</v>
      </c>
      <c r="H7" s="1230">
        <v>1</v>
      </c>
      <c r="I7" s="990"/>
      <c r="J7" s="990"/>
      <c r="K7" s="991">
        <f>I7*J7</f>
        <v>0</v>
      </c>
      <c r="L7" s="990"/>
      <c r="M7" s="990"/>
      <c r="N7" s="991"/>
      <c r="O7" s="992"/>
      <c r="P7" s="990"/>
      <c r="Q7" s="992"/>
      <c r="R7" s="994">
        <f>P7+N7+K7</f>
        <v>0</v>
      </c>
      <c r="S7" s="1035">
        <f>IF(F7="na","",H7*R7)</f>
        <v>0</v>
      </c>
      <c r="T7" s="1001"/>
    </row>
    <row r="8" spans="1:20" s="1005" customFormat="1" ht="24.75" customHeight="1" x14ac:dyDescent="0.2">
      <c r="A8" s="998"/>
      <c r="B8" s="693"/>
      <c r="C8" s="1003" t="s">
        <v>1868</v>
      </c>
      <c r="D8" s="996"/>
      <c r="E8" s="1231" t="s">
        <v>1869</v>
      </c>
      <c r="F8" s="145" t="s">
        <v>160</v>
      </c>
      <c r="G8" s="1230" t="s">
        <v>1749</v>
      </c>
      <c r="H8" s="1230">
        <v>1</v>
      </c>
      <c r="I8" s="990"/>
      <c r="J8" s="990"/>
      <c r="K8" s="991">
        <f>I8*J8</f>
        <v>0</v>
      </c>
      <c r="L8" s="990"/>
      <c r="M8" s="990"/>
      <c r="N8" s="991"/>
      <c r="O8" s="992"/>
      <c r="P8" s="990"/>
      <c r="Q8" s="992"/>
      <c r="R8" s="994">
        <f>P8+N8+K8</f>
        <v>0</v>
      </c>
      <c r="S8" s="994">
        <f>H8*R8</f>
        <v>0</v>
      </c>
      <c r="T8" s="1001"/>
    </row>
    <row r="9" spans="1:20" s="1016" customFormat="1" ht="37.15" customHeight="1" x14ac:dyDescent="0.25">
      <c r="A9" s="1006"/>
      <c r="B9" s="401"/>
      <c r="C9" s="401"/>
      <c r="D9" s="401"/>
      <c r="E9" s="1260" t="s">
        <v>1880</v>
      </c>
      <c r="F9" s="495" t="s">
        <v>160</v>
      </c>
      <c r="G9" s="1230" t="s">
        <v>1749</v>
      </c>
      <c r="H9" s="1230">
        <v>1</v>
      </c>
      <c r="I9" s="990"/>
      <c r="J9" s="990"/>
      <c r="K9" s="991">
        <f>I9*J9</f>
        <v>0</v>
      </c>
      <c r="L9" s="990"/>
      <c r="M9" s="990"/>
      <c r="N9" s="991"/>
      <c r="O9" s="992"/>
      <c r="P9" s="990"/>
      <c r="Q9" s="992"/>
      <c r="R9" s="994">
        <f>P9+N9+K9</f>
        <v>0</v>
      </c>
      <c r="S9" s="994">
        <f>H9*R9</f>
        <v>0</v>
      </c>
      <c r="T9" s="1001"/>
    </row>
    <row r="10" spans="1:20" s="1016" customFormat="1" ht="37.15" customHeight="1" x14ac:dyDescent="0.25">
      <c r="A10" s="1006"/>
      <c r="B10" s="401"/>
      <c r="C10" s="401"/>
      <c r="D10" s="401"/>
      <c r="E10" s="1260" t="s">
        <v>1881</v>
      </c>
      <c r="F10" s="495" t="s">
        <v>160</v>
      </c>
      <c r="G10" s="1230" t="s">
        <v>1749</v>
      </c>
      <c r="H10" s="1230">
        <v>1</v>
      </c>
      <c r="I10" s="990"/>
      <c r="J10" s="990"/>
      <c r="K10" s="991">
        <f>I10*J10</f>
        <v>0</v>
      </c>
      <c r="L10" s="990"/>
      <c r="M10" s="990"/>
      <c r="N10" s="991"/>
      <c r="O10" s="992"/>
      <c r="P10" s="990"/>
      <c r="Q10" s="992"/>
      <c r="R10" s="994">
        <f>P10+N10+K10</f>
        <v>0</v>
      </c>
      <c r="S10" s="994">
        <f>H10*R10</f>
        <v>0</v>
      </c>
      <c r="T10" s="1001"/>
    </row>
    <row r="11" spans="1:20" s="1016" customFormat="1" ht="37.15" customHeight="1" x14ac:dyDescent="0.25">
      <c r="A11" s="1006"/>
      <c r="B11" s="401"/>
      <c r="C11" s="401"/>
      <c r="D11" s="1257"/>
      <c r="E11" s="1235" t="s">
        <v>1803</v>
      </c>
      <c r="F11" s="495" t="s">
        <v>160</v>
      </c>
      <c r="G11" s="1230" t="s">
        <v>1749</v>
      </c>
      <c r="H11" s="1230">
        <v>1</v>
      </c>
      <c r="I11" s="990"/>
      <c r="J11" s="990"/>
      <c r="K11" s="991">
        <f>I11*J11</f>
        <v>0</v>
      </c>
      <c r="L11" s="990"/>
      <c r="M11" s="990"/>
      <c r="N11" s="991"/>
      <c r="O11" s="992"/>
      <c r="P11" s="990"/>
      <c r="Q11" s="992"/>
      <c r="R11" s="994">
        <f>P11+N11+K11</f>
        <v>0</v>
      </c>
      <c r="S11" s="994">
        <f>H11*R11</f>
        <v>0</v>
      </c>
      <c r="T11" s="1001"/>
    </row>
    <row r="12" spans="1:20" customFormat="1" ht="24.75" customHeight="1" x14ac:dyDescent="0.25">
      <c r="B12" s="1667" t="s">
        <v>1761</v>
      </c>
      <c r="C12" s="1667"/>
      <c r="D12" s="1667"/>
      <c r="E12" s="1667"/>
      <c r="F12" s="1665" t="s">
        <v>154</v>
      </c>
      <c r="G12" s="1665"/>
      <c r="H12" s="1665"/>
      <c r="I12" s="1665"/>
      <c r="J12" s="1665"/>
      <c r="K12" s="1665"/>
      <c r="L12" s="1665"/>
      <c r="M12" s="1665"/>
      <c r="N12" s="1665"/>
      <c r="O12" s="1665"/>
      <c r="P12" s="1665"/>
      <c r="Q12" s="1665"/>
      <c r="R12" s="1665"/>
      <c r="S12" s="877">
        <f>SUMIF(F14:F14,"Mandatory",S14:S14)</f>
        <v>0</v>
      </c>
      <c r="T12" s="878"/>
    </row>
    <row r="13" spans="1:20" customFormat="1" ht="24.75" customHeight="1" x14ac:dyDescent="0.25">
      <c r="B13" s="1667"/>
      <c r="C13" s="1667"/>
      <c r="D13" s="1667"/>
      <c r="E13" s="1667"/>
      <c r="F13" s="1666" t="s">
        <v>156</v>
      </c>
      <c r="G13" s="1666"/>
      <c r="H13" s="1666"/>
      <c r="I13" s="1666"/>
      <c r="J13" s="1666"/>
      <c r="K13" s="1666"/>
      <c r="L13" s="1666"/>
      <c r="M13" s="1666"/>
      <c r="N13" s="1666"/>
      <c r="O13" s="1666"/>
      <c r="P13" s="1666"/>
      <c r="Q13" s="1666"/>
      <c r="R13" s="1666"/>
      <c r="S13" s="1032">
        <f>SUMIF(F14:F14,"Optional",S14:S14)</f>
        <v>0</v>
      </c>
      <c r="T13" s="1033"/>
    </row>
    <row r="14" spans="1:20" s="1010" customFormat="1" ht="24.75" customHeight="1" x14ac:dyDescent="0.25">
      <c r="A14" s="1006"/>
      <c r="B14" s="1007"/>
      <c r="C14" s="1008"/>
      <c r="D14" s="1246"/>
      <c r="E14" s="1229" t="s">
        <v>1871</v>
      </c>
      <c r="F14" s="145" t="s">
        <v>160</v>
      </c>
      <c r="G14" s="1230" t="s">
        <v>1749</v>
      </c>
      <c r="H14" s="1230">
        <v>1</v>
      </c>
      <c r="I14" s="990"/>
      <c r="J14" s="990"/>
      <c r="K14" s="991">
        <f>I14*J14</f>
        <v>0</v>
      </c>
      <c r="L14" s="990"/>
      <c r="M14" s="990"/>
      <c r="N14" s="991"/>
      <c r="O14" s="992"/>
      <c r="P14" s="990"/>
      <c r="Q14" s="992"/>
      <c r="R14" s="994">
        <f>P14+N14+K14</f>
        <v>0</v>
      </c>
      <c r="S14" s="994">
        <f>H14*R14</f>
        <v>0</v>
      </c>
      <c r="T14" s="1001"/>
    </row>
    <row r="15" spans="1:20" s="173" customFormat="1" ht="20.25" collapsed="1" x14ac:dyDescent="0.2">
      <c r="B15" s="1667" t="s">
        <v>1882</v>
      </c>
      <c r="C15" s="1667"/>
      <c r="D15" s="1667"/>
      <c r="E15" s="1667"/>
      <c r="F15" s="1673" t="s">
        <v>154</v>
      </c>
      <c r="G15" s="1673"/>
      <c r="H15" s="1673"/>
      <c r="I15" s="1673"/>
      <c r="J15" s="1673"/>
      <c r="K15" s="1673"/>
      <c r="L15" s="1673"/>
      <c r="M15" s="1673"/>
      <c r="N15" s="1673"/>
      <c r="O15" s="1673"/>
      <c r="P15" s="1673"/>
      <c r="Q15" s="1673"/>
      <c r="R15" s="1673"/>
      <c r="S15" s="908">
        <f>SUMIF(F17:F58,"Mandatory",S17:S58)</f>
        <v>0</v>
      </c>
      <c r="T15" s="864" t="s">
        <v>155</v>
      </c>
    </row>
    <row r="16" spans="1:20" s="173" customFormat="1" ht="20.25" x14ac:dyDescent="0.2">
      <c r="B16" s="1667"/>
      <c r="C16" s="1667"/>
      <c r="D16" s="1667"/>
      <c r="E16" s="1667"/>
      <c r="F16" s="1673" t="s">
        <v>156</v>
      </c>
      <c r="G16" s="1673"/>
      <c r="H16" s="1673"/>
      <c r="I16" s="1673"/>
      <c r="J16" s="1673"/>
      <c r="K16" s="1673"/>
      <c r="L16" s="1673"/>
      <c r="M16" s="1673"/>
      <c r="N16" s="1673"/>
      <c r="O16" s="1673"/>
      <c r="P16" s="1673"/>
      <c r="Q16" s="1673"/>
      <c r="R16" s="1673"/>
      <c r="S16" s="863">
        <f>SUMIF(F17:F58,"optional",S17:S58)</f>
        <v>0</v>
      </c>
      <c r="T16" s="962" t="s">
        <v>155</v>
      </c>
    </row>
    <row r="17" spans="1:20" s="1010" customFormat="1" ht="39.75" customHeight="1" x14ac:dyDescent="0.25">
      <c r="A17" s="1006"/>
      <c r="B17" s="1693"/>
      <c r="C17" s="1693"/>
      <c r="D17" s="1693"/>
      <c r="E17" s="1258" t="s">
        <v>1883</v>
      </c>
      <c r="F17" s="1259"/>
      <c r="G17" s="1259"/>
      <c r="H17" s="1259"/>
      <c r="I17" s="1259"/>
      <c r="J17" s="1259"/>
      <c r="K17" s="1259"/>
      <c r="L17" s="1259"/>
      <c r="M17" s="1259"/>
      <c r="N17" s="1259"/>
      <c r="O17" s="1259"/>
      <c r="P17" s="1259"/>
      <c r="Q17" s="1259"/>
      <c r="R17" s="1259"/>
      <c r="S17" s="1259"/>
      <c r="T17" s="1259"/>
    </row>
    <row r="18" spans="1:20" s="1010" customFormat="1" ht="162" customHeight="1" x14ac:dyDescent="0.2">
      <c r="A18" s="1011"/>
      <c r="B18" s="693"/>
      <c r="C18" s="964"/>
      <c r="D18" s="401"/>
      <c r="E18" s="1248" t="s">
        <v>1884</v>
      </c>
      <c r="F18" s="145" t="s">
        <v>160</v>
      </c>
      <c r="G18" s="1232" t="s">
        <v>1765</v>
      </c>
      <c r="H18" s="1255"/>
      <c r="I18" s="990"/>
      <c r="J18" s="990"/>
      <c r="K18" s="991">
        <f t="shared" ref="K18:K29" si="0">I18*J18</f>
        <v>0</v>
      </c>
      <c r="L18" s="990"/>
      <c r="M18" s="990"/>
      <c r="N18" s="991">
        <f t="shared" ref="N18:N58" si="1">L18*M18</f>
        <v>0</v>
      </c>
      <c r="O18" s="992"/>
      <c r="P18" s="990"/>
      <c r="Q18" s="992"/>
      <c r="R18" s="994">
        <f t="shared" ref="R18:R58" si="2">P18+N18+K18</f>
        <v>0</v>
      </c>
      <c r="S18" s="994">
        <f t="shared" ref="S18:S58" si="3">H18*R18</f>
        <v>0</v>
      </c>
      <c r="T18" s="1012"/>
    </row>
    <row r="19" spans="1:20" s="1010" customFormat="1" x14ac:dyDescent="0.2">
      <c r="A19" s="1006"/>
      <c r="B19" s="693"/>
      <c r="C19" s="964"/>
      <c r="D19" s="401"/>
      <c r="E19" s="1248" t="s">
        <v>1885</v>
      </c>
      <c r="F19" s="145" t="s">
        <v>160</v>
      </c>
      <c r="G19" s="1232" t="s">
        <v>1765</v>
      </c>
      <c r="H19" s="1255"/>
      <c r="I19" s="990"/>
      <c r="J19" s="990"/>
      <c r="K19" s="991">
        <f t="shared" si="0"/>
        <v>0</v>
      </c>
      <c r="L19" s="990"/>
      <c r="M19" s="990"/>
      <c r="N19" s="991">
        <f t="shared" si="1"/>
        <v>0</v>
      </c>
      <c r="O19" s="992"/>
      <c r="P19" s="990"/>
      <c r="Q19" s="992"/>
      <c r="R19" s="994">
        <f t="shared" si="2"/>
        <v>0</v>
      </c>
      <c r="S19" s="994">
        <f t="shared" si="3"/>
        <v>0</v>
      </c>
      <c r="T19" s="1001"/>
    </row>
    <row r="20" spans="1:20" s="1010" customFormat="1" x14ac:dyDescent="0.2">
      <c r="A20" s="1006"/>
      <c r="B20" s="693"/>
      <c r="C20" s="964"/>
      <c r="D20" s="401"/>
      <c r="E20" s="1248" t="s">
        <v>1886</v>
      </c>
      <c r="F20" s="145" t="s">
        <v>160</v>
      </c>
      <c r="G20" s="1232" t="s">
        <v>1765</v>
      </c>
      <c r="H20" s="1256"/>
      <c r="I20" s="990"/>
      <c r="J20" s="990"/>
      <c r="K20" s="991">
        <f t="shared" si="0"/>
        <v>0</v>
      </c>
      <c r="L20" s="990"/>
      <c r="M20" s="990"/>
      <c r="N20" s="991">
        <f t="shared" si="1"/>
        <v>0</v>
      </c>
      <c r="O20" s="992"/>
      <c r="P20" s="990"/>
      <c r="Q20" s="992"/>
      <c r="R20" s="994">
        <f t="shared" si="2"/>
        <v>0</v>
      </c>
      <c r="S20" s="994">
        <f t="shared" si="3"/>
        <v>0</v>
      </c>
      <c r="T20" s="1001"/>
    </row>
    <row r="21" spans="1:20" s="1010" customFormat="1" x14ac:dyDescent="0.2">
      <c r="A21" s="1006"/>
      <c r="B21" s="693"/>
      <c r="C21" s="964"/>
      <c r="D21" s="401"/>
      <c r="E21" s="1249" t="s">
        <v>1887</v>
      </c>
      <c r="F21" s="145" t="s">
        <v>160</v>
      </c>
      <c r="G21" s="1232" t="s">
        <v>1765</v>
      </c>
      <c r="H21" s="1255"/>
      <c r="I21" s="990"/>
      <c r="J21" s="990"/>
      <c r="K21" s="991">
        <f t="shared" si="0"/>
        <v>0</v>
      </c>
      <c r="L21" s="990"/>
      <c r="M21" s="990"/>
      <c r="N21" s="991">
        <f t="shared" si="1"/>
        <v>0</v>
      </c>
      <c r="O21" s="992"/>
      <c r="P21" s="990"/>
      <c r="Q21" s="992"/>
      <c r="R21" s="994">
        <f t="shared" si="2"/>
        <v>0</v>
      </c>
      <c r="S21" s="994">
        <f t="shared" si="3"/>
        <v>0</v>
      </c>
      <c r="T21" s="1001"/>
    </row>
    <row r="22" spans="1:20" s="1010" customFormat="1" ht="96.75" customHeight="1" x14ac:dyDescent="0.2">
      <c r="A22" s="1006"/>
      <c r="B22" s="692"/>
      <c r="C22" s="964"/>
      <c r="D22" s="401"/>
      <c r="E22" s="1249" t="s">
        <v>1888</v>
      </c>
      <c r="F22" s="145" t="s">
        <v>160</v>
      </c>
      <c r="G22" s="1232" t="s">
        <v>1765</v>
      </c>
      <c r="H22" s="1255"/>
      <c r="I22" s="990"/>
      <c r="J22" s="990"/>
      <c r="K22" s="991">
        <f t="shared" si="0"/>
        <v>0</v>
      </c>
      <c r="L22" s="990"/>
      <c r="M22" s="990"/>
      <c r="N22" s="991">
        <f t="shared" si="1"/>
        <v>0</v>
      </c>
      <c r="O22" s="992"/>
      <c r="P22" s="990"/>
      <c r="Q22" s="992"/>
      <c r="R22" s="994">
        <f t="shared" si="2"/>
        <v>0</v>
      </c>
      <c r="S22" s="994">
        <f t="shared" si="3"/>
        <v>0</v>
      </c>
      <c r="T22" s="1001"/>
    </row>
    <row r="23" spans="1:20" s="1010" customFormat="1" ht="51" customHeight="1" x14ac:dyDescent="0.2">
      <c r="A23" s="1006"/>
      <c r="B23" s="693"/>
      <c r="C23" s="964"/>
      <c r="D23" s="401"/>
      <c r="E23" s="1249" t="s">
        <v>1889</v>
      </c>
      <c r="F23" s="145" t="s">
        <v>160</v>
      </c>
      <c r="G23" s="1232" t="s">
        <v>1765</v>
      </c>
      <c r="H23" s="1255"/>
      <c r="I23" s="990"/>
      <c r="J23" s="990"/>
      <c r="K23" s="991">
        <f t="shared" si="0"/>
        <v>0</v>
      </c>
      <c r="L23" s="990"/>
      <c r="M23" s="990"/>
      <c r="N23" s="991">
        <f t="shared" si="1"/>
        <v>0</v>
      </c>
      <c r="O23" s="992"/>
      <c r="P23" s="990"/>
      <c r="Q23" s="992"/>
      <c r="R23" s="994">
        <f t="shared" si="2"/>
        <v>0</v>
      </c>
      <c r="S23" s="994">
        <f t="shared" si="3"/>
        <v>0</v>
      </c>
      <c r="T23" s="1001"/>
    </row>
    <row r="24" spans="1:20" s="1010" customFormat="1" ht="47.25" customHeight="1" x14ac:dyDescent="0.2">
      <c r="A24" s="1006"/>
      <c r="B24" s="693"/>
      <c r="C24" s="964"/>
      <c r="D24" s="401"/>
      <c r="E24" s="1250" t="s">
        <v>1890</v>
      </c>
      <c r="F24" s="145" t="s">
        <v>160</v>
      </c>
      <c r="G24" s="1232" t="s">
        <v>1765</v>
      </c>
      <c r="H24" s="1255"/>
      <c r="I24" s="990"/>
      <c r="J24" s="990"/>
      <c r="K24" s="991">
        <f t="shared" si="0"/>
        <v>0</v>
      </c>
      <c r="L24" s="990"/>
      <c r="M24" s="990"/>
      <c r="N24" s="991">
        <f t="shared" si="1"/>
        <v>0</v>
      </c>
      <c r="O24" s="992"/>
      <c r="P24" s="990"/>
      <c r="Q24" s="992"/>
      <c r="R24" s="994">
        <f t="shared" si="2"/>
        <v>0</v>
      </c>
      <c r="S24" s="994">
        <f t="shared" si="3"/>
        <v>0</v>
      </c>
      <c r="T24" s="1001"/>
    </row>
    <row r="25" spans="1:20" s="1010" customFormat="1" ht="49.5" customHeight="1" x14ac:dyDescent="0.2">
      <c r="A25" s="1011"/>
      <c r="B25" s="693"/>
      <c r="C25" s="964"/>
      <c r="D25" s="401"/>
      <c r="E25" s="1248" t="s">
        <v>1891</v>
      </c>
      <c r="F25" s="145" t="s">
        <v>160</v>
      </c>
      <c r="G25" s="1232" t="s">
        <v>1765</v>
      </c>
      <c r="H25" s="1255"/>
      <c r="I25" s="990"/>
      <c r="J25" s="990"/>
      <c r="K25" s="991">
        <f t="shared" si="0"/>
        <v>0</v>
      </c>
      <c r="L25" s="990"/>
      <c r="M25" s="990"/>
      <c r="N25" s="991">
        <f t="shared" si="1"/>
        <v>0</v>
      </c>
      <c r="O25" s="992"/>
      <c r="P25" s="990"/>
      <c r="Q25" s="992"/>
      <c r="R25" s="994">
        <f t="shared" si="2"/>
        <v>0</v>
      </c>
      <c r="S25" s="994">
        <f t="shared" si="3"/>
        <v>0</v>
      </c>
      <c r="T25" s="1001"/>
    </row>
    <row r="26" spans="1:20" s="1016" customFormat="1" ht="54" customHeight="1" x14ac:dyDescent="0.2">
      <c r="A26" s="1006"/>
      <c r="B26" s="693"/>
      <c r="C26" s="964"/>
      <c r="D26" s="401"/>
      <c r="E26" s="1251" t="s">
        <v>1892</v>
      </c>
      <c r="F26" s="145" t="s">
        <v>160</v>
      </c>
      <c r="G26" s="1232"/>
      <c r="H26" s="1255"/>
      <c r="I26" s="990"/>
      <c r="J26" s="990"/>
      <c r="K26" s="991">
        <f t="shared" si="0"/>
        <v>0</v>
      </c>
      <c r="L26" s="990"/>
      <c r="M26" s="990"/>
      <c r="N26" s="991">
        <f t="shared" si="1"/>
        <v>0</v>
      </c>
      <c r="O26" s="992"/>
      <c r="P26" s="990"/>
      <c r="Q26" s="992"/>
      <c r="R26" s="994">
        <f t="shared" si="2"/>
        <v>0</v>
      </c>
      <c r="S26" s="994">
        <f t="shared" si="3"/>
        <v>0</v>
      </c>
      <c r="T26" s="1001"/>
    </row>
    <row r="27" spans="1:20" s="1010" customFormat="1" ht="65.650000000000006" customHeight="1" x14ac:dyDescent="0.2">
      <c r="A27" s="1011"/>
      <c r="B27" s="693"/>
      <c r="C27" s="964"/>
      <c r="D27" s="401"/>
      <c r="E27" s="1248" t="s">
        <v>1893</v>
      </c>
      <c r="F27" s="145" t="s">
        <v>160</v>
      </c>
      <c r="G27" s="1232" t="s">
        <v>1765</v>
      </c>
      <c r="H27" s="1255"/>
      <c r="I27" s="990"/>
      <c r="J27" s="990"/>
      <c r="K27" s="991">
        <f t="shared" si="0"/>
        <v>0</v>
      </c>
      <c r="L27" s="990"/>
      <c r="M27" s="990"/>
      <c r="N27" s="991">
        <f t="shared" si="1"/>
        <v>0</v>
      </c>
      <c r="O27" s="992"/>
      <c r="P27" s="990"/>
      <c r="Q27" s="992"/>
      <c r="R27" s="994">
        <f t="shared" si="2"/>
        <v>0</v>
      </c>
      <c r="S27" s="994">
        <f t="shared" si="3"/>
        <v>0</v>
      </c>
      <c r="T27" s="1001"/>
    </row>
    <row r="28" spans="1:20" s="1016" customFormat="1" ht="14.25" x14ac:dyDescent="0.2">
      <c r="A28" s="1011"/>
      <c r="B28" s="693"/>
      <c r="C28" s="964"/>
      <c r="D28" s="401"/>
      <c r="E28" s="1252" t="s">
        <v>1894</v>
      </c>
      <c r="F28" s="145" t="s">
        <v>167</v>
      </c>
      <c r="G28" s="1232" t="s">
        <v>1765</v>
      </c>
      <c r="H28" s="1255"/>
      <c r="I28" s="990"/>
      <c r="J28" s="990"/>
      <c r="K28" s="991">
        <f t="shared" si="0"/>
        <v>0</v>
      </c>
      <c r="L28" s="990"/>
      <c r="M28" s="990"/>
      <c r="N28" s="991">
        <f t="shared" si="1"/>
        <v>0</v>
      </c>
      <c r="O28" s="992"/>
      <c r="P28" s="990"/>
      <c r="Q28" s="992"/>
      <c r="R28" s="994">
        <f t="shared" si="2"/>
        <v>0</v>
      </c>
      <c r="S28" s="994">
        <f t="shared" si="3"/>
        <v>0</v>
      </c>
      <c r="T28" s="1001"/>
    </row>
    <row r="29" spans="1:20" s="1016" customFormat="1" ht="37.15" customHeight="1" x14ac:dyDescent="0.2">
      <c r="A29" s="1011"/>
      <c r="B29" s="693"/>
      <c r="C29" s="1017"/>
      <c r="D29" s="401"/>
      <c r="E29" s="1252" t="s">
        <v>1895</v>
      </c>
      <c r="F29" s="145" t="s">
        <v>160</v>
      </c>
      <c r="G29" s="1232" t="s">
        <v>1765</v>
      </c>
      <c r="H29" s="1255"/>
      <c r="I29" s="990"/>
      <c r="J29" s="990"/>
      <c r="K29" s="991">
        <f t="shared" si="0"/>
        <v>0</v>
      </c>
      <c r="L29" s="990"/>
      <c r="M29" s="990"/>
      <c r="N29" s="991">
        <f t="shared" si="1"/>
        <v>0</v>
      </c>
      <c r="O29" s="992"/>
      <c r="P29" s="990"/>
      <c r="Q29" s="992"/>
      <c r="R29" s="994">
        <f t="shared" si="2"/>
        <v>0</v>
      </c>
      <c r="S29" s="994">
        <f t="shared" si="3"/>
        <v>0</v>
      </c>
      <c r="T29" s="1001"/>
    </row>
    <row r="30" spans="1:20" s="1016" customFormat="1" ht="37.15" customHeight="1" x14ac:dyDescent="0.2">
      <c r="A30" s="1011"/>
      <c r="B30" s="693"/>
      <c r="C30" s="1017"/>
      <c r="D30" s="401"/>
      <c r="E30" s="1252" t="s">
        <v>632</v>
      </c>
      <c r="F30" s="145" t="s">
        <v>167</v>
      </c>
      <c r="G30" s="1232" t="s">
        <v>141</v>
      </c>
      <c r="H30" s="1255"/>
      <c r="I30" s="990"/>
      <c r="J30" s="990"/>
      <c r="K30" s="991"/>
      <c r="L30" s="990"/>
      <c r="M30" s="990"/>
      <c r="N30" s="991"/>
      <c r="O30" s="992"/>
      <c r="P30" s="990"/>
      <c r="Q30" s="992"/>
      <c r="R30" s="994"/>
      <c r="S30" s="994"/>
      <c r="T30" s="1001" t="s">
        <v>1896</v>
      </c>
    </row>
    <row r="31" spans="1:20" s="1010" customFormat="1" ht="45" customHeight="1" x14ac:dyDescent="0.25">
      <c r="A31" s="1006"/>
      <c r="B31" s="1693"/>
      <c r="C31" s="1693"/>
      <c r="D31" s="1693"/>
      <c r="E31" s="1258" t="s">
        <v>1897</v>
      </c>
      <c r="F31" s="1259"/>
      <c r="G31" s="1259"/>
      <c r="H31" s="1259"/>
      <c r="I31" s="1259"/>
      <c r="J31" s="1259"/>
      <c r="K31" s="1259"/>
      <c r="L31" s="1259"/>
      <c r="M31" s="1259"/>
      <c r="N31" s="1259"/>
      <c r="O31" s="1259"/>
      <c r="P31" s="1259"/>
      <c r="Q31" s="1259"/>
      <c r="R31" s="1259"/>
      <c r="S31" s="1259"/>
      <c r="T31" s="1259"/>
    </row>
    <row r="32" spans="1:20" s="1010" customFormat="1" ht="43.5" customHeight="1" x14ac:dyDescent="0.2">
      <c r="A32" s="1006"/>
      <c r="B32" s="694"/>
      <c r="C32" s="1018"/>
      <c r="D32" s="401"/>
      <c r="E32" s="1248" t="s">
        <v>1884</v>
      </c>
      <c r="F32" s="495" t="s">
        <v>160</v>
      </c>
      <c r="G32" s="1232" t="s">
        <v>1765</v>
      </c>
      <c r="H32" s="1255"/>
      <c r="I32" s="990"/>
      <c r="J32" s="990"/>
      <c r="K32" s="991">
        <f t="shared" ref="K32:K43" si="4">I32*J32</f>
        <v>0</v>
      </c>
      <c r="L32" s="990"/>
      <c r="M32" s="990"/>
      <c r="N32" s="991">
        <f t="shared" si="1"/>
        <v>0</v>
      </c>
      <c r="O32" s="992"/>
      <c r="P32" s="990"/>
      <c r="Q32" s="992"/>
      <c r="R32" s="994">
        <f t="shared" si="2"/>
        <v>0</v>
      </c>
      <c r="S32" s="994">
        <f t="shared" si="3"/>
        <v>0</v>
      </c>
      <c r="T32" s="1001"/>
    </row>
    <row r="33" spans="1:20" s="1010" customFormat="1" ht="41.25" customHeight="1" x14ac:dyDescent="0.2">
      <c r="A33" s="1006"/>
      <c r="B33" s="694"/>
      <c r="C33" s="1018"/>
      <c r="D33" s="401"/>
      <c r="E33" s="1248" t="s">
        <v>1898</v>
      </c>
      <c r="F33" s="495" t="s">
        <v>160</v>
      </c>
      <c r="G33" s="1232" t="s">
        <v>1765</v>
      </c>
      <c r="H33" s="1255"/>
      <c r="I33" s="990"/>
      <c r="J33" s="990"/>
      <c r="K33" s="991">
        <f t="shared" si="4"/>
        <v>0</v>
      </c>
      <c r="L33" s="990"/>
      <c r="M33" s="990"/>
      <c r="N33" s="991">
        <f t="shared" si="1"/>
        <v>0</v>
      </c>
      <c r="O33" s="992"/>
      <c r="P33" s="990"/>
      <c r="Q33" s="992"/>
      <c r="R33" s="994">
        <f t="shared" si="2"/>
        <v>0</v>
      </c>
      <c r="S33" s="994">
        <f t="shared" si="3"/>
        <v>0</v>
      </c>
      <c r="T33" s="1001"/>
    </row>
    <row r="34" spans="1:20" s="1016" customFormat="1" ht="51" customHeight="1" x14ac:dyDescent="0.2">
      <c r="A34" s="1006"/>
      <c r="B34" s="694"/>
      <c r="C34" s="1018"/>
      <c r="D34" s="401"/>
      <c r="E34" s="1248" t="s">
        <v>1886</v>
      </c>
      <c r="F34" s="495" t="s">
        <v>160</v>
      </c>
      <c r="G34" s="1232" t="s">
        <v>1765</v>
      </c>
      <c r="H34" s="1256"/>
      <c r="I34" s="990"/>
      <c r="J34" s="990"/>
      <c r="K34" s="991">
        <f t="shared" si="4"/>
        <v>0</v>
      </c>
      <c r="L34" s="990"/>
      <c r="M34" s="990"/>
      <c r="N34" s="991">
        <f t="shared" si="1"/>
        <v>0</v>
      </c>
      <c r="O34" s="992"/>
      <c r="P34" s="990"/>
      <c r="Q34" s="992"/>
      <c r="R34" s="994">
        <f t="shared" si="2"/>
        <v>0</v>
      </c>
      <c r="S34" s="994">
        <f t="shared" si="3"/>
        <v>0</v>
      </c>
      <c r="T34" s="1001"/>
    </row>
    <row r="35" spans="1:20" s="1016" customFormat="1" ht="37.15" customHeight="1" x14ac:dyDescent="0.2">
      <c r="A35" s="1006"/>
      <c r="B35" s="693"/>
      <c r="C35" s="972"/>
      <c r="D35" s="401"/>
      <c r="E35" s="1249" t="s">
        <v>1887</v>
      </c>
      <c r="F35" s="495" t="s">
        <v>160</v>
      </c>
      <c r="G35" s="1232" t="s">
        <v>1765</v>
      </c>
      <c r="H35" s="1255"/>
      <c r="I35" s="990"/>
      <c r="J35" s="990"/>
      <c r="K35" s="991">
        <f t="shared" si="4"/>
        <v>0</v>
      </c>
      <c r="L35" s="990"/>
      <c r="M35" s="990"/>
      <c r="N35" s="991">
        <f t="shared" si="1"/>
        <v>0</v>
      </c>
      <c r="O35" s="992"/>
      <c r="P35" s="990"/>
      <c r="Q35" s="992"/>
      <c r="R35" s="994">
        <f t="shared" si="2"/>
        <v>0</v>
      </c>
      <c r="S35" s="994">
        <f t="shared" si="3"/>
        <v>0</v>
      </c>
      <c r="T35" s="1019" t="s">
        <v>1899</v>
      </c>
    </row>
    <row r="36" spans="1:20" s="1016" customFormat="1" ht="37.15" customHeight="1" x14ac:dyDescent="0.2">
      <c r="A36" s="1006"/>
      <c r="B36" s="693"/>
      <c r="C36" s="972"/>
      <c r="D36" s="401"/>
      <c r="E36" s="1249" t="s">
        <v>1888</v>
      </c>
      <c r="F36" s="495" t="s">
        <v>160</v>
      </c>
      <c r="G36" s="1232" t="s">
        <v>1765</v>
      </c>
      <c r="H36" s="1255"/>
      <c r="I36" s="990"/>
      <c r="J36" s="990"/>
      <c r="K36" s="991">
        <f t="shared" si="4"/>
        <v>0</v>
      </c>
      <c r="L36" s="990"/>
      <c r="M36" s="990"/>
      <c r="N36" s="991">
        <f t="shared" si="1"/>
        <v>0</v>
      </c>
      <c r="O36" s="992"/>
      <c r="P36" s="990"/>
      <c r="Q36" s="992"/>
      <c r="R36" s="994">
        <f t="shared" si="2"/>
        <v>0</v>
      </c>
      <c r="S36" s="994">
        <f t="shared" si="3"/>
        <v>0</v>
      </c>
      <c r="T36" s="1019" t="s">
        <v>1899</v>
      </c>
    </row>
    <row r="37" spans="1:20" s="1016" customFormat="1" ht="37.15" customHeight="1" x14ac:dyDescent="0.2">
      <c r="A37" s="1006"/>
      <c r="B37" s="693"/>
      <c r="C37" s="1017"/>
      <c r="D37" s="401"/>
      <c r="E37" s="1249" t="s">
        <v>1889</v>
      </c>
      <c r="F37" s="495" t="s">
        <v>160</v>
      </c>
      <c r="G37" s="1232" t="s">
        <v>1765</v>
      </c>
      <c r="H37" s="1255"/>
      <c r="I37" s="990"/>
      <c r="J37" s="990"/>
      <c r="K37" s="991">
        <f t="shared" si="4"/>
        <v>0</v>
      </c>
      <c r="L37" s="990"/>
      <c r="M37" s="990"/>
      <c r="N37" s="991">
        <f t="shared" si="1"/>
        <v>0</v>
      </c>
      <c r="O37" s="992"/>
      <c r="P37" s="990"/>
      <c r="Q37" s="992"/>
      <c r="R37" s="994">
        <f t="shared" si="2"/>
        <v>0</v>
      </c>
      <c r="S37" s="994">
        <f t="shared" si="3"/>
        <v>0</v>
      </c>
      <c r="T37" s="1001"/>
    </row>
    <row r="38" spans="1:20" s="1016" customFormat="1" ht="37.15" customHeight="1" x14ac:dyDescent="0.2">
      <c r="A38" s="1006"/>
      <c r="B38" s="693"/>
      <c r="C38" s="1017"/>
      <c r="D38" s="401"/>
      <c r="E38" s="1250" t="s">
        <v>1890</v>
      </c>
      <c r="F38" s="495" t="s">
        <v>160</v>
      </c>
      <c r="G38" s="1232" t="s">
        <v>1765</v>
      </c>
      <c r="H38" s="1255"/>
      <c r="I38" s="990"/>
      <c r="J38" s="990"/>
      <c r="K38" s="991">
        <f t="shared" si="4"/>
        <v>0</v>
      </c>
      <c r="L38" s="990"/>
      <c r="M38" s="990"/>
      <c r="N38" s="991"/>
      <c r="O38" s="992"/>
      <c r="P38" s="990"/>
      <c r="Q38" s="992"/>
      <c r="R38" s="994"/>
      <c r="S38" s="994"/>
      <c r="T38" s="1001"/>
    </row>
    <row r="39" spans="1:20" s="1016" customFormat="1" ht="37.15" customHeight="1" x14ac:dyDescent="0.2">
      <c r="A39" s="1006"/>
      <c r="B39" s="693"/>
      <c r="C39" s="1017"/>
      <c r="D39" s="401"/>
      <c r="E39" s="1248" t="s">
        <v>1891</v>
      </c>
      <c r="F39" s="495" t="s">
        <v>160</v>
      </c>
      <c r="G39" s="1232" t="s">
        <v>1765</v>
      </c>
      <c r="H39" s="1255"/>
      <c r="I39" s="990"/>
      <c r="J39" s="990"/>
      <c r="K39" s="991">
        <f t="shared" si="4"/>
        <v>0</v>
      </c>
      <c r="L39" s="990"/>
      <c r="M39" s="990"/>
      <c r="N39" s="991"/>
      <c r="O39" s="992"/>
      <c r="P39" s="990"/>
      <c r="Q39" s="992"/>
      <c r="R39" s="994"/>
      <c r="S39" s="994"/>
      <c r="T39" s="1001"/>
    </row>
    <row r="40" spans="1:20" s="1016" customFormat="1" ht="37.15" customHeight="1" x14ac:dyDescent="0.2">
      <c r="A40" s="1006"/>
      <c r="B40" s="693"/>
      <c r="C40" s="1017"/>
      <c r="D40" s="401"/>
      <c r="E40" s="1251" t="s">
        <v>1892</v>
      </c>
      <c r="F40" s="495" t="s">
        <v>160</v>
      </c>
      <c r="G40" s="1232"/>
      <c r="H40" s="1255"/>
      <c r="I40" s="990"/>
      <c r="J40" s="990"/>
      <c r="K40" s="991">
        <f t="shared" si="4"/>
        <v>0</v>
      </c>
      <c r="L40" s="990"/>
      <c r="M40" s="990"/>
      <c r="N40" s="991"/>
      <c r="O40" s="992"/>
      <c r="P40" s="990"/>
      <c r="Q40" s="992"/>
      <c r="R40" s="994"/>
      <c r="S40" s="994"/>
      <c r="T40" s="1001"/>
    </row>
    <row r="41" spans="1:20" s="1016" customFormat="1" ht="37.15" customHeight="1" x14ac:dyDescent="0.2">
      <c r="A41" s="1006"/>
      <c r="B41" s="693"/>
      <c r="C41" s="1017"/>
      <c r="D41" s="401"/>
      <c r="E41" s="1248" t="s">
        <v>1893</v>
      </c>
      <c r="F41" s="495" t="s">
        <v>160</v>
      </c>
      <c r="G41" s="1232" t="s">
        <v>1765</v>
      </c>
      <c r="H41" s="1255"/>
      <c r="I41" s="990"/>
      <c r="J41" s="990"/>
      <c r="K41" s="991">
        <f t="shared" si="4"/>
        <v>0</v>
      </c>
      <c r="L41" s="990"/>
      <c r="M41" s="990"/>
      <c r="N41" s="991"/>
      <c r="O41" s="992"/>
      <c r="P41" s="990"/>
      <c r="Q41" s="992"/>
      <c r="R41" s="994"/>
      <c r="S41" s="994"/>
      <c r="T41" s="1001"/>
    </row>
    <row r="42" spans="1:20" s="1016" customFormat="1" ht="37.15" customHeight="1" x14ac:dyDescent="0.2">
      <c r="A42" s="1006"/>
      <c r="B42" s="693"/>
      <c r="C42" s="1017"/>
      <c r="D42" s="401"/>
      <c r="E42" s="1252" t="s">
        <v>1894</v>
      </c>
      <c r="F42" s="495" t="s">
        <v>160</v>
      </c>
      <c r="G42" s="1232"/>
      <c r="H42" s="1255"/>
      <c r="I42" s="990"/>
      <c r="J42" s="990"/>
      <c r="K42" s="991">
        <f t="shared" si="4"/>
        <v>0</v>
      </c>
      <c r="L42" s="990"/>
      <c r="M42" s="990"/>
      <c r="N42" s="991"/>
      <c r="O42" s="992"/>
      <c r="P42" s="990"/>
      <c r="Q42" s="992"/>
      <c r="R42" s="994"/>
      <c r="S42" s="994"/>
      <c r="T42" s="1001"/>
    </row>
    <row r="43" spans="1:20" s="1016" customFormat="1" ht="37.15" customHeight="1" x14ac:dyDescent="0.2">
      <c r="A43" s="1006"/>
      <c r="B43" s="693"/>
      <c r="C43" s="1017"/>
      <c r="D43" s="401"/>
      <c r="E43" s="1252" t="s">
        <v>1895</v>
      </c>
      <c r="F43" s="495" t="s">
        <v>160</v>
      </c>
      <c r="G43" s="1232" t="s">
        <v>1765</v>
      </c>
      <c r="H43" s="1255"/>
      <c r="I43" s="990"/>
      <c r="J43" s="990"/>
      <c r="K43" s="991">
        <f t="shared" si="4"/>
        <v>0</v>
      </c>
      <c r="L43" s="990"/>
      <c r="M43" s="990"/>
      <c r="N43" s="991"/>
      <c r="O43" s="992"/>
      <c r="P43" s="990"/>
      <c r="Q43" s="992"/>
      <c r="R43" s="994"/>
      <c r="S43" s="994"/>
      <c r="T43" s="1001"/>
    </row>
    <row r="44" spans="1:20" s="1016" customFormat="1" ht="37.15" customHeight="1" x14ac:dyDescent="0.2">
      <c r="A44" s="1011"/>
      <c r="B44" s="693"/>
      <c r="C44" s="1017"/>
      <c r="D44" s="401"/>
      <c r="E44" s="1252" t="s">
        <v>632</v>
      </c>
      <c r="F44" s="145" t="s">
        <v>167</v>
      </c>
      <c r="G44" s="1232" t="s">
        <v>141</v>
      </c>
      <c r="H44" s="1255"/>
      <c r="I44" s="990"/>
      <c r="J44" s="990"/>
      <c r="K44" s="991"/>
      <c r="L44" s="990"/>
      <c r="M44" s="990"/>
      <c r="N44" s="991"/>
      <c r="O44" s="992"/>
      <c r="P44" s="990"/>
      <c r="Q44" s="992"/>
      <c r="R44" s="994"/>
      <c r="S44" s="994"/>
      <c r="T44" s="1001" t="s">
        <v>1896</v>
      </c>
    </row>
    <row r="45" spans="1:20" s="1016" customFormat="1" ht="37.15" customHeight="1" x14ac:dyDescent="0.25">
      <c r="A45" s="1006"/>
      <c r="B45" s="1693"/>
      <c r="C45" s="1693"/>
      <c r="D45" s="1693"/>
      <c r="E45" s="1258" t="s">
        <v>1900</v>
      </c>
      <c r="F45" s="1259"/>
      <c r="G45" s="1259"/>
      <c r="H45" s="1259"/>
      <c r="I45" s="1259"/>
      <c r="J45" s="1259"/>
      <c r="K45" s="1259"/>
      <c r="L45" s="1259"/>
      <c r="M45" s="1259"/>
      <c r="N45" s="1259"/>
      <c r="O45" s="1259"/>
      <c r="P45" s="1259"/>
      <c r="Q45" s="1259"/>
      <c r="R45" s="1259"/>
      <c r="S45" s="1259"/>
      <c r="T45" s="1259"/>
    </row>
    <row r="46" spans="1:20" s="1016" customFormat="1" ht="37.15" customHeight="1" x14ac:dyDescent="0.25">
      <c r="A46" s="1006"/>
      <c r="B46" s="401"/>
      <c r="C46" s="401"/>
      <c r="D46" s="401"/>
      <c r="E46" s="1253" t="s">
        <v>1901</v>
      </c>
      <c r="F46" s="495" t="s">
        <v>160</v>
      </c>
      <c r="G46" s="1232" t="s">
        <v>1749</v>
      </c>
      <c r="H46" s="1230">
        <v>1</v>
      </c>
      <c r="I46" s="990"/>
      <c r="J46" s="990"/>
      <c r="K46" s="991">
        <f>I46*J46</f>
        <v>0</v>
      </c>
      <c r="L46" s="990"/>
      <c r="M46" s="990"/>
      <c r="N46" s="991"/>
      <c r="O46" s="992"/>
      <c r="P46" s="990"/>
      <c r="Q46" s="992"/>
      <c r="R46" s="994"/>
      <c r="S46" s="994"/>
      <c r="T46" s="1001"/>
    </row>
    <row r="47" spans="1:20" s="1016" customFormat="1" ht="37.15" customHeight="1" x14ac:dyDescent="0.25">
      <c r="A47" s="1006"/>
      <c r="B47" s="401"/>
      <c r="C47" s="401"/>
      <c r="D47" s="401"/>
      <c r="E47" s="1253" t="s">
        <v>1902</v>
      </c>
      <c r="F47" s="495" t="s">
        <v>160</v>
      </c>
      <c r="G47" s="1254" t="s">
        <v>1749</v>
      </c>
      <c r="H47" s="1230">
        <v>1</v>
      </c>
      <c r="I47" s="990"/>
      <c r="J47" s="990"/>
      <c r="K47" s="991">
        <f>I47*J47</f>
        <v>0</v>
      </c>
      <c r="L47" s="990"/>
      <c r="M47" s="990"/>
      <c r="N47" s="991"/>
      <c r="O47" s="992"/>
      <c r="P47" s="990"/>
      <c r="Q47" s="992"/>
      <c r="R47" s="994"/>
      <c r="S47" s="994"/>
      <c r="T47" s="1001"/>
    </row>
    <row r="48" spans="1:20" s="1016" customFormat="1" ht="37.15" customHeight="1" x14ac:dyDescent="0.25">
      <c r="A48" s="1006"/>
      <c r="B48" s="1693"/>
      <c r="C48" s="1693"/>
      <c r="D48" s="1694"/>
      <c r="E48" s="1258" t="s">
        <v>1242</v>
      </c>
      <c r="F48" s="1259"/>
      <c r="G48" s="1259"/>
      <c r="H48" s="1259"/>
      <c r="I48" s="1259"/>
      <c r="J48" s="1259"/>
      <c r="K48" s="1259"/>
      <c r="L48" s="1259"/>
      <c r="M48" s="1259"/>
      <c r="N48" s="1259"/>
      <c r="O48" s="1259"/>
      <c r="P48" s="1259"/>
      <c r="Q48" s="1259"/>
      <c r="R48" s="1259"/>
      <c r="S48" s="1259"/>
      <c r="T48" s="1259"/>
    </row>
    <row r="49" spans="1:20" s="1016" customFormat="1" ht="37.15" customHeight="1" x14ac:dyDescent="0.25">
      <c r="A49" s="1006"/>
      <c r="B49" s="401"/>
      <c r="C49" s="401"/>
      <c r="D49" s="401"/>
      <c r="E49" s="1233" t="s">
        <v>1903</v>
      </c>
      <c r="F49" s="495" t="s">
        <v>167</v>
      </c>
      <c r="G49" s="1232" t="s">
        <v>1765</v>
      </c>
      <c r="H49" s="1237"/>
      <c r="I49" s="990"/>
      <c r="J49" s="990"/>
      <c r="K49" s="991">
        <f>I49*J49</f>
        <v>0</v>
      </c>
      <c r="L49" s="990"/>
      <c r="M49" s="990"/>
      <c r="N49" s="991"/>
      <c r="O49" s="992"/>
      <c r="P49" s="990"/>
      <c r="Q49" s="992"/>
      <c r="R49" s="994"/>
      <c r="S49" s="994"/>
      <c r="T49" s="1001"/>
    </row>
    <row r="50" spans="1:20" s="1016" customFormat="1" ht="37.15" customHeight="1" x14ac:dyDescent="0.25">
      <c r="A50" s="1006"/>
      <c r="B50" s="401"/>
      <c r="C50" s="401"/>
      <c r="D50" s="401"/>
      <c r="E50" s="1234" t="s">
        <v>1677</v>
      </c>
      <c r="F50" s="495" t="s">
        <v>167</v>
      </c>
      <c r="G50" s="1232" t="s">
        <v>1765</v>
      </c>
      <c r="H50" s="1237"/>
      <c r="I50" s="990"/>
      <c r="J50" s="990"/>
      <c r="K50" s="991">
        <f>I50*J50</f>
        <v>0</v>
      </c>
      <c r="L50" s="990"/>
      <c r="M50" s="990"/>
      <c r="N50" s="991"/>
      <c r="O50" s="992"/>
      <c r="P50" s="990"/>
      <c r="Q50" s="992"/>
      <c r="R50" s="994"/>
      <c r="S50" s="994"/>
      <c r="T50" s="1001"/>
    </row>
    <row r="51" spans="1:20" s="1016" customFormat="1" ht="37.15" customHeight="1" x14ac:dyDescent="0.25">
      <c r="A51" s="1006"/>
      <c r="B51" s="401"/>
      <c r="C51" s="401"/>
      <c r="D51" s="401"/>
      <c r="E51" s="1234" t="s">
        <v>1904</v>
      </c>
      <c r="F51" s="495" t="s">
        <v>167</v>
      </c>
      <c r="G51" s="1232" t="s">
        <v>1765</v>
      </c>
      <c r="H51" s="1237"/>
      <c r="I51" s="990"/>
      <c r="J51" s="990"/>
      <c r="K51" s="991">
        <f>I51*J51</f>
        <v>0</v>
      </c>
      <c r="L51" s="990"/>
      <c r="M51" s="990"/>
      <c r="N51" s="991"/>
      <c r="O51" s="992"/>
      <c r="P51" s="990"/>
      <c r="Q51" s="992"/>
      <c r="R51" s="994"/>
      <c r="S51" s="994"/>
      <c r="T51" s="1001"/>
    </row>
    <row r="52" spans="1:20" s="1016" customFormat="1" ht="37.15" customHeight="1" x14ac:dyDescent="0.25">
      <c r="A52" s="1006"/>
      <c r="B52" s="401"/>
      <c r="C52" s="401"/>
      <c r="D52" s="401"/>
      <c r="E52" s="1234" t="s">
        <v>1905</v>
      </c>
      <c r="F52" s="495" t="s">
        <v>167</v>
      </c>
      <c r="G52" s="1232" t="s">
        <v>1765</v>
      </c>
      <c r="H52" s="1237"/>
      <c r="I52" s="990"/>
      <c r="J52" s="990"/>
      <c r="K52" s="991">
        <f>I52*J52</f>
        <v>0</v>
      </c>
      <c r="L52" s="990"/>
      <c r="M52" s="990"/>
      <c r="N52" s="991"/>
      <c r="O52" s="992"/>
      <c r="P52" s="990"/>
      <c r="Q52" s="992"/>
      <c r="R52" s="994"/>
      <c r="S52" s="994"/>
      <c r="T52" s="1001"/>
    </row>
    <row r="53" spans="1:20" customFormat="1" ht="37.15" customHeight="1" x14ac:dyDescent="0.25">
      <c r="B53" s="1667" t="s">
        <v>96</v>
      </c>
      <c r="C53" s="1668"/>
      <c r="D53" s="1668"/>
      <c r="E53" s="1669"/>
      <c r="F53" s="1665" t="s">
        <v>154</v>
      </c>
      <c r="G53" s="1665"/>
      <c r="H53" s="1665"/>
      <c r="I53" s="1665"/>
      <c r="J53" s="1665"/>
      <c r="K53" s="1665"/>
      <c r="L53" s="1665"/>
      <c r="M53" s="1665"/>
      <c r="N53" s="1665"/>
      <c r="O53" s="1665"/>
      <c r="P53" s="1665"/>
      <c r="Q53" s="1665"/>
      <c r="R53" s="1665"/>
      <c r="S53" s="908">
        <f>SUMIF(F55:F58,"Mandatory",S55:S58)</f>
        <v>0</v>
      </c>
      <c r="T53" s="878"/>
    </row>
    <row r="54" spans="1:20" customFormat="1" ht="37.15" customHeight="1" x14ac:dyDescent="0.25">
      <c r="B54" s="1670"/>
      <c r="C54" s="1671"/>
      <c r="D54" s="1671"/>
      <c r="E54" s="1672"/>
      <c r="F54" s="1666" t="s">
        <v>156</v>
      </c>
      <c r="G54" s="1666"/>
      <c r="H54" s="1666"/>
      <c r="I54" s="1666"/>
      <c r="J54" s="1666"/>
      <c r="K54" s="1666"/>
      <c r="L54" s="1666"/>
      <c r="M54" s="1666"/>
      <c r="N54" s="1666"/>
      <c r="O54" s="1666"/>
      <c r="P54" s="1666"/>
      <c r="Q54" s="1666"/>
      <c r="R54" s="1666"/>
      <c r="S54" s="863">
        <f>SUMIF(F55:F58,"optional",S55:S58)</f>
        <v>0</v>
      </c>
      <c r="T54" s="1033"/>
    </row>
    <row r="55" spans="1:20" s="1010" customFormat="1" ht="37.15" customHeight="1" x14ac:dyDescent="0.2">
      <c r="A55" s="1006"/>
      <c r="B55" s="421"/>
      <c r="C55" s="937" t="s">
        <v>762</v>
      </c>
      <c r="D55" s="401"/>
      <c r="E55" s="1235" t="s">
        <v>1906</v>
      </c>
      <c r="F55" s="145" t="s">
        <v>160</v>
      </c>
      <c r="G55" s="1230" t="s">
        <v>1765</v>
      </c>
      <c r="H55" s="1236"/>
      <c r="I55" s="990"/>
      <c r="J55" s="990"/>
      <c r="K55" s="991">
        <f t="shared" ref="K55:K58" si="5">I55*J55</f>
        <v>0</v>
      </c>
      <c r="L55" s="990"/>
      <c r="M55" s="990"/>
      <c r="N55" s="991">
        <f t="shared" si="1"/>
        <v>0</v>
      </c>
      <c r="O55" s="992"/>
      <c r="P55" s="990"/>
      <c r="Q55" s="992"/>
      <c r="R55" s="994">
        <f t="shared" si="2"/>
        <v>0</v>
      </c>
      <c r="S55" s="994">
        <f t="shared" si="3"/>
        <v>0</v>
      </c>
      <c r="T55" s="1001"/>
    </row>
    <row r="56" spans="1:20" s="1010" customFormat="1" ht="37.15" customHeight="1" x14ac:dyDescent="0.2">
      <c r="A56" s="1006"/>
      <c r="B56" s="421"/>
      <c r="C56" s="937" t="s">
        <v>762</v>
      </c>
      <c r="D56" s="401"/>
      <c r="E56" s="1235" t="s">
        <v>1907</v>
      </c>
      <c r="F56" s="145" t="s">
        <v>160</v>
      </c>
      <c r="G56" s="1230" t="s">
        <v>1908</v>
      </c>
      <c r="H56" s="1236"/>
      <c r="I56" s="990"/>
      <c r="J56" s="990"/>
      <c r="K56" s="991">
        <f t="shared" si="5"/>
        <v>0</v>
      </c>
      <c r="L56" s="990"/>
      <c r="M56" s="990"/>
      <c r="N56" s="991">
        <f t="shared" si="1"/>
        <v>0</v>
      </c>
      <c r="O56" s="992"/>
      <c r="P56" s="990"/>
      <c r="Q56" s="992"/>
      <c r="R56" s="994">
        <f t="shared" si="2"/>
        <v>0</v>
      </c>
      <c r="S56" s="994">
        <f t="shared" si="3"/>
        <v>0</v>
      </c>
      <c r="T56" s="1001"/>
    </row>
    <row r="57" spans="1:20" s="1010" customFormat="1" ht="37.15" customHeight="1" x14ac:dyDescent="0.2">
      <c r="A57" s="1011" t="s">
        <v>1909</v>
      </c>
      <c r="B57" s="421"/>
      <c r="C57" s="985" t="s">
        <v>254</v>
      </c>
      <c r="D57" s="401"/>
      <c r="E57" s="1329" t="s">
        <v>1910</v>
      </c>
      <c r="F57" s="145" t="s">
        <v>160</v>
      </c>
      <c r="G57" s="1230" t="s">
        <v>1749</v>
      </c>
      <c r="H57" s="1230">
        <v>1</v>
      </c>
      <c r="I57" s="990"/>
      <c r="J57" s="990"/>
      <c r="K57" s="991">
        <f t="shared" si="5"/>
        <v>0</v>
      </c>
      <c r="L57" s="990"/>
      <c r="M57" s="990"/>
      <c r="N57" s="991">
        <f t="shared" si="1"/>
        <v>0</v>
      </c>
      <c r="O57" s="992"/>
      <c r="P57" s="990"/>
      <c r="Q57" s="992"/>
      <c r="R57" s="994">
        <f t="shared" si="2"/>
        <v>0</v>
      </c>
      <c r="S57" s="994">
        <f t="shared" si="3"/>
        <v>0</v>
      </c>
      <c r="T57" s="1001"/>
    </row>
    <row r="58" spans="1:20" s="1010" customFormat="1" ht="37.15" customHeight="1" x14ac:dyDescent="0.2">
      <c r="A58" s="1011" t="s">
        <v>1911</v>
      </c>
      <c r="B58" s="1026"/>
      <c r="C58" s="985" t="s">
        <v>254</v>
      </c>
      <c r="D58" s="1028"/>
      <c r="E58" s="1329" t="s">
        <v>1912</v>
      </c>
      <c r="F58" s="1021" t="s">
        <v>160</v>
      </c>
      <c r="G58" s="1230" t="s">
        <v>1749</v>
      </c>
      <c r="H58" s="1230">
        <v>1</v>
      </c>
      <c r="I58" s="990"/>
      <c r="J58" s="990"/>
      <c r="K58" s="991">
        <f t="shared" si="5"/>
        <v>0</v>
      </c>
      <c r="L58" s="990"/>
      <c r="M58" s="990"/>
      <c r="N58" s="991">
        <f t="shared" si="1"/>
        <v>0</v>
      </c>
      <c r="O58" s="992"/>
      <c r="P58" s="990"/>
      <c r="Q58" s="992"/>
      <c r="R58" s="994">
        <f t="shared" si="2"/>
        <v>0</v>
      </c>
      <c r="S58" s="1023">
        <f t="shared" si="3"/>
        <v>0</v>
      </c>
      <c r="T58" s="1022"/>
    </row>
    <row r="59" spans="1:20" customFormat="1" ht="37.15" customHeight="1" x14ac:dyDescent="0.25">
      <c r="B59" s="1667" t="s">
        <v>132</v>
      </c>
      <c r="C59" s="1668"/>
      <c r="D59" s="1668"/>
      <c r="E59" s="1669"/>
      <c r="F59" s="1665" t="s">
        <v>154</v>
      </c>
      <c r="G59" s="1665"/>
      <c r="H59" s="1665"/>
      <c r="I59" s="1665"/>
      <c r="J59" s="1665"/>
      <c r="K59" s="1665"/>
      <c r="L59" s="1665"/>
      <c r="M59" s="1665"/>
      <c r="N59" s="1665"/>
      <c r="O59" s="1665"/>
      <c r="P59" s="1665"/>
      <c r="Q59" s="1665"/>
      <c r="R59" s="1665"/>
      <c r="S59" s="877">
        <f>SUMIF(F61:F61,"Mandatory",S61:S61)</f>
        <v>0</v>
      </c>
      <c r="T59" s="878"/>
    </row>
    <row r="60" spans="1:20" customFormat="1" ht="37.15" customHeight="1" x14ac:dyDescent="0.25">
      <c r="B60" s="1670"/>
      <c r="C60" s="1671"/>
      <c r="D60" s="1671"/>
      <c r="E60" s="1672"/>
      <c r="F60" s="1666" t="s">
        <v>156</v>
      </c>
      <c r="G60" s="1666"/>
      <c r="H60" s="1666"/>
      <c r="I60" s="1666"/>
      <c r="J60" s="1666"/>
      <c r="K60" s="1666"/>
      <c r="L60" s="1666"/>
      <c r="M60" s="1666"/>
      <c r="N60" s="1666"/>
      <c r="O60" s="1666"/>
      <c r="P60" s="1666"/>
      <c r="Q60" s="1666"/>
      <c r="R60" s="1666"/>
      <c r="S60" s="1032">
        <f>SUMIF(F61:F61,"Optional",S61:S61)</f>
        <v>0</v>
      </c>
      <c r="T60" s="1033"/>
    </row>
    <row r="61" spans="1:20" s="1010" customFormat="1" ht="37.15" customHeight="1" x14ac:dyDescent="0.2">
      <c r="A61" s="1006"/>
      <c r="B61" s="692"/>
      <c r="C61" s="964" t="str">
        <f>'Reference documents'!B25</f>
        <v>GRE…..</v>
      </c>
      <c r="D61" s="401"/>
      <c r="E61" s="1238" t="s">
        <v>1913</v>
      </c>
      <c r="F61" s="145" t="s">
        <v>167</v>
      </c>
      <c r="G61" s="1230" t="s">
        <v>1749</v>
      </c>
      <c r="H61" s="1230">
        <v>1</v>
      </c>
      <c r="I61" s="990"/>
      <c r="J61" s="990"/>
      <c r="K61" s="991">
        <f>I61*J61</f>
        <v>0</v>
      </c>
      <c r="L61" s="990"/>
      <c r="M61" s="990"/>
      <c r="N61" s="991"/>
      <c r="O61" s="992"/>
      <c r="P61" s="990"/>
      <c r="Q61" s="992"/>
      <c r="R61" s="994">
        <f>P61+N61+K61</f>
        <v>0</v>
      </c>
      <c r="S61" s="994">
        <f>H61*R61</f>
        <v>0</v>
      </c>
      <c r="T61" s="1001"/>
    </row>
  </sheetData>
  <autoFilter ref="B3:T63" xr:uid="{32E03678-4CE2-4317-8A09-156CF665688E}">
    <filterColumn colId="7" showButton="0"/>
    <filterColumn colId="8" showButton="0"/>
    <filterColumn colId="10" showButton="0"/>
    <filterColumn colId="11" showButton="0"/>
    <filterColumn colId="12" showButton="0"/>
    <filterColumn colId="14" showButton="0"/>
  </autoFilter>
  <mergeCells count="32">
    <mergeCell ref="T3:T4"/>
    <mergeCell ref="B15:E16"/>
    <mergeCell ref="F15:R15"/>
    <mergeCell ref="F16:R16"/>
    <mergeCell ref="H3:H4"/>
    <mergeCell ref="I3:K3"/>
    <mergeCell ref="L3:O3"/>
    <mergeCell ref="P3:Q3"/>
    <mergeCell ref="R3:R4"/>
    <mergeCell ref="S3:S4"/>
    <mergeCell ref="B3:B4"/>
    <mergeCell ref="C3:C4"/>
    <mergeCell ref="D3:D4"/>
    <mergeCell ref="B17:D17"/>
    <mergeCell ref="B31:D31"/>
    <mergeCell ref="B45:D45"/>
    <mergeCell ref="E3:E4"/>
    <mergeCell ref="F3:F4"/>
    <mergeCell ref="B5:E6"/>
    <mergeCell ref="F5:R5"/>
    <mergeCell ref="F6:R6"/>
    <mergeCell ref="B12:E13"/>
    <mergeCell ref="F12:R12"/>
    <mergeCell ref="F13:R13"/>
    <mergeCell ref="G3:G4"/>
    <mergeCell ref="B59:E60"/>
    <mergeCell ref="F59:R59"/>
    <mergeCell ref="F60:R60"/>
    <mergeCell ref="B48:D48"/>
    <mergeCell ref="B53:E54"/>
    <mergeCell ref="F53:R53"/>
    <mergeCell ref="F54:R54"/>
  </mergeCells>
  <dataValidations count="1">
    <dataValidation type="list" allowBlank="1" showInputMessage="1" showErrorMessage="1" sqref="F14 F55:F58 F61 F7:F11 F17:F52" xr:uid="{CD9E286A-6D4B-4436-982A-16EBAE49E14C}">
      <formula1>"Mandatory,Optional,NA"</formula1>
    </dataValidation>
  </dataValidations>
  <printOptions horizontalCentered="1"/>
  <pageMargins left="0.23622047244094491" right="0.23622047244094491" top="0.74803149606299213" bottom="0.55118110236220474" header="0.31496062992125984" footer="0.31496062992125984"/>
  <pageSetup paperSize="9" orientation="landscape" r:id="rId1"/>
  <headerFooter>
    <oddHeader>&amp;C&amp;"Arial"&amp;8&amp;K000000INTERNAL&amp;1#</oddHeader>
    <oddFooter>&amp;R&amp;8pag &amp;P di &amp;N</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8B2BA-95B6-48BA-B330-2BE2EEACE8E6}">
  <sheetPr>
    <tabColor rgb="FF00B050"/>
  </sheetPr>
  <dimension ref="B1:T13"/>
  <sheetViews>
    <sheetView topLeftCell="B1" zoomScale="85" zoomScaleNormal="85" workbookViewId="0">
      <selection activeCell="C9" sqref="C9"/>
    </sheetView>
  </sheetViews>
  <sheetFormatPr defaultColWidth="9.140625" defaultRowHeight="15" x14ac:dyDescent="0.25"/>
  <cols>
    <col min="1" max="1" width="3.7109375" customWidth="1"/>
    <col min="2" max="2" width="15.7109375" customWidth="1"/>
    <col min="3" max="3" width="50.42578125" customWidth="1"/>
    <col min="4" max="4" width="14.7109375" customWidth="1"/>
    <col min="5" max="5" width="53" bestFit="1" customWidth="1"/>
    <col min="6" max="6" width="13.28515625" customWidth="1"/>
    <col min="7" max="10" width="14" customWidth="1"/>
    <col min="11" max="11" width="17.28515625" customWidth="1"/>
    <col min="13" max="13" width="23.42578125" customWidth="1"/>
  </cols>
  <sheetData>
    <row r="1" spans="2:20" ht="14.65" customHeight="1" x14ac:dyDescent="0.25">
      <c r="B1" s="259"/>
      <c r="C1" s="699"/>
      <c r="D1" s="700"/>
      <c r="E1" s="122"/>
      <c r="F1" s="122"/>
      <c r="G1" s="122"/>
      <c r="H1" s="701"/>
      <c r="I1" s="30"/>
      <c r="J1" s="30"/>
      <c r="K1" s="284"/>
      <c r="M1" s="1698" t="s">
        <v>1914</v>
      </c>
      <c r="N1" s="1698"/>
      <c r="O1" s="1698"/>
      <c r="P1" s="1698"/>
    </row>
    <row r="2" spans="2:20" ht="15.75" x14ac:dyDescent="0.25">
      <c r="B2" s="1695" t="s">
        <v>1915</v>
      </c>
      <c r="C2" s="1695"/>
      <c r="D2" s="1695"/>
      <c r="E2" s="1695"/>
      <c r="F2" s="1695"/>
      <c r="G2" s="1695"/>
      <c r="H2" s="1695"/>
      <c r="I2" s="1695"/>
      <c r="J2" s="1695"/>
      <c r="K2" s="1695"/>
      <c r="M2" s="1698"/>
      <c r="N2" s="1698"/>
      <c r="O2" s="1698"/>
      <c r="P2" s="1698"/>
    </row>
    <row r="3" spans="2:20" ht="15.75" thickBot="1" x14ac:dyDescent="0.3">
      <c r="B3" s="1037"/>
      <c r="C3" s="1038"/>
      <c r="D3" s="1039"/>
      <c r="E3" s="1040"/>
      <c r="F3" s="1040"/>
      <c r="G3" s="706"/>
      <c r="H3" s="707"/>
      <c r="I3" s="1041"/>
      <c r="J3" s="1041"/>
      <c r="K3" s="1042"/>
      <c r="L3" s="1036"/>
      <c r="M3" s="1698"/>
      <c r="N3" s="1698"/>
      <c r="O3" s="1698"/>
      <c r="P3" s="1698"/>
      <c r="Q3" s="1036"/>
      <c r="R3" s="1036"/>
      <c r="S3" s="1036"/>
      <c r="T3" s="1036"/>
    </row>
    <row r="4" spans="2:20" s="172" customFormat="1" ht="54" customHeight="1" x14ac:dyDescent="0.25">
      <c r="B4" s="1540" t="s">
        <v>186</v>
      </c>
      <c r="C4" s="1540" t="s">
        <v>136</v>
      </c>
      <c r="D4" s="1540" t="s">
        <v>137</v>
      </c>
      <c r="E4" s="1540" t="s">
        <v>187</v>
      </c>
      <c r="F4" s="1546" t="s">
        <v>139</v>
      </c>
      <c r="G4" s="1524" t="s">
        <v>140</v>
      </c>
      <c r="H4" s="1524" t="s">
        <v>141</v>
      </c>
      <c r="I4" s="1528" t="s">
        <v>142</v>
      </c>
      <c r="J4" s="1528"/>
      <c r="K4" s="1528"/>
      <c r="L4" s="1528" t="s">
        <v>143</v>
      </c>
      <c r="M4" s="1528"/>
      <c r="N4" s="1528"/>
      <c r="O4" s="1528"/>
      <c r="P4" s="1528" t="s">
        <v>144</v>
      </c>
      <c r="Q4" s="1528"/>
      <c r="R4" s="1524" t="s">
        <v>145</v>
      </c>
      <c r="S4" s="1524" t="s">
        <v>146</v>
      </c>
      <c r="T4" s="1540" t="s">
        <v>147</v>
      </c>
    </row>
    <row r="5" spans="2:20" s="172" customFormat="1" ht="24.75" customHeight="1" x14ac:dyDescent="0.25">
      <c r="B5" s="1541"/>
      <c r="C5" s="1541"/>
      <c r="D5" s="1541"/>
      <c r="E5" s="1541"/>
      <c r="F5" s="1547"/>
      <c r="G5" s="1525"/>
      <c r="H5" s="1525"/>
      <c r="I5" s="983" t="s">
        <v>148</v>
      </c>
      <c r="J5" s="983" t="s">
        <v>149</v>
      </c>
      <c r="K5" s="983" t="s">
        <v>150</v>
      </c>
      <c r="L5" s="983" t="s">
        <v>148</v>
      </c>
      <c r="M5" s="983" t="s">
        <v>149</v>
      </c>
      <c r="N5" s="983" t="s">
        <v>150</v>
      </c>
      <c r="O5" s="983" t="s">
        <v>151</v>
      </c>
      <c r="P5" s="983" t="s">
        <v>150</v>
      </c>
      <c r="Q5" s="983" t="s">
        <v>152</v>
      </c>
      <c r="R5" s="1525"/>
      <c r="S5" s="1525"/>
      <c r="T5" s="1541"/>
    </row>
    <row r="6" spans="2:20" ht="15" customHeight="1" x14ac:dyDescent="0.25">
      <c r="B6" s="1696"/>
      <c r="C6" s="1696"/>
      <c r="D6" s="1696"/>
      <c r="E6" s="1696"/>
      <c r="F6" s="1665" t="s">
        <v>154</v>
      </c>
      <c r="G6" s="1665"/>
      <c r="H6" s="1665"/>
      <c r="I6" s="1665"/>
      <c r="J6" s="1665"/>
      <c r="K6" s="1665"/>
      <c r="L6" s="1665"/>
      <c r="M6" s="1665"/>
      <c r="N6" s="1665"/>
      <c r="O6" s="1665"/>
      <c r="P6" s="1665"/>
      <c r="Q6" s="1665"/>
      <c r="R6" s="1665"/>
      <c r="S6" s="877">
        <f>SUMIF(F8:F25,"Mandatory",S8:S26)</f>
        <v>0</v>
      </c>
      <c r="T6" s="878"/>
    </row>
    <row r="7" spans="2:20" x14ac:dyDescent="0.25">
      <c r="B7" s="1697"/>
      <c r="C7" s="1697"/>
      <c r="D7" s="1697"/>
      <c r="E7" s="1697"/>
      <c r="F7" s="1666" t="s">
        <v>156</v>
      </c>
      <c r="G7" s="1666"/>
      <c r="H7" s="1666"/>
      <c r="I7" s="1666"/>
      <c r="J7" s="1666"/>
      <c r="K7" s="1666"/>
      <c r="L7" s="1666"/>
      <c r="M7" s="1666"/>
      <c r="N7" s="1666"/>
      <c r="O7" s="1666"/>
      <c r="P7" s="1666"/>
      <c r="Q7" s="1666"/>
      <c r="R7" s="1666"/>
      <c r="S7" s="1032">
        <f>SUMIF(F8:F25,"Optional",S8:S26)</f>
        <v>0</v>
      </c>
      <c r="T7" s="1033"/>
    </row>
    <row r="8" spans="2:20" s="264" customFormat="1" ht="15" customHeight="1" x14ac:dyDescent="0.25">
      <c r="B8" s="269"/>
      <c r="C8" s="269"/>
      <c r="D8" s="1687" t="s">
        <v>1916</v>
      </c>
      <c r="E8" s="1688"/>
      <c r="F8" s="1688"/>
      <c r="G8" s="1688"/>
      <c r="H8" s="1688"/>
      <c r="I8" s="1688"/>
      <c r="J8" s="1688"/>
      <c r="K8" s="1688"/>
      <c r="L8" s="1688"/>
      <c r="M8" s="1688"/>
      <c r="N8" s="1688"/>
      <c r="O8" s="1688"/>
      <c r="P8" s="1688"/>
      <c r="Q8" s="1688"/>
      <c r="R8" s="1688"/>
      <c r="S8" s="1688"/>
      <c r="T8" s="1689"/>
    </row>
    <row r="9" spans="2:20" ht="127.5" x14ac:dyDescent="0.25">
      <c r="B9" s="1133"/>
      <c r="C9" s="1134" t="str">
        <f>CONCATENATE('Reference documents'!B15," :
PPP.PVP.PVS PV SUPPORT STRUCTURES
PPP.PVP.PVS.02 STRUCTURES IN ELEVATION")</f>
        <v>GRE.EEC.S.21.IT.P.18371.00.127.00 Technical Specification :
PPP.PVP.PVS PV SUPPORT STRUCTURES
PPP.PVP.PVS.02 STRUCTURES IN ELEVATION</v>
      </c>
      <c r="D9" s="1133"/>
      <c r="E9" s="1132" t="s">
        <v>1917</v>
      </c>
      <c r="F9" s="1021" t="s">
        <v>160</v>
      </c>
      <c r="G9" s="1135" t="s">
        <v>1450</v>
      </c>
      <c r="H9" s="1133"/>
      <c r="I9" s="990"/>
      <c r="J9" s="990"/>
      <c r="K9" s="991">
        <f>I9*J9</f>
        <v>0</v>
      </c>
      <c r="L9" s="990"/>
      <c r="M9" s="990"/>
      <c r="N9" s="991"/>
      <c r="O9" s="992"/>
      <c r="P9" s="990"/>
      <c r="Q9" s="992"/>
      <c r="R9" s="1133"/>
      <c r="S9" s="1133"/>
      <c r="T9" s="1133"/>
    </row>
    <row r="10" spans="2:20" ht="51" x14ac:dyDescent="0.25">
      <c r="B10" s="1133"/>
      <c r="C10" s="1134" t="str">
        <f>CONCATENATE('Reference documents'!B15," :
PPP.PVP.PVS PV SUPPORT STRUCTURES
PPP.PVP.PVS.01 FOUNDATION (with all subsections)")</f>
        <v>GRE.EEC.S.21.IT.P.18371.00.127.00 Technical Specification :
PPP.PVP.PVS PV SUPPORT STRUCTURES
PPP.PVP.PVS.01 FOUNDATION (with all subsections)</v>
      </c>
      <c r="D10" s="1133"/>
      <c r="E10" s="1132" t="s">
        <v>1713</v>
      </c>
      <c r="F10" s="1021" t="s">
        <v>160</v>
      </c>
      <c r="G10" s="1135" t="s">
        <v>1450</v>
      </c>
      <c r="H10" s="1133"/>
      <c r="I10" s="990"/>
      <c r="J10" s="990"/>
      <c r="K10" s="991">
        <f>I10*J10</f>
        <v>0</v>
      </c>
      <c r="L10" s="990"/>
      <c r="M10" s="990"/>
      <c r="N10" s="991"/>
      <c r="O10" s="992"/>
      <c r="P10" s="990"/>
      <c r="Q10" s="992"/>
      <c r="R10" s="1133"/>
      <c r="S10" s="1133"/>
      <c r="T10" s="1133"/>
    </row>
    <row r="11" spans="2:20" ht="51" x14ac:dyDescent="0.25">
      <c r="B11" s="1133"/>
      <c r="C11" s="1134" t="str">
        <f>CONCATENATE('Reference documents'!B15," :
PPP.PVP.PVS PV SUPPORT STRUCTURES
PPP.PVP.PVS.01 FOUNDATION (with all subsections)")</f>
        <v>GRE.EEC.S.21.IT.P.18371.00.127.00 Technical Specification :
PPP.PVP.PVS PV SUPPORT STRUCTURES
PPP.PVP.PVS.01 FOUNDATION (with all subsections)</v>
      </c>
      <c r="D11" s="1133"/>
      <c r="E11" s="1132" t="s">
        <v>1918</v>
      </c>
      <c r="F11" s="1021" t="s">
        <v>160</v>
      </c>
      <c r="G11" s="1135" t="s">
        <v>1450</v>
      </c>
      <c r="H11" s="1133"/>
      <c r="I11" s="990"/>
      <c r="J11" s="990"/>
      <c r="K11" s="991">
        <f>I11*J11</f>
        <v>0</v>
      </c>
      <c r="L11" s="990"/>
      <c r="M11" s="990"/>
      <c r="N11" s="991"/>
      <c r="O11" s="992"/>
      <c r="P11" s="990"/>
      <c r="Q11" s="992"/>
      <c r="R11" s="1133"/>
      <c r="S11" s="1133"/>
      <c r="T11" s="1133"/>
    </row>
    <row r="12" spans="2:20" ht="76.5" x14ac:dyDescent="0.25">
      <c r="B12" s="1133"/>
      <c r="C12" s="1134" t="str">
        <f>CONCATENATE('Reference documents'!B15," :
PPP.PVP.PVS PV SUPPORT STRUCTURES
PPP.PVP.PVS.01 FOUNDATION (with all subsections)")</f>
        <v>GRE.EEC.S.21.IT.P.18371.00.127.00 Technical Specification :
PPP.PVP.PVS PV SUPPORT STRUCTURES
PPP.PVP.PVS.01 FOUNDATION (with all subsections)</v>
      </c>
      <c r="D12" s="1133"/>
      <c r="E12" s="1132" t="s">
        <v>1715</v>
      </c>
      <c r="F12" s="1021" t="s">
        <v>160</v>
      </c>
      <c r="G12" s="1135" t="s">
        <v>345</v>
      </c>
      <c r="H12" s="1133"/>
      <c r="I12" s="990"/>
      <c r="J12" s="990"/>
      <c r="K12" s="991">
        <f>I12*J12</f>
        <v>0</v>
      </c>
      <c r="L12" s="990"/>
      <c r="M12" s="990"/>
      <c r="N12" s="991"/>
      <c r="O12" s="992"/>
      <c r="P12" s="990"/>
      <c r="Q12" s="992"/>
      <c r="R12" s="1133"/>
      <c r="S12" s="1133"/>
      <c r="T12" s="1133"/>
    </row>
    <row r="13" spans="2:20" ht="76.5" x14ac:dyDescent="0.25">
      <c r="B13" s="1133"/>
      <c r="C13" s="1134" t="str">
        <f>CONCATENATE('Reference documents'!B15," :
PPP.PVP.PVS PV SUPPORT STRUCTURES
PPP.PVP.PVS.01 FOUNDATION (with all subsections)")</f>
        <v>GRE.EEC.S.21.IT.P.18371.00.127.00 Technical Specification :
PPP.PVP.PVS PV SUPPORT STRUCTURES
PPP.PVP.PVS.01 FOUNDATION (with all subsections)</v>
      </c>
      <c r="D13" s="1133"/>
      <c r="E13" s="1132" t="s">
        <v>1716</v>
      </c>
      <c r="F13" s="1269" t="s">
        <v>160</v>
      </c>
      <c r="G13" s="1135" t="s">
        <v>345</v>
      </c>
      <c r="H13" s="1133"/>
      <c r="I13" s="990"/>
      <c r="J13" s="990"/>
      <c r="K13" s="991">
        <f>I13*J13</f>
        <v>0</v>
      </c>
      <c r="L13" s="990"/>
      <c r="M13" s="990"/>
      <c r="N13" s="991"/>
      <c r="O13" s="992"/>
      <c r="P13" s="990"/>
      <c r="Q13" s="992"/>
      <c r="R13" s="1133"/>
      <c r="S13" s="1133"/>
      <c r="T13" s="1133"/>
    </row>
  </sheetData>
  <mergeCells count="19">
    <mergeCell ref="S4:S5"/>
    <mergeCell ref="T4:T5"/>
    <mergeCell ref="F6:R6"/>
    <mergeCell ref="D8:T8"/>
    <mergeCell ref="B2:K2"/>
    <mergeCell ref="B6:E7"/>
    <mergeCell ref="M1:P3"/>
    <mergeCell ref="B4:B5"/>
    <mergeCell ref="C4:C5"/>
    <mergeCell ref="D4:D5"/>
    <mergeCell ref="E4:E5"/>
    <mergeCell ref="F4:F5"/>
    <mergeCell ref="G4:G5"/>
    <mergeCell ref="H4:H5"/>
    <mergeCell ref="I4:K4"/>
    <mergeCell ref="L4:O4"/>
    <mergeCell ref="F7:R7"/>
    <mergeCell ref="P4:Q4"/>
    <mergeCell ref="R4:R5"/>
  </mergeCells>
  <dataValidations count="1">
    <dataValidation type="list" allowBlank="1" showInputMessage="1" showErrorMessage="1" sqref="F9:F13" xr:uid="{1FBC535E-46EC-40ED-9A39-C45A5B4F412D}">
      <formula1>"Mandatory,Optional,NA"</formula1>
    </dataValidation>
  </dataValidation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65B0D-D940-40F5-9B7E-B178382545DB}">
  <sheetPr>
    <tabColor rgb="FF00B050"/>
  </sheetPr>
  <dimension ref="A2:T54"/>
  <sheetViews>
    <sheetView showGridLines="0" topLeftCell="A27" zoomScale="85" zoomScaleNormal="85" workbookViewId="0">
      <selection activeCell="E36" sqref="E36"/>
    </sheetView>
  </sheetViews>
  <sheetFormatPr defaultColWidth="9.28515625" defaultRowHeight="15" x14ac:dyDescent="0.2"/>
  <cols>
    <col min="1" max="1" width="8.5703125" style="492" customWidth="1"/>
    <col min="2" max="2" width="17.42578125" style="171" customWidth="1"/>
    <col min="3" max="3" width="58.28515625" style="180" customWidth="1"/>
    <col min="4" max="4" width="18.5703125" style="180" bestFit="1" customWidth="1"/>
    <col min="5" max="5" width="86.42578125" style="457" customWidth="1"/>
    <col min="6" max="6" width="15.7109375" style="180" bestFit="1" customWidth="1"/>
    <col min="7" max="7" width="21" style="180" bestFit="1" customWidth="1"/>
    <col min="8" max="8" width="15.7109375" style="171" bestFit="1" customWidth="1"/>
    <col min="9" max="9" width="25.42578125" style="171" customWidth="1"/>
    <col min="10" max="10" width="17.42578125" style="171" customWidth="1"/>
    <col min="11" max="11" width="12.7109375" style="171" customWidth="1"/>
    <col min="12" max="12" width="16" style="457" customWidth="1"/>
    <col min="13" max="13" width="30.42578125" style="457" customWidth="1"/>
    <col min="14" max="14" width="9.28515625" style="457"/>
    <col min="15" max="15" width="12.28515625" style="457" customWidth="1"/>
    <col min="16" max="16" width="9.28515625" style="457"/>
    <col min="17" max="17" width="18.5703125" style="457" customWidth="1"/>
    <col min="18" max="18" width="14" style="457" bestFit="1" customWidth="1"/>
    <col min="19" max="19" width="15" style="457" bestFit="1" customWidth="1"/>
    <col min="20" max="16384" width="9.28515625" style="457"/>
  </cols>
  <sheetData>
    <row r="2" spans="1:20" ht="15.75" customHeight="1" thickBot="1" x14ac:dyDescent="0.25">
      <c r="B2" s="124"/>
      <c r="C2" s="20"/>
      <c r="D2" s="20"/>
      <c r="E2" s="1049" t="s">
        <v>1919</v>
      </c>
      <c r="F2" s="20"/>
      <c r="G2" s="20"/>
      <c r="H2" s="20"/>
      <c r="I2" s="20"/>
      <c r="J2" s="20"/>
      <c r="K2" s="20"/>
      <c r="L2" s="1050"/>
      <c r="M2" s="1050"/>
      <c r="N2" s="1050"/>
    </row>
    <row r="3" spans="1:20" s="172" customFormat="1" ht="54" customHeight="1" x14ac:dyDescent="0.25">
      <c r="B3" s="1540" t="s">
        <v>186</v>
      </c>
      <c r="C3" s="1540" t="s">
        <v>136</v>
      </c>
      <c r="D3" s="1540" t="s">
        <v>137</v>
      </c>
      <c r="E3" s="1540" t="s">
        <v>187</v>
      </c>
      <c r="F3" s="1546" t="s">
        <v>139</v>
      </c>
      <c r="G3" s="1524" t="s">
        <v>140</v>
      </c>
      <c r="H3" s="1524" t="s">
        <v>141</v>
      </c>
      <c r="I3" s="1528" t="s">
        <v>142</v>
      </c>
      <c r="J3" s="1528"/>
      <c r="K3" s="1528"/>
      <c r="L3" s="1528" t="s">
        <v>143</v>
      </c>
      <c r="M3" s="1528"/>
      <c r="N3" s="1528"/>
      <c r="O3" s="1528"/>
      <c r="P3" s="1528" t="s">
        <v>144</v>
      </c>
      <c r="Q3" s="1528"/>
      <c r="R3" s="1524" t="s">
        <v>145</v>
      </c>
      <c r="S3" s="1524" t="s">
        <v>146</v>
      </c>
      <c r="T3" s="1540" t="s">
        <v>147</v>
      </c>
    </row>
    <row r="4" spans="1:20" s="172" customFormat="1" ht="24.75" customHeight="1" x14ac:dyDescent="0.25">
      <c r="B4" s="1541"/>
      <c r="C4" s="1541"/>
      <c r="D4" s="1541"/>
      <c r="E4" s="1541"/>
      <c r="F4" s="1547"/>
      <c r="G4" s="1525"/>
      <c r="H4" s="1525"/>
      <c r="I4" s="983" t="s">
        <v>148</v>
      </c>
      <c r="J4" s="983" t="s">
        <v>149</v>
      </c>
      <c r="K4" s="983" t="s">
        <v>150</v>
      </c>
      <c r="L4" s="983" t="s">
        <v>148</v>
      </c>
      <c r="M4" s="983" t="s">
        <v>149</v>
      </c>
      <c r="N4" s="983" t="s">
        <v>150</v>
      </c>
      <c r="O4" s="983" t="s">
        <v>151</v>
      </c>
      <c r="P4" s="983" t="s">
        <v>150</v>
      </c>
      <c r="Q4" s="983" t="s">
        <v>152</v>
      </c>
      <c r="R4" s="1525"/>
      <c r="S4" s="1525"/>
      <c r="T4" s="1541"/>
    </row>
    <row r="5" spans="1:20" s="173" customFormat="1" ht="24.75" customHeight="1" x14ac:dyDescent="0.2">
      <c r="B5" s="1667" t="s">
        <v>1746</v>
      </c>
      <c r="C5" s="1668"/>
      <c r="D5" s="1668"/>
      <c r="E5" s="1669"/>
      <c r="F5" s="1673" t="s">
        <v>154</v>
      </c>
      <c r="G5" s="1674"/>
      <c r="H5" s="1674"/>
      <c r="I5" s="1674"/>
      <c r="J5" s="1674"/>
      <c r="K5" s="1674"/>
      <c r="L5" s="1674"/>
      <c r="M5" s="1674"/>
      <c r="N5" s="1674"/>
      <c r="O5" s="1674"/>
      <c r="P5" s="1674"/>
      <c r="Q5" s="1674"/>
      <c r="R5" s="1675"/>
      <c r="S5" s="908">
        <f>SUMIF(F7:F11,"Mandatory",S7:S11)</f>
        <v>0</v>
      </c>
      <c r="T5" s="864" t="s">
        <v>155</v>
      </c>
    </row>
    <row r="6" spans="1:20" s="173" customFormat="1" ht="24.75" customHeight="1" x14ac:dyDescent="0.2">
      <c r="B6" s="1670"/>
      <c r="C6" s="1671"/>
      <c r="D6" s="1671"/>
      <c r="E6" s="1672"/>
      <c r="F6" s="1673" t="s">
        <v>156</v>
      </c>
      <c r="G6" s="1674"/>
      <c r="H6" s="1674"/>
      <c r="I6" s="1674"/>
      <c r="J6" s="1674"/>
      <c r="K6" s="1674"/>
      <c r="L6" s="1674"/>
      <c r="M6" s="1674"/>
      <c r="N6" s="1674"/>
      <c r="O6" s="1674"/>
      <c r="P6" s="1674"/>
      <c r="Q6" s="1674"/>
      <c r="R6" s="1675"/>
      <c r="S6" s="863">
        <f>SUMIF(F7:F11,"optional",S7:S11)</f>
        <v>0</v>
      </c>
      <c r="T6" s="962" t="s">
        <v>155</v>
      </c>
    </row>
    <row r="7" spans="1:20" s="1002" customFormat="1" ht="24.75" customHeight="1" x14ac:dyDescent="0.2">
      <c r="A7" s="998"/>
      <c r="B7" s="692"/>
      <c r="C7" s="999"/>
      <c r="D7" s="995"/>
      <c r="E7" s="1336" t="s">
        <v>1748</v>
      </c>
      <c r="F7" s="987" t="s">
        <v>160</v>
      </c>
      <c r="G7" s="1230" t="s">
        <v>1749</v>
      </c>
      <c r="H7" s="1230">
        <v>1</v>
      </c>
      <c r="I7" s="990"/>
      <c r="J7" s="990"/>
      <c r="K7" s="991">
        <f>I7*J7</f>
        <v>0</v>
      </c>
      <c r="L7" s="990"/>
      <c r="M7" s="990"/>
      <c r="N7" s="991"/>
      <c r="O7" s="992"/>
      <c r="P7" s="990"/>
      <c r="Q7" s="992"/>
      <c r="R7" s="994">
        <f>P7+N7+K7</f>
        <v>0</v>
      </c>
      <c r="S7" s="1035">
        <f>IF(F7="na","",H7*R7)</f>
        <v>0</v>
      </c>
      <c r="T7" s="1001"/>
    </row>
    <row r="8" spans="1:20" s="1005" customFormat="1" ht="24.75" customHeight="1" x14ac:dyDescent="0.2">
      <c r="A8" s="998"/>
      <c r="B8" s="693"/>
      <c r="C8" s="1003" t="s">
        <v>1868</v>
      </c>
      <c r="D8" s="996"/>
      <c r="E8" s="1337" t="s">
        <v>1869</v>
      </c>
      <c r="F8" s="145" t="s">
        <v>160</v>
      </c>
      <c r="G8" s="1230" t="s">
        <v>1749</v>
      </c>
      <c r="H8" s="1230">
        <v>1</v>
      </c>
      <c r="I8" s="990"/>
      <c r="J8" s="990"/>
      <c r="K8" s="991">
        <f>I8*J8</f>
        <v>0</v>
      </c>
      <c r="L8" s="990"/>
      <c r="M8" s="990"/>
      <c r="N8" s="991"/>
      <c r="O8" s="992"/>
      <c r="P8" s="990"/>
      <c r="Q8" s="992"/>
      <c r="R8" s="994">
        <f>P8+N8+K8</f>
        <v>0</v>
      </c>
      <c r="S8" s="994">
        <f>H8*R8</f>
        <v>0</v>
      </c>
      <c r="T8" s="1001"/>
    </row>
    <row r="9" spans="1:20" s="1016" customFormat="1" ht="24.75" customHeight="1" x14ac:dyDescent="0.25">
      <c r="A9" s="1006"/>
      <c r="B9" s="401"/>
      <c r="C9" s="401"/>
      <c r="D9" s="401"/>
      <c r="E9" s="1260" t="s">
        <v>1880</v>
      </c>
      <c r="F9" s="495" t="s">
        <v>160</v>
      </c>
      <c r="G9" s="1230" t="s">
        <v>1749</v>
      </c>
      <c r="H9" s="1230">
        <v>1</v>
      </c>
      <c r="I9" s="990"/>
      <c r="J9" s="990"/>
      <c r="K9" s="991">
        <f>I9*J9</f>
        <v>0</v>
      </c>
      <c r="L9" s="990"/>
      <c r="M9" s="990"/>
      <c r="N9" s="991"/>
      <c r="O9" s="992"/>
      <c r="P9" s="990"/>
      <c r="Q9" s="992"/>
      <c r="R9" s="994">
        <f>P9+N9+K9</f>
        <v>0</v>
      </c>
      <c r="S9" s="994">
        <f>H9*R9</f>
        <v>0</v>
      </c>
      <c r="T9" s="1001"/>
    </row>
    <row r="10" spans="1:20" s="1016" customFormat="1" ht="24.75" customHeight="1" x14ac:dyDescent="0.25">
      <c r="A10" s="1006"/>
      <c r="B10" s="401"/>
      <c r="C10" s="401"/>
      <c r="D10" s="401"/>
      <c r="E10" s="1260" t="s">
        <v>1881</v>
      </c>
      <c r="F10" s="495" t="s">
        <v>160</v>
      </c>
      <c r="G10" s="1230" t="s">
        <v>1749</v>
      </c>
      <c r="H10" s="1230">
        <v>1</v>
      </c>
      <c r="I10" s="990"/>
      <c r="J10" s="990"/>
      <c r="K10" s="991">
        <f>I10*J10</f>
        <v>0</v>
      </c>
      <c r="L10" s="990"/>
      <c r="M10" s="990"/>
      <c r="N10" s="991"/>
      <c r="O10" s="992"/>
      <c r="P10" s="990"/>
      <c r="Q10" s="992"/>
      <c r="R10" s="994">
        <f>P10+N10+K10</f>
        <v>0</v>
      </c>
      <c r="S10" s="994">
        <f>H10*R10</f>
        <v>0</v>
      </c>
      <c r="T10" s="1001"/>
    </row>
    <row r="11" spans="1:20" s="1016" customFormat="1" ht="24.75" customHeight="1" x14ac:dyDescent="0.25">
      <c r="A11" s="1006"/>
      <c r="B11" s="401"/>
      <c r="C11" s="401"/>
      <c r="D11" s="1257"/>
      <c r="E11" s="1338" t="s">
        <v>1803</v>
      </c>
      <c r="F11" s="495" t="s">
        <v>160</v>
      </c>
      <c r="G11" s="1230" t="s">
        <v>1749</v>
      </c>
      <c r="H11" s="1230">
        <v>1</v>
      </c>
      <c r="I11" s="990"/>
      <c r="J11" s="990"/>
      <c r="K11" s="991">
        <f>I11*J11</f>
        <v>0</v>
      </c>
      <c r="L11" s="990"/>
      <c r="M11" s="990"/>
      <c r="N11" s="991"/>
      <c r="O11" s="992"/>
      <c r="P11" s="990"/>
      <c r="Q11" s="992"/>
      <c r="R11" s="994">
        <f>P11+N11+K11</f>
        <v>0</v>
      </c>
      <c r="S11" s="994">
        <f>H11*R11</f>
        <v>0</v>
      </c>
      <c r="T11" s="1001"/>
    </row>
    <row r="12" spans="1:20" customFormat="1" ht="24.75" customHeight="1" x14ac:dyDescent="0.25">
      <c r="B12" s="1667" t="s">
        <v>1761</v>
      </c>
      <c r="C12" s="1668"/>
      <c r="D12" s="1668"/>
      <c r="E12" s="1669"/>
      <c r="F12" s="1673" t="s">
        <v>154</v>
      </c>
      <c r="G12" s="1674"/>
      <c r="H12" s="1674"/>
      <c r="I12" s="1674"/>
      <c r="J12" s="1674"/>
      <c r="K12" s="1674"/>
      <c r="L12" s="1674"/>
      <c r="M12" s="1674"/>
      <c r="N12" s="1674"/>
      <c r="O12" s="1674"/>
      <c r="P12" s="1674"/>
      <c r="Q12" s="1674"/>
      <c r="R12" s="1675"/>
      <c r="S12" s="877">
        <f>SUMIF(F14:F14,"Mandatory",S14:S14)</f>
        <v>0</v>
      </c>
      <c r="T12" s="878"/>
    </row>
    <row r="13" spans="1:20" customFormat="1" ht="24.75" customHeight="1" x14ac:dyDescent="0.25">
      <c r="B13" s="1670"/>
      <c r="C13" s="1671"/>
      <c r="D13" s="1671"/>
      <c r="E13" s="1672"/>
      <c r="F13" s="1673" t="s">
        <v>156</v>
      </c>
      <c r="G13" s="1674"/>
      <c r="H13" s="1674"/>
      <c r="I13" s="1674"/>
      <c r="J13" s="1674"/>
      <c r="K13" s="1674"/>
      <c r="L13" s="1674"/>
      <c r="M13" s="1674"/>
      <c r="N13" s="1674"/>
      <c r="O13" s="1674"/>
      <c r="P13" s="1674"/>
      <c r="Q13" s="1674"/>
      <c r="R13" s="1675"/>
      <c r="S13" s="1032">
        <f>SUMIF(F14:F14,"Optional",S14:S14)</f>
        <v>0</v>
      </c>
      <c r="T13" s="1033"/>
    </row>
    <row r="14" spans="1:20" s="1010" customFormat="1" ht="24.75" customHeight="1" x14ac:dyDescent="0.25">
      <c r="A14" s="1006"/>
      <c r="B14" s="1007"/>
      <c r="C14" s="1008"/>
      <c r="D14" s="1246"/>
      <c r="E14" s="1336" t="s">
        <v>1871</v>
      </c>
      <c r="F14" s="145" t="s">
        <v>160</v>
      </c>
      <c r="G14" s="1230" t="s">
        <v>1749</v>
      </c>
      <c r="H14" s="1230">
        <v>1</v>
      </c>
      <c r="I14" s="990"/>
      <c r="J14" s="990"/>
      <c r="K14" s="991">
        <f>I14*J14</f>
        <v>0</v>
      </c>
      <c r="L14" s="990"/>
      <c r="M14" s="990"/>
      <c r="N14" s="991"/>
      <c r="O14" s="992"/>
      <c r="P14" s="990"/>
      <c r="Q14" s="992"/>
      <c r="R14" s="994">
        <f>P14+N14+K14</f>
        <v>0</v>
      </c>
      <c r="S14" s="994">
        <f>H14*R14</f>
        <v>0</v>
      </c>
      <c r="T14" s="1001"/>
    </row>
    <row r="15" spans="1:20" s="173" customFormat="1" ht="20.25" collapsed="1" x14ac:dyDescent="0.2">
      <c r="B15" s="1667" t="s">
        <v>1366</v>
      </c>
      <c r="C15" s="1668"/>
      <c r="D15" s="1668"/>
      <c r="E15" s="1669"/>
      <c r="F15" s="1673" t="s">
        <v>154</v>
      </c>
      <c r="G15" s="1674"/>
      <c r="H15" s="1674"/>
      <c r="I15" s="1674"/>
      <c r="J15" s="1674"/>
      <c r="K15" s="1674"/>
      <c r="L15" s="1674"/>
      <c r="M15" s="1674"/>
      <c r="N15" s="1674"/>
      <c r="O15" s="1674"/>
      <c r="P15" s="1674"/>
      <c r="Q15" s="1674"/>
      <c r="R15" s="1675"/>
      <c r="S15" s="908">
        <f>SUMIF(F18:F45,"Mandatory",S18:S45)</f>
        <v>0</v>
      </c>
      <c r="T15" s="864" t="s">
        <v>155</v>
      </c>
    </row>
    <row r="16" spans="1:20" s="173" customFormat="1" ht="20.25" x14ac:dyDescent="0.2">
      <c r="B16" s="1670"/>
      <c r="C16" s="1671"/>
      <c r="D16" s="1671"/>
      <c r="E16" s="1672"/>
      <c r="F16" s="1673" t="s">
        <v>156</v>
      </c>
      <c r="G16" s="1674"/>
      <c r="H16" s="1674"/>
      <c r="I16" s="1674"/>
      <c r="J16" s="1674"/>
      <c r="K16" s="1674"/>
      <c r="L16" s="1674"/>
      <c r="M16" s="1674"/>
      <c r="N16" s="1674"/>
      <c r="O16" s="1674"/>
      <c r="P16" s="1674"/>
      <c r="Q16" s="1674"/>
      <c r="R16" s="1675"/>
      <c r="S16" s="863">
        <f>SUMIF(F18:F45,"optional",S18:S45)</f>
        <v>0</v>
      </c>
      <c r="T16" s="962" t="s">
        <v>155</v>
      </c>
    </row>
    <row r="17" spans="1:20" s="1010" customFormat="1" x14ac:dyDescent="0.25">
      <c r="A17" s="1006"/>
      <c r="B17" s="1693"/>
      <c r="C17" s="1693"/>
      <c r="D17" s="1694"/>
      <c r="E17" s="1258" t="s">
        <v>1920</v>
      </c>
      <c r="F17" s="1259"/>
      <c r="G17" s="1259"/>
      <c r="H17" s="1259"/>
      <c r="I17" s="1259"/>
      <c r="J17" s="1259"/>
      <c r="K17" s="1259"/>
      <c r="L17" s="1259"/>
      <c r="M17" s="1259"/>
      <c r="N17" s="1259"/>
      <c r="O17" s="1259"/>
      <c r="P17" s="1259"/>
      <c r="Q17" s="1259"/>
      <c r="R17" s="1259"/>
      <c r="S17" s="1259"/>
      <c r="T17" s="1259"/>
    </row>
    <row r="18" spans="1:20" s="1002" customFormat="1" ht="37.15" customHeight="1" x14ac:dyDescent="0.2">
      <c r="A18" s="998"/>
      <c r="B18" s="692"/>
      <c r="C18" s="999"/>
      <c r="D18" s="995"/>
      <c r="E18" s="1263" t="s">
        <v>1921</v>
      </c>
      <c r="F18" s="987" t="s">
        <v>160</v>
      </c>
      <c r="G18" s="1232" t="s">
        <v>1765</v>
      </c>
      <c r="H18" s="1237"/>
      <c r="I18" s="990"/>
      <c r="J18" s="990"/>
      <c r="K18" s="991">
        <f>I18*J18</f>
        <v>0</v>
      </c>
      <c r="L18" s="990"/>
      <c r="M18" s="990"/>
      <c r="N18" s="991">
        <f>L18*M18</f>
        <v>0</v>
      </c>
      <c r="O18" s="992"/>
      <c r="P18" s="990"/>
      <c r="Q18" s="992"/>
      <c r="R18" s="994">
        <f>P18+N18+K18</f>
        <v>0</v>
      </c>
      <c r="S18" s="1035">
        <f>IF(F18="na","",H18*R18)</f>
        <v>0</v>
      </c>
      <c r="T18" s="1001"/>
    </row>
    <row r="19" spans="1:20" s="1005" customFormat="1" ht="48.75" customHeight="1" x14ac:dyDescent="0.2">
      <c r="A19" s="998"/>
      <c r="B19" s="693"/>
      <c r="C19" s="1003"/>
      <c r="D19" s="996"/>
      <c r="E19" s="1263" t="s">
        <v>1922</v>
      </c>
      <c r="F19" s="145" t="s">
        <v>160</v>
      </c>
      <c r="G19" s="1232" t="s">
        <v>1765</v>
      </c>
      <c r="H19" s="1237"/>
      <c r="I19" s="990"/>
      <c r="J19" s="990"/>
      <c r="K19" s="991">
        <f t="shared" ref="K19:K40" si="0">I19*J19</f>
        <v>0</v>
      </c>
      <c r="L19" s="990"/>
      <c r="M19" s="990"/>
      <c r="N19" s="991">
        <f t="shared" ref="N19:N40" si="1">L19*M19</f>
        <v>0</v>
      </c>
      <c r="O19" s="992"/>
      <c r="P19" s="990"/>
      <c r="Q19" s="992"/>
      <c r="R19" s="994">
        <f t="shared" ref="R19:R40" si="2">P19+N19+K19</f>
        <v>0</v>
      </c>
      <c r="S19" s="994">
        <f t="shared" ref="S19:S40" si="3">H19*R19</f>
        <v>0</v>
      </c>
      <c r="T19" s="1001"/>
    </row>
    <row r="20" spans="1:20" s="1010" customFormat="1" ht="50.25" customHeight="1" x14ac:dyDescent="0.25">
      <c r="A20" s="1006"/>
      <c r="B20" s="1007"/>
      <c r="C20" s="1008"/>
      <c r="D20" s="1246"/>
      <c r="E20" s="1248" t="s">
        <v>1923</v>
      </c>
      <c r="F20" s="145" t="s">
        <v>160</v>
      </c>
      <c r="G20" s="1232" t="s">
        <v>1765</v>
      </c>
      <c r="H20" s="1237"/>
      <c r="I20" s="990"/>
      <c r="J20" s="990"/>
      <c r="K20" s="991">
        <f t="shared" si="0"/>
        <v>0</v>
      </c>
      <c r="L20" s="990"/>
      <c r="M20" s="990"/>
      <c r="N20" s="991">
        <f t="shared" si="1"/>
        <v>0</v>
      </c>
      <c r="O20" s="992"/>
      <c r="P20" s="990"/>
      <c r="Q20" s="992"/>
      <c r="R20" s="994">
        <f t="shared" si="2"/>
        <v>0</v>
      </c>
      <c r="S20" s="994">
        <f t="shared" si="3"/>
        <v>0</v>
      </c>
      <c r="T20" s="1001"/>
    </row>
    <row r="21" spans="1:20" s="1010" customFormat="1" ht="39.75" customHeight="1" x14ac:dyDescent="0.2">
      <c r="A21" s="1006"/>
      <c r="B21" s="693"/>
      <c r="C21" s="964"/>
      <c r="D21" s="406"/>
      <c r="E21" s="1250" t="s">
        <v>1924</v>
      </c>
      <c r="F21" s="145" t="s">
        <v>160</v>
      </c>
      <c r="G21" s="1232" t="s">
        <v>1765</v>
      </c>
      <c r="H21" s="1237"/>
      <c r="I21" s="990"/>
      <c r="J21" s="990"/>
      <c r="K21" s="991">
        <f t="shared" si="0"/>
        <v>0</v>
      </c>
      <c r="L21" s="990"/>
      <c r="M21" s="990"/>
      <c r="N21" s="991">
        <f t="shared" si="1"/>
        <v>0</v>
      </c>
      <c r="O21" s="992"/>
      <c r="P21" s="990"/>
      <c r="Q21" s="992"/>
      <c r="R21" s="994">
        <f t="shared" si="2"/>
        <v>0</v>
      </c>
      <c r="S21" s="994">
        <f t="shared" si="3"/>
        <v>0</v>
      </c>
      <c r="T21" s="1001"/>
    </row>
    <row r="22" spans="1:20" s="1010" customFormat="1" ht="162" customHeight="1" x14ac:dyDescent="0.2">
      <c r="A22" s="1011"/>
      <c r="B22" s="693"/>
      <c r="C22" s="964"/>
      <c r="D22" s="401"/>
      <c r="E22" s="1339" t="s">
        <v>1925</v>
      </c>
      <c r="F22" s="145" t="s">
        <v>160</v>
      </c>
      <c r="G22" s="1232" t="s">
        <v>1765</v>
      </c>
      <c r="H22" s="1237"/>
      <c r="I22" s="990"/>
      <c r="J22" s="990"/>
      <c r="K22" s="991">
        <f t="shared" si="0"/>
        <v>0</v>
      </c>
      <c r="L22" s="990"/>
      <c r="M22" s="990"/>
      <c r="N22" s="991">
        <f t="shared" si="1"/>
        <v>0</v>
      </c>
      <c r="O22" s="992"/>
      <c r="P22" s="990"/>
      <c r="Q22" s="992"/>
      <c r="R22" s="994">
        <f t="shared" si="2"/>
        <v>0</v>
      </c>
      <c r="S22" s="994">
        <f t="shared" si="3"/>
        <v>0</v>
      </c>
      <c r="T22" s="1012"/>
    </row>
    <row r="23" spans="1:20" s="1010" customFormat="1" x14ac:dyDescent="0.2">
      <c r="A23" s="1006"/>
      <c r="B23" s="693"/>
      <c r="C23" s="964"/>
      <c r="D23" s="401"/>
      <c r="E23" s="1248" t="s">
        <v>1892</v>
      </c>
      <c r="F23" s="145" t="s">
        <v>160</v>
      </c>
      <c r="G23" s="1232" t="s">
        <v>1765</v>
      </c>
      <c r="H23" s="1237"/>
      <c r="I23" s="990"/>
      <c r="J23" s="990"/>
      <c r="K23" s="991">
        <f t="shared" si="0"/>
        <v>0</v>
      </c>
      <c r="L23" s="990"/>
      <c r="M23" s="990"/>
      <c r="N23" s="991">
        <f t="shared" si="1"/>
        <v>0</v>
      </c>
      <c r="O23" s="992"/>
      <c r="P23" s="990"/>
      <c r="Q23" s="992"/>
      <c r="R23" s="994">
        <f t="shared" si="2"/>
        <v>0</v>
      </c>
      <c r="S23" s="994">
        <f t="shared" si="3"/>
        <v>0</v>
      </c>
      <c r="T23" s="1001"/>
    </row>
    <row r="24" spans="1:20" s="1010" customFormat="1" x14ac:dyDescent="0.2">
      <c r="A24" s="1006"/>
      <c r="B24" s="693"/>
      <c r="C24" s="964"/>
      <c r="D24" s="401"/>
      <c r="E24" s="1264" t="s">
        <v>1926</v>
      </c>
      <c r="F24" s="145" t="s">
        <v>160</v>
      </c>
      <c r="G24" s="1232" t="s">
        <v>1765</v>
      </c>
      <c r="H24" s="1237"/>
      <c r="I24" s="990"/>
      <c r="J24" s="990"/>
      <c r="K24" s="991">
        <f t="shared" si="0"/>
        <v>0</v>
      </c>
      <c r="L24" s="990"/>
      <c r="M24" s="990"/>
      <c r="N24" s="991">
        <f t="shared" si="1"/>
        <v>0</v>
      </c>
      <c r="O24" s="992"/>
      <c r="P24" s="990"/>
      <c r="Q24" s="992"/>
      <c r="R24" s="994">
        <f t="shared" si="2"/>
        <v>0</v>
      </c>
      <c r="S24" s="994">
        <f t="shared" si="3"/>
        <v>0</v>
      </c>
      <c r="T24" s="1001"/>
    </row>
    <row r="25" spans="1:20" s="1010" customFormat="1" x14ac:dyDescent="0.2">
      <c r="A25" s="1006"/>
      <c r="B25" s="693"/>
      <c r="C25" s="964"/>
      <c r="D25" s="401"/>
      <c r="E25" s="1252" t="s">
        <v>1927</v>
      </c>
      <c r="F25" s="145" t="s">
        <v>160</v>
      </c>
      <c r="G25" s="1232" t="s">
        <v>1765</v>
      </c>
      <c r="H25" s="1237"/>
      <c r="I25" s="990"/>
      <c r="J25" s="990"/>
      <c r="K25" s="991">
        <f t="shared" si="0"/>
        <v>0</v>
      </c>
      <c r="L25" s="990"/>
      <c r="M25" s="990"/>
      <c r="N25" s="991">
        <f t="shared" si="1"/>
        <v>0</v>
      </c>
      <c r="O25" s="992"/>
      <c r="P25" s="990"/>
      <c r="Q25" s="992"/>
      <c r="R25" s="994">
        <f t="shared" si="2"/>
        <v>0</v>
      </c>
      <c r="S25" s="994">
        <f t="shared" si="3"/>
        <v>0</v>
      </c>
      <c r="T25" s="1001"/>
    </row>
    <row r="26" spans="1:20" s="1010" customFormat="1" ht="96.75" customHeight="1" x14ac:dyDescent="0.2">
      <c r="A26" s="1006"/>
      <c r="B26" s="692"/>
      <c r="C26" s="964"/>
      <c r="D26" s="401"/>
      <c r="E26" s="1252" t="s">
        <v>1928</v>
      </c>
      <c r="F26" s="145" t="s">
        <v>160</v>
      </c>
      <c r="G26" s="1232" t="s">
        <v>1765</v>
      </c>
      <c r="H26" s="1237"/>
      <c r="I26" s="990"/>
      <c r="J26" s="990"/>
      <c r="K26" s="991">
        <f t="shared" si="0"/>
        <v>0</v>
      </c>
      <c r="L26" s="990"/>
      <c r="M26" s="990"/>
      <c r="N26" s="991">
        <f t="shared" si="1"/>
        <v>0</v>
      </c>
      <c r="O26" s="992"/>
      <c r="P26" s="990"/>
      <c r="Q26" s="992"/>
      <c r="R26" s="994">
        <f t="shared" si="2"/>
        <v>0</v>
      </c>
      <c r="S26" s="994">
        <f t="shared" si="3"/>
        <v>0</v>
      </c>
      <c r="T26" s="1001"/>
    </row>
    <row r="27" spans="1:20" s="1010" customFormat="1" ht="51" customHeight="1" x14ac:dyDescent="0.2">
      <c r="A27" s="1006"/>
      <c r="B27" s="693"/>
      <c r="C27" s="964"/>
      <c r="D27" s="401"/>
      <c r="E27" s="1252" t="s">
        <v>1928</v>
      </c>
      <c r="F27" s="145" t="s">
        <v>160</v>
      </c>
      <c r="G27" s="1232" t="s">
        <v>1765</v>
      </c>
      <c r="H27" s="1237"/>
      <c r="I27" s="990"/>
      <c r="J27" s="990"/>
      <c r="K27" s="991">
        <f t="shared" si="0"/>
        <v>0</v>
      </c>
      <c r="L27" s="990"/>
      <c r="M27" s="990"/>
      <c r="N27" s="991">
        <f t="shared" si="1"/>
        <v>0</v>
      </c>
      <c r="O27" s="992"/>
      <c r="P27" s="990"/>
      <c r="Q27" s="992"/>
      <c r="R27" s="994">
        <f t="shared" si="2"/>
        <v>0</v>
      </c>
      <c r="S27" s="994">
        <f t="shared" si="3"/>
        <v>0</v>
      </c>
      <c r="T27" s="1001"/>
    </row>
    <row r="28" spans="1:20" s="1010" customFormat="1" ht="47.25" customHeight="1" x14ac:dyDescent="0.2">
      <c r="A28" s="1006"/>
      <c r="B28" s="693"/>
      <c r="C28" s="964"/>
      <c r="D28" s="401"/>
      <c r="E28" s="1252" t="s">
        <v>1928</v>
      </c>
      <c r="F28" s="145" t="s">
        <v>160</v>
      </c>
      <c r="G28" s="1232" t="s">
        <v>1765</v>
      </c>
      <c r="H28" s="1237"/>
      <c r="I28" s="990"/>
      <c r="J28" s="990"/>
      <c r="K28" s="991">
        <f t="shared" si="0"/>
        <v>0</v>
      </c>
      <c r="L28" s="990"/>
      <c r="M28" s="990"/>
      <c r="N28" s="991">
        <f t="shared" si="1"/>
        <v>0</v>
      </c>
      <c r="O28" s="992"/>
      <c r="P28" s="990"/>
      <c r="Q28" s="992"/>
      <c r="R28" s="994">
        <f t="shared" si="2"/>
        <v>0</v>
      </c>
      <c r="S28" s="994">
        <f t="shared" si="3"/>
        <v>0</v>
      </c>
      <c r="T28" s="1001"/>
    </row>
    <row r="29" spans="1:20" s="1010" customFormat="1" ht="47.25" customHeight="1" x14ac:dyDescent="0.25">
      <c r="A29" s="1006"/>
      <c r="B29" s="1693"/>
      <c r="C29" s="1693"/>
      <c r="D29" s="1694"/>
      <c r="E29" s="1258" t="s">
        <v>1929</v>
      </c>
      <c r="F29" s="1259"/>
      <c r="G29" s="1259"/>
      <c r="H29" s="1259"/>
      <c r="I29" s="1259"/>
      <c r="J29" s="1259"/>
      <c r="K29" s="1259"/>
      <c r="L29" s="1259"/>
      <c r="M29" s="1259"/>
      <c r="N29" s="1259"/>
      <c r="O29" s="1259"/>
      <c r="P29" s="1259"/>
      <c r="Q29" s="1259"/>
      <c r="R29" s="1259"/>
      <c r="S29" s="1259"/>
      <c r="T29" s="1259"/>
    </row>
    <row r="30" spans="1:20" s="1010" customFormat="1" ht="49.5" customHeight="1" x14ac:dyDescent="0.2">
      <c r="A30" s="1011"/>
      <c r="B30" s="693"/>
      <c r="C30" s="964"/>
      <c r="D30" s="401"/>
      <c r="E30" s="1263" t="s">
        <v>1921</v>
      </c>
      <c r="F30" s="145" t="s">
        <v>160</v>
      </c>
      <c r="G30" s="1232" t="s">
        <v>1765</v>
      </c>
      <c r="H30" s="1237"/>
      <c r="I30" s="990"/>
      <c r="J30" s="990"/>
      <c r="K30" s="991">
        <f t="shared" si="0"/>
        <v>0</v>
      </c>
      <c r="L30" s="990"/>
      <c r="M30" s="990"/>
      <c r="N30" s="991">
        <f t="shared" si="1"/>
        <v>0</v>
      </c>
      <c r="O30" s="992"/>
      <c r="P30" s="990"/>
      <c r="Q30" s="992"/>
      <c r="R30" s="994">
        <f t="shared" si="2"/>
        <v>0</v>
      </c>
      <c r="S30" s="994">
        <f t="shared" si="3"/>
        <v>0</v>
      </c>
      <c r="T30" s="1001"/>
    </row>
    <row r="31" spans="1:20" s="1016" customFormat="1" ht="54" customHeight="1" x14ac:dyDescent="0.2">
      <c r="A31" s="1006"/>
      <c r="B31" s="693"/>
      <c r="C31" s="964"/>
      <c r="D31" s="401"/>
      <c r="E31" s="1263" t="s">
        <v>1922</v>
      </c>
      <c r="F31" s="145" t="s">
        <v>160</v>
      </c>
      <c r="G31" s="1232" t="s">
        <v>1765</v>
      </c>
      <c r="H31" s="1237"/>
      <c r="I31" s="990"/>
      <c r="J31" s="990"/>
      <c r="K31" s="991">
        <f t="shared" si="0"/>
        <v>0</v>
      </c>
      <c r="L31" s="990"/>
      <c r="M31" s="990"/>
      <c r="N31" s="991">
        <f t="shared" si="1"/>
        <v>0</v>
      </c>
      <c r="O31" s="992"/>
      <c r="P31" s="990"/>
      <c r="Q31" s="992"/>
      <c r="R31" s="994">
        <f t="shared" si="2"/>
        <v>0</v>
      </c>
      <c r="S31" s="994">
        <f t="shared" si="3"/>
        <v>0</v>
      </c>
      <c r="T31" s="1001"/>
    </row>
    <row r="32" spans="1:20" s="1010" customFormat="1" ht="65.650000000000006" customHeight="1" x14ac:dyDescent="0.2">
      <c r="A32" s="1011"/>
      <c r="B32" s="693"/>
      <c r="C32" s="964"/>
      <c r="D32" s="401"/>
      <c r="E32" s="1248" t="s">
        <v>1923</v>
      </c>
      <c r="F32" s="145" t="s">
        <v>160</v>
      </c>
      <c r="G32" s="1232" t="s">
        <v>1765</v>
      </c>
      <c r="H32" s="1237"/>
      <c r="I32" s="990"/>
      <c r="J32" s="990"/>
      <c r="K32" s="991">
        <f t="shared" si="0"/>
        <v>0</v>
      </c>
      <c r="L32" s="990"/>
      <c r="M32" s="990"/>
      <c r="N32" s="991">
        <f t="shared" si="1"/>
        <v>0</v>
      </c>
      <c r="O32" s="992"/>
      <c r="P32" s="990"/>
      <c r="Q32" s="992"/>
      <c r="R32" s="994">
        <f t="shared" si="2"/>
        <v>0</v>
      </c>
      <c r="S32" s="994">
        <f t="shared" si="3"/>
        <v>0</v>
      </c>
      <c r="T32" s="1001"/>
    </row>
    <row r="33" spans="1:20" s="1016" customFormat="1" ht="14.25" x14ac:dyDescent="0.2">
      <c r="A33" s="1011"/>
      <c r="B33" s="693"/>
      <c r="C33" s="964"/>
      <c r="D33" s="401"/>
      <c r="E33" s="1250" t="s">
        <v>1924</v>
      </c>
      <c r="F33" s="145" t="s">
        <v>167</v>
      </c>
      <c r="G33" s="1232" t="s">
        <v>1765</v>
      </c>
      <c r="H33" s="1237"/>
      <c r="I33" s="990"/>
      <c r="J33" s="990"/>
      <c r="K33" s="991">
        <f t="shared" si="0"/>
        <v>0</v>
      </c>
      <c r="L33" s="990"/>
      <c r="M33" s="990"/>
      <c r="N33" s="991">
        <f t="shared" si="1"/>
        <v>0</v>
      </c>
      <c r="O33" s="992"/>
      <c r="P33" s="990"/>
      <c r="Q33" s="992"/>
      <c r="R33" s="994">
        <f t="shared" si="2"/>
        <v>0</v>
      </c>
      <c r="S33" s="994">
        <f t="shared" si="3"/>
        <v>0</v>
      </c>
      <c r="T33" s="1001"/>
    </row>
    <row r="34" spans="1:20" s="1016" customFormat="1" ht="37.15" customHeight="1" x14ac:dyDescent="0.2">
      <c r="A34" s="1011"/>
      <c r="B34" s="693"/>
      <c r="C34" s="1017"/>
      <c r="D34" s="401"/>
      <c r="E34" s="1339" t="s">
        <v>1925</v>
      </c>
      <c r="F34" s="145" t="s">
        <v>160</v>
      </c>
      <c r="G34" s="1232" t="s">
        <v>1765</v>
      </c>
      <c r="H34" s="1237"/>
      <c r="I34" s="990"/>
      <c r="J34" s="990"/>
      <c r="K34" s="991">
        <f t="shared" si="0"/>
        <v>0</v>
      </c>
      <c r="L34" s="990"/>
      <c r="M34" s="990"/>
      <c r="N34" s="991">
        <f t="shared" si="1"/>
        <v>0</v>
      </c>
      <c r="O34" s="992"/>
      <c r="P34" s="990"/>
      <c r="Q34" s="992"/>
      <c r="R34" s="994">
        <f t="shared" si="2"/>
        <v>0</v>
      </c>
      <c r="S34" s="994">
        <f t="shared" si="3"/>
        <v>0</v>
      </c>
      <c r="T34" s="1001"/>
    </row>
    <row r="35" spans="1:20" s="1010" customFormat="1" ht="45" customHeight="1" x14ac:dyDescent="0.2">
      <c r="A35" s="1006"/>
      <c r="B35" s="694"/>
      <c r="C35" s="1018"/>
      <c r="D35" s="401"/>
      <c r="E35" s="1248" t="s">
        <v>1892</v>
      </c>
      <c r="F35" s="145" t="s">
        <v>160</v>
      </c>
      <c r="G35" s="1232" t="s">
        <v>1765</v>
      </c>
      <c r="H35" s="1237"/>
      <c r="I35" s="990"/>
      <c r="J35" s="990"/>
      <c r="K35" s="991">
        <f t="shared" si="0"/>
        <v>0</v>
      </c>
      <c r="L35" s="990"/>
      <c r="M35" s="990"/>
      <c r="N35" s="991">
        <f t="shared" si="1"/>
        <v>0</v>
      </c>
      <c r="O35" s="992"/>
      <c r="P35" s="990"/>
      <c r="Q35" s="992"/>
      <c r="R35" s="994">
        <f t="shared" si="2"/>
        <v>0</v>
      </c>
      <c r="S35" s="994">
        <f t="shared" si="3"/>
        <v>0</v>
      </c>
      <c r="T35" s="1001"/>
    </row>
    <row r="36" spans="1:20" s="1010" customFormat="1" ht="43.5" customHeight="1" x14ac:dyDescent="0.2">
      <c r="A36" s="1006"/>
      <c r="B36" s="694"/>
      <c r="C36" s="1018"/>
      <c r="D36" s="401"/>
      <c r="E36" s="1264" t="s">
        <v>1930</v>
      </c>
      <c r="F36" s="495" t="s">
        <v>160</v>
      </c>
      <c r="G36" s="1232" t="s">
        <v>1765</v>
      </c>
      <c r="H36" s="1237"/>
      <c r="I36" s="990"/>
      <c r="J36" s="990"/>
      <c r="K36" s="991">
        <f t="shared" si="0"/>
        <v>0</v>
      </c>
      <c r="L36" s="990"/>
      <c r="M36" s="990"/>
      <c r="N36" s="991">
        <f t="shared" si="1"/>
        <v>0</v>
      </c>
      <c r="O36" s="992"/>
      <c r="P36" s="990"/>
      <c r="Q36" s="992"/>
      <c r="R36" s="994">
        <f t="shared" si="2"/>
        <v>0</v>
      </c>
      <c r="S36" s="994">
        <f t="shared" si="3"/>
        <v>0</v>
      </c>
      <c r="T36" s="1001"/>
    </row>
    <row r="37" spans="1:20" s="1010" customFormat="1" ht="41.25" customHeight="1" x14ac:dyDescent="0.2">
      <c r="A37" s="1006"/>
      <c r="B37" s="694"/>
      <c r="C37" s="1018"/>
      <c r="D37" s="401"/>
      <c r="E37" s="1252" t="s">
        <v>1894</v>
      </c>
      <c r="F37" s="495" t="s">
        <v>160</v>
      </c>
      <c r="G37" s="1232" t="s">
        <v>1765</v>
      </c>
      <c r="H37" s="1237"/>
      <c r="I37" s="990"/>
      <c r="J37" s="990"/>
      <c r="K37" s="991">
        <f t="shared" si="0"/>
        <v>0</v>
      </c>
      <c r="L37" s="990"/>
      <c r="M37" s="990"/>
      <c r="N37" s="991">
        <f t="shared" si="1"/>
        <v>0</v>
      </c>
      <c r="O37" s="992"/>
      <c r="P37" s="990"/>
      <c r="Q37" s="992"/>
      <c r="R37" s="994">
        <f t="shared" si="2"/>
        <v>0</v>
      </c>
      <c r="S37" s="994">
        <f t="shared" si="3"/>
        <v>0</v>
      </c>
      <c r="T37" s="1001"/>
    </row>
    <row r="38" spans="1:20" s="1016" customFormat="1" ht="51" customHeight="1" x14ac:dyDescent="0.2">
      <c r="A38" s="1006"/>
      <c r="B38" s="694"/>
      <c r="C38" s="1018"/>
      <c r="D38" s="401"/>
      <c r="E38" s="1252" t="s">
        <v>1895</v>
      </c>
      <c r="F38" s="495" t="s">
        <v>160</v>
      </c>
      <c r="G38" s="1232" t="s">
        <v>1765</v>
      </c>
      <c r="H38" s="1237"/>
      <c r="I38" s="990"/>
      <c r="J38" s="990"/>
      <c r="K38" s="991">
        <f t="shared" si="0"/>
        <v>0</v>
      </c>
      <c r="L38" s="990"/>
      <c r="M38" s="990"/>
      <c r="N38" s="991">
        <f t="shared" si="1"/>
        <v>0</v>
      </c>
      <c r="O38" s="992"/>
      <c r="P38" s="990"/>
      <c r="Q38" s="992"/>
      <c r="R38" s="994">
        <f t="shared" si="2"/>
        <v>0</v>
      </c>
      <c r="S38" s="994">
        <f t="shared" si="3"/>
        <v>0</v>
      </c>
      <c r="T38" s="1001"/>
    </row>
    <row r="39" spans="1:20" s="1016" customFormat="1" ht="37.15" customHeight="1" x14ac:dyDescent="0.2">
      <c r="A39" s="1006"/>
      <c r="B39" s="693"/>
      <c r="C39" s="972"/>
      <c r="D39" s="401"/>
      <c r="E39" s="1252" t="s">
        <v>1895</v>
      </c>
      <c r="F39" s="495" t="s">
        <v>160</v>
      </c>
      <c r="G39" s="1232" t="s">
        <v>1765</v>
      </c>
      <c r="H39" s="1237"/>
      <c r="I39" s="990"/>
      <c r="J39" s="990"/>
      <c r="K39" s="991">
        <f t="shared" si="0"/>
        <v>0</v>
      </c>
      <c r="L39" s="990"/>
      <c r="M39" s="990"/>
      <c r="N39" s="991">
        <f t="shared" si="1"/>
        <v>0</v>
      </c>
      <c r="O39" s="992"/>
      <c r="P39" s="990"/>
      <c r="Q39" s="992"/>
      <c r="R39" s="994">
        <f t="shared" si="2"/>
        <v>0</v>
      </c>
      <c r="S39" s="994">
        <f t="shared" si="3"/>
        <v>0</v>
      </c>
      <c r="T39" s="1019"/>
    </row>
    <row r="40" spans="1:20" s="1016" customFormat="1" ht="37.15" customHeight="1" x14ac:dyDescent="0.2">
      <c r="A40" s="1006"/>
      <c r="B40" s="693"/>
      <c r="C40" s="972"/>
      <c r="D40" s="401"/>
      <c r="E40" s="1252" t="s">
        <v>1895</v>
      </c>
      <c r="F40" s="495" t="s">
        <v>160</v>
      </c>
      <c r="G40" s="1232" t="s">
        <v>1765</v>
      </c>
      <c r="H40" s="1237"/>
      <c r="I40" s="990"/>
      <c r="J40" s="990"/>
      <c r="K40" s="991">
        <f t="shared" si="0"/>
        <v>0</v>
      </c>
      <c r="L40" s="990"/>
      <c r="M40" s="990"/>
      <c r="N40" s="991">
        <f t="shared" si="1"/>
        <v>0</v>
      </c>
      <c r="O40" s="992"/>
      <c r="P40" s="990"/>
      <c r="Q40" s="992"/>
      <c r="R40" s="994">
        <f t="shared" si="2"/>
        <v>0</v>
      </c>
      <c r="S40" s="994">
        <f t="shared" si="3"/>
        <v>0</v>
      </c>
      <c r="T40" s="1019"/>
    </row>
    <row r="41" spans="1:20" s="1016" customFormat="1" ht="37.15" customHeight="1" x14ac:dyDescent="0.25">
      <c r="A41" s="1006"/>
      <c r="B41" s="1693"/>
      <c r="C41" s="1693"/>
      <c r="D41" s="1694"/>
      <c r="E41" s="1258" t="s">
        <v>1242</v>
      </c>
      <c r="F41" s="1259"/>
      <c r="G41" s="1259"/>
      <c r="H41" s="1259"/>
      <c r="I41" s="1259"/>
      <c r="J41" s="1259"/>
      <c r="K41" s="1259"/>
      <c r="L41" s="1259"/>
      <c r="M41" s="1259"/>
      <c r="N41" s="1259"/>
      <c r="O41" s="1259"/>
      <c r="P41" s="1259"/>
      <c r="Q41" s="1259"/>
      <c r="R41" s="1259"/>
      <c r="S41" s="1259"/>
      <c r="T41" s="1259"/>
    </row>
    <row r="42" spans="1:20" s="1016" customFormat="1" ht="37.15" customHeight="1" x14ac:dyDescent="0.25">
      <c r="A42" s="1006"/>
      <c r="B42" s="401"/>
      <c r="C42" s="401"/>
      <c r="D42" s="401"/>
      <c r="E42" s="1243" t="s">
        <v>1905</v>
      </c>
      <c r="F42" s="495" t="s">
        <v>167</v>
      </c>
      <c r="G42" s="1232" t="s">
        <v>1765</v>
      </c>
      <c r="H42" s="1237"/>
      <c r="I42" s="990"/>
      <c r="J42" s="990"/>
      <c r="K42" s="991">
        <f>I42*J42</f>
        <v>0</v>
      </c>
      <c r="L42" s="990"/>
      <c r="M42" s="990"/>
      <c r="N42" s="991"/>
      <c r="O42" s="992"/>
      <c r="P42" s="990"/>
      <c r="Q42" s="992"/>
      <c r="R42" s="994"/>
      <c r="S42" s="994"/>
      <c r="T42" s="1001"/>
    </row>
    <row r="43" spans="1:20" s="1016" customFormat="1" ht="37.15" customHeight="1" x14ac:dyDescent="0.25">
      <c r="A43" s="1006"/>
      <c r="B43" s="401"/>
      <c r="C43" s="401"/>
      <c r="D43" s="401"/>
      <c r="E43" s="1243" t="s">
        <v>1903</v>
      </c>
      <c r="F43" s="495" t="s">
        <v>167</v>
      </c>
      <c r="G43" s="1232" t="s">
        <v>1765</v>
      </c>
      <c r="H43" s="1237"/>
      <c r="I43" s="990"/>
      <c r="J43" s="990"/>
      <c r="K43" s="991">
        <f>I43*J43</f>
        <v>0</v>
      </c>
      <c r="L43" s="990"/>
      <c r="M43" s="990"/>
      <c r="N43" s="991"/>
      <c r="O43" s="992"/>
      <c r="P43" s="990"/>
      <c r="Q43" s="992"/>
      <c r="R43" s="994"/>
      <c r="S43" s="994"/>
      <c r="T43" s="1001"/>
    </row>
    <row r="44" spans="1:20" s="1016" customFormat="1" ht="37.15" customHeight="1" x14ac:dyDescent="0.25">
      <c r="A44" s="1006"/>
      <c r="B44" s="401"/>
      <c r="C44" s="401"/>
      <c r="D44" s="401"/>
      <c r="E44" s="1243" t="s">
        <v>1677</v>
      </c>
      <c r="F44" s="495" t="s">
        <v>167</v>
      </c>
      <c r="G44" s="1232" t="s">
        <v>1765</v>
      </c>
      <c r="H44" s="1237"/>
      <c r="I44" s="990"/>
      <c r="J44" s="990"/>
      <c r="K44" s="991">
        <f>I44*J44</f>
        <v>0</v>
      </c>
      <c r="L44" s="990"/>
      <c r="M44" s="990"/>
      <c r="N44" s="991"/>
      <c r="O44" s="992"/>
      <c r="P44" s="990"/>
      <c r="Q44" s="992"/>
      <c r="R44" s="994"/>
      <c r="S44" s="994"/>
      <c r="T44" s="1001"/>
    </row>
    <row r="45" spans="1:20" s="1016" customFormat="1" ht="37.15" customHeight="1" x14ac:dyDescent="0.25">
      <c r="A45" s="1006"/>
      <c r="B45" s="401"/>
      <c r="C45" s="401"/>
      <c r="D45" s="401"/>
      <c r="E45" s="1243" t="s">
        <v>1904</v>
      </c>
      <c r="F45" s="495" t="s">
        <v>167</v>
      </c>
      <c r="G45" s="1232" t="s">
        <v>1765</v>
      </c>
      <c r="H45" s="1237"/>
      <c r="I45" s="990"/>
      <c r="J45" s="990"/>
      <c r="K45" s="991">
        <f>I45*J45</f>
        <v>0</v>
      </c>
      <c r="L45" s="990"/>
      <c r="M45" s="990"/>
      <c r="N45" s="991"/>
      <c r="O45" s="992"/>
      <c r="P45" s="990"/>
      <c r="Q45" s="992"/>
      <c r="R45" s="994"/>
      <c r="S45" s="994"/>
      <c r="T45" s="1001"/>
    </row>
    <row r="46" spans="1:20" customFormat="1" ht="37.15" customHeight="1" x14ac:dyDescent="0.25">
      <c r="B46" s="1667" t="s">
        <v>96</v>
      </c>
      <c r="C46" s="1668"/>
      <c r="D46" s="1668"/>
      <c r="E46" s="1669"/>
      <c r="F46" s="1665" t="s">
        <v>154</v>
      </c>
      <c r="G46" s="1665"/>
      <c r="H46" s="1665"/>
      <c r="I46" s="1665"/>
      <c r="J46" s="1665"/>
      <c r="K46" s="1665"/>
      <c r="L46" s="1665"/>
      <c r="M46" s="1665"/>
      <c r="N46" s="1665"/>
      <c r="O46" s="1665"/>
      <c r="P46" s="1665"/>
      <c r="Q46" s="1665"/>
      <c r="R46" s="1665"/>
      <c r="S46" s="908">
        <f>SUMIF(F48:F51,"Mandatory",S48:S51)</f>
        <v>0</v>
      </c>
      <c r="T46" s="878"/>
    </row>
    <row r="47" spans="1:20" customFormat="1" ht="37.15" customHeight="1" x14ac:dyDescent="0.25">
      <c r="B47" s="1670"/>
      <c r="C47" s="1671"/>
      <c r="D47" s="1671"/>
      <c r="E47" s="1672"/>
      <c r="F47" s="1666" t="s">
        <v>156</v>
      </c>
      <c r="G47" s="1666"/>
      <c r="H47" s="1666"/>
      <c r="I47" s="1666"/>
      <c r="J47" s="1666"/>
      <c r="K47" s="1666"/>
      <c r="L47" s="1666"/>
      <c r="M47" s="1666"/>
      <c r="N47" s="1666"/>
      <c r="O47" s="1666"/>
      <c r="P47" s="1666"/>
      <c r="Q47" s="1666"/>
      <c r="R47" s="1666"/>
      <c r="S47" s="863">
        <f>SUMIF(F48:F51,"optional",S48:S51)</f>
        <v>0</v>
      </c>
      <c r="T47" s="1033"/>
    </row>
    <row r="48" spans="1:20" s="1010" customFormat="1" ht="37.15" customHeight="1" x14ac:dyDescent="0.2">
      <c r="A48" s="1006"/>
      <c r="B48" s="421"/>
      <c r="C48" s="937" t="s">
        <v>760</v>
      </c>
      <c r="D48" s="401"/>
      <c r="E48" s="1235" t="s">
        <v>1906</v>
      </c>
      <c r="F48" s="145" t="s">
        <v>160</v>
      </c>
      <c r="G48" s="1230" t="s">
        <v>1765</v>
      </c>
      <c r="H48" s="1236"/>
      <c r="I48" s="990"/>
      <c r="J48" s="990"/>
      <c r="K48" s="991">
        <f>I48*J48</f>
        <v>0</v>
      </c>
      <c r="L48" s="990"/>
      <c r="M48" s="990"/>
      <c r="N48" s="991">
        <f>L48*M48</f>
        <v>0</v>
      </c>
      <c r="O48" s="992"/>
      <c r="P48" s="990"/>
      <c r="Q48" s="992"/>
      <c r="R48" s="994">
        <f>P48+N48+K48</f>
        <v>0</v>
      </c>
      <c r="S48" s="994">
        <f>H48*R48</f>
        <v>0</v>
      </c>
      <c r="T48" s="1001"/>
    </row>
    <row r="49" spans="1:20" s="1010" customFormat="1" ht="37.15" customHeight="1" x14ac:dyDescent="0.2">
      <c r="A49" s="1006"/>
      <c r="B49" s="421"/>
      <c r="C49" s="937" t="s">
        <v>760</v>
      </c>
      <c r="D49" s="401"/>
      <c r="E49" s="1235" t="s">
        <v>1907</v>
      </c>
      <c r="F49" s="145" t="s">
        <v>160</v>
      </c>
      <c r="G49" s="1230" t="s">
        <v>1908</v>
      </c>
      <c r="H49" s="1236"/>
      <c r="I49" s="990"/>
      <c r="J49" s="990"/>
      <c r="K49" s="991">
        <f>I49*J49</f>
        <v>0</v>
      </c>
      <c r="L49" s="990"/>
      <c r="M49" s="990"/>
      <c r="N49" s="991">
        <f>L49*M49</f>
        <v>0</v>
      </c>
      <c r="O49" s="992"/>
      <c r="P49" s="990"/>
      <c r="Q49" s="992"/>
      <c r="R49" s="994">
        <f>P49+N49+K49</f>
        <v>0</v>
      </c>
      <c r="S49" s="994">
        <f>H49*R49</f>
        <v>0</v>
      </c>
      <c r="T49" s="1001"/>
    </row>
    <row r="50" spans="1:20" s="1010" customFormat="1" ht="37.15" customHeight="1" x14ac:dyDescent="0.2">
      <c r="A50" s="1011" t="s">
        <v>1909</v>
      </c>
      <c r="B50" s="421"/>
      <c r="C50" s="985" t="s">
        <v>254</v>
      </c>
      <c r="D50" s="401"/>
      <c r="E50" s="1329" t="s">
        <v>1910</v>
      </c>
      <c r="F50" s="145" t="s">
        <v>160</v>
      </c>
      <c r="G50" s="1230" t="s">
        <v>1749</v>
      </c>
      <c r="H50" s="1230">
        <v>1</v>
      </c>
      <c r="I50" s="990"/>
      <c r="J50" s="990"/>
      <c r="K50" s="991">
        <f>I50*J50</f>
        <v>0</v>
      </c>
      <c r="L50" s="990"/>
      <c r="M50" s="990"/>
      <c r="N50" s="991">
        <f>L50*M50</f>
        <v>0</v>
      </c>
      <c r="O50" s="992"/>
      <c r="P50" s="990"/>
      <c r="Q50" s="992"/>
      <c r="R50" s="994">
        <f>P50+N50+K50</f>
        <v>0</v>
      </c>
      <c r="S50" s="994">
        <f>H50*R50</f>
        <v>0</v>
      </c>
      <c r="T50" s="1001"/>
    </row>
    <row r="51" spans="1:20" s="1010" customFormat="1" ht="37.15" customHeight="1" x14ac:dyDescent="0.2">
      <c r="A51" s="1011" t="s">
        <v>1911</v>
      </c>
      <c r="B51" s="1026"/>
      <c r="C51" s="985" t="s">
        <v>254</v>
      </c>
      <c r="D51" s="1028"/>
      <c r="E51" s="1329" t="s">
        <v>1912</v>
      </c>
      <c r="F51" s="1021" t="s">
        <v>160</v>
      </c>
      <c r="G51" s="1230" t="s">
        <v>1749</v>
      </c>
      <c r="H51" s="1230">
        <v>1</v>
      </c>
      <c r="I51" s="990"/>
      <c r="J51" s="990"/>
      <c r="K51" s="991">
        <f>I51*J51</f>
        <v>0</v>
      </c>
      <c r="L51" s="990"/>
      <c r="M51" s="990"/>
      <c r="N51" s="991">
        <f>L51*M51</f>
        <v>0</v>
      </c>
      <c r="O51" s="992"/>
      <c r="P51" s="990"/>
      <c r="Q51" s="992"/>
      <c r="R51" s="994">
        <f>P51+N51+K51</f>
        <v>0</v>
      </c>
      <c r="S51" s="1023">
        <f>H51*R51</f>
        <v>0</v>
      </c>
      <c r="T51" s="1022"/>
    </row>
    <row r="52" spans="1:20" customFormat="1" ht="37.15" customHeight="1" x14ac:dyDescent="0.25">
      <c r="B52" s="1667" t="s">
        <v>132</v>
      </c>
      <c r="C52" s="1668"/>
      <c r="D52" s="1668"/>
      <c r="E52" s="1669"/>
      <c r="F52" s="1665" t="s">
        <v>154</v>
      </c>
      <c r="G52" s="1665"/>
      <c r="H52" s="1665"/>
      <c r="I52" s="1665"/>
      <c r="J52" s="1665"/>
      <c r="K52" s="1665"/>
      <c r="L52" s="1665"/>
      <c r="M52" s="1665"/>
      <c r="N52" s="1665"/>
      <c r="O52" s="1665"/>
      <c r="P52" s="1665"/>
      <c r="Q52" s="1665"/>
      <c r="R52" s="1665"/>
      <c r="S52" s="877">
        <f>SUMIF(F54:F54,"Mandatory",S54:S54)</f>
        <v>0</v>
      </c>
      <c r="T52" s="878"/>
    </row>
    <row r="53" spans="1:20" customFormat="1" ht="37.15" customHeight="1" x14ac:dyDescent="0.25">
      <c r="B53" s="1670"/>
      <c r="C53" s="1671"/>
      <c r="D53" s="1671"/>
      <c r="E53" s="1672"/>
      <c r="F53" s="1666" t="s">
        <v>156</v>
      </c>
      <c r="G53" s="1666"/>
      <c r="H53" s="1666"/>
      <c r="I53" s="1666"/>
      <c r="J53" s="1666"/>
      <c r="K53" s="1666"/>
      <c r="L53" s="1666"/>
      <c r="M53" s="1666"/>
      <c r="N53" s="1666"/>
      <c r="O53" s="1666"/>
      <c r="P53" s="1666"/>
      <c r="Q53" s="1666"/>
      <c r="R53" s="1666"/>
      <c r="S53" s="1032">
        <f>SUMIF(F54:F54,"Optional",S54:S54)</f>
        <v>0</v>
      </c>
      <c r="T53" s="1033"/>
    </row>
    <row r="54" spans="1:20" s="1010" customFormat="1" ht="37.15" customHeight="1" x14ac:dyDescent="0.2">
      <c r="A54" s="1006"/>
      <c r="B54" s="692"/>
      <c r="C54" s="964" t="str">
        <f>'Reference documents'!B24</f>
        <v>GRE…..</v>
      </c>
      <c r="D54" s="401"/>
      <c r="E54" s="1238" t="s">
        <v>1931</v>
      </c>
      <c r="F54" s="145" t="s">
        <v>167</v>
      </c>
      <c r="G54" s="1230" t="s">
        <v>1749</v>
      </c>
      <c r="H54" s="1230">
        <v>1</v>
      </c>
      <c r="I54" s="990"/>
      <c r="J54" s="990"/>
      <c r="K54" s="991">
        <f>I54*J54</f>
        <v>0</v>
      </c>
      <c r="L54" s="990"/>
      <c r="M54" s="990"/>
      <c r="N54" s="991"/>
      <c r="O54" s="992"/>
      <c r="P54" s="990"/>
      <c r="Q54" s="992"/>
      <c r="R54" s="994">
        <f>P54+N54+K54</f>
        <v>0</v>
      </c>
      <c r="S54" s="994">
        <f>H54*R54</f>
        <v>0</v>
      </c>
      <c r="T54" s="1001"/>
    </row>
  </sheetData>
  <autoFilter ref="B3:T58" xr:uid="{32E03678-4CE2-4317-8A09-156CF665688E}">
    <filterColumn colId="7" showButton="0"/>
    <filterColumn colId="8" showButton="0"/>
    <filterColumn colId="10" showButton="0"/>
    <filterColumn colId="11" showButton="0"/>
    <filterColumn colId="12" showButton="0"/>
    <filterColumn colId="14" showButton="0"/>
  </autoFilter>
  <mergeCells count="31">
    <mergeCell ref="E3:E4"/>
    <mergeCell ref="F3:F4"/>
    <mergeCell ref="G3:G4"/>
    <mergeCell ref="T3:T4"/>
    <mergeCell ref="B15:E16"/>
    <mergeCell ref="F15:R15"/>
    <mergeCell ref="F16:R16"/>
    <mergeCell ref="H3:H4"/>
    <mergeCell ref="I3:K3"/>
    <mergeCell ref="L3:O3"/>
    <mergeCell ref="P3:Q3"/>
    <mergeCell ref="R3:R4"/>
    <mergeCell ref="S3:S4"/>
    <mergeCell ref="B3:B4"/>
    <mergeCell ref="C3:C4"/>
    <mergeCell ref="D3:D4"/>
    <mergeCell ref="B52:E53"/>
    <mergeCell ref="F52:R52"/>
    <mergeCell ref="F53:R53"/>
    <mergeCell ref="B5:E6"/>
    <mergeCell ref="F5:R5"/>
    <mergeCell ref="F6:R6"/>
    <mergeCell ref="B12:E13"/>
    <mergeCell ref="F12:R12"/>
    <mergeCell ref="F13:R13"/>
    <mergeCell ref="B17:D17"/>
    <mergeCell ref="B29:D29"/>
    <mergeCell ref="B41:D41"/>
    <mergeCell ref="B46:E47"/>
    <mergeCell ref="F46:R46"/>
    <mergeCell ref="F47:R47"/>
  </mergeCells>
  <dataValidations count="2">
    <dataValidation type="list" allowBlank="1" showInputMessage="1" showErrorMessage="1" sqref="F7:F11 F14 F54 F48:F51 F17:F45" xr:uid="{DDCA386F-11EF-45CD-8EA5-A13F579EF7E4}">
      <formula1>"Mandatory,Optional,NA"</formula1>
    </dataValidation>
    <dataValidation type="decimal" operator="greaterThanOrEqual" allowBlank="1" showInputMessage="1" showErrorMessage="1" sqref="L18:M18" xr:uid="{3CEF809F-31BD-4D7E-9375-E92E1CC2CD7D}">
      <formula1>0</formula1>
    </dataValidation>
  </dataValidations>
  <printOptions horizontalCentered="1"/>
  <pageMargins left="0.23622047244094491" right="0.23622047244094491" top="0.74803149606299213" bottom="0.55118110236220474" header="0.31496062992125984" footer="0.31496062992125984"/>
  <pageSetup paperSize="9" orientation="landscape" r:id="rId1"/>
  <headerFooter>
    <oddHeader>&amp;C&amp;"Arial"&amp;8&amp;K000000INTERNAL&amp;1#</oddHeader>
    <oddFooter>&amp;R&amp;8pag &amp;P di &amp;N</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A4F25-0A45-4516-952C-706F466A7F52}">
  <sheetPr>
    <tabColor rgb="FF00B050"/>
  </sheetPr>
  <dimension ref="B2:K236"/>
  <sheetViews>
    <sheetView showGridLines="0" topLeftCell="A68" zoomScale="90" zoomScaleNormal="90" zoomScaleSheetLayoutView="90" workbookViewId="0">
      <selection activeCell="D88" sqref="D88"/>
    </sheetView>
  </sheetViews>
  <sheetFormatPr defaultColWidth="11.5703125" defaultRowHeight="15" x14ac:dyDescent="0.25"/>
  <cols>
    <col min="1" max="1" width="2.7109375" style="123" customWidth="1"/>
    <col min="2" max="2" width="23.42578125" style="123" customWidth="1"/>
    <col min="3" max="3" width="49.5703125" style="134" bestFit="1" customWidth="1"/>
    <col min="4" max="4" width="16.7109375" style="134" bestFit="1" customWidth="1"/>
    <col min="5" max="5" width="94" style="123" customWidth="1"/>
    <col min="6" max="6" width="15.28515625" style="134" customWidth="1"/>
    <col min="7" max="7" width="20.28515625" style="134" bestFit="1" customWidth="1"/>
    <col min="8" max="8" width="15.28515625" style="1096" customWidth="1"/>
    <col min="10" max="16384" width="11.5703125" style="123"/>
  </cols>
  <sheetData>
    <row r="2" spans="2:11" ht="15.75" x14ac:dyDescent="0.2">
      <c r="B2" s="1511" t="s">
        <v>1932</v>
      </c>
      <c r="C2" s="1511"/>
      <c r="D2" s="1511"/>
      <c r="E2" s="1511"/>
      <c r="F2" s="1511"/>
      <c r="G2" s="1511"/>
      <c r="H2" s="1511"/>
      <c r="I2" s="1511"/>
      <c r="J2" s="1511"/>
      <c r="K2" s="1511"/>
    </row>
    <row r="3" spans="2:11" ht="15.75" thickBot="1" x14ac:dyDescent="0.25">
      <c r="B3" s="121"/>
      <c r="C3" s="26"/>
      <c r="D3" s="26"/>
      <c r="E3" s="28"/>
      <c r="F3" s="30"/>
      <c r="G3" s="29"/>
      <c r="H3" s="1094"/>
      <c r="I3" s="123"/>
    </row>
    <row r="4" spans="2:11" s="126" customFormat="1" ht="24.75" customHeight="1" x14ac:dyDescent="0.25">
      <c r="B4" s="709" t="s">
        <v>186</v>
      </c>
      <c r="C4" s="709" t="s">
        <v>136</v>
      </c>
      <c r="D4" s="709" t="s">
        <v>137</v>
      </c>
      <c r="E4" s="1088" t="s">
        <v>187</v>
      </c>
      <c r="F4" s="160" t="s">
        <v>139</v>
      </c>
      <c r="G4" s="539" t="s">
        <v>140</v>
      </c>
      <c r="H4" s="939" t="s">
        <v>141</v>
      </c>
      <c r="I4" s="939" t="s">
        <v>145</v>
      </c>
      <c r="J4" s="939" t="s">
        <v>146</v>
      </c>
      <c r="K4" s="1086" t="s">
        <v>147</v>
      </c>
    </row>
    <row r="5" spans="2:11" s="127" customFormat="1" x14ac:dyDescent="0.2">
      <c r="B5" s="1705"/>
      <c r="C5" s="1705"/>
      <c r="D5" s="1705" t="s">
        <v>1933</v>
      </c>
      <c r="E5" s="1705" t="s">
        <v>1934</v>
      </c>
      <c r="F5" s="1502" t="s">
        <v>154</v>
      </c>
      <c r="G5" s="1503"/>
      <c r="H5" s="1503"/>
      <c r="I5" s="1504"/>
      <c r="J5" s="863">
        <f>SUMIF(F9:F162,"Mandatory",J9:J162)</f>
        <v>0</v>
      </c>
      <c r="K5" s="1087"/>
    </row>
    <row r="6" spans="2:11" s="127" customFormat="1" x14ac:dyDescent="0.2">
      <c r="B6" s="1706"/>
      <c r="C6" s="1706"/>
      <c r="D6" s="1706"/>
      <c r="E6" s="1706"/>
      <c r="F6" s="1502" t="s">
        <v>156</v>
      </c>
      <c r="G6" s="1503"/>
      <c r="H6" s="1503"/>
      <c r="I6" s="1504"/>
      <c r="J6" s="863">
        <f>SUMIF(F8:F162,"optional",J8:J162)</f>
        <v>0</v>
      </c>
      <c r="K6" s="1087"/>
    </row>
    <row r="7" spans="2:11" s="431" customFormat="1" ht="19.899999999999999" customHeight="1" x14ac:dyDescent="0.25">
      <c r="B7" s="1092"/>
      <c r="C7" s="1092" t="s">
        <v>1935</v>
      </c>
      <c r="D7" s="1176" t="s">
        <v>1936</v>
      </c>
      <c r="E7" s="1208" t="s">
        <v>123</v>
      </c>
      <c r="F7" s="1703"/>
      <c r="G7" s="1703" t="s">
        <v>207</v>
      </c>
      <c r="H7" s="1703"/>
      <c r="I7" s="1703"/>
      <c r="J7" s="1703"/>
      <c r="K7" s="1704"/>
    </row>
    <row r="8" spans="2:11" s="431" customFormat="1" ht="12.75" x14ac:dyDescent="0.25">
      <c r="B8" s="1092"/>
      <c r="C8" s="1092" t="s">
        <v>1935</v>
      </c>
      <c r="D8" s="1176" t="s">
        <v>1937</v>
      </c>
      <c r="E8" s="1208" t="s">
        <v>1938</v>
      </c>
      <c r="F8" s="1703"/>
      <c r="G8" s="1703"/>
      <c r="H8" s="1703"/>
      <c r="I8" s="1703"/>
      <c r="J8" s="1703"/>
      <c r="K8" s="1704"/>
    </row>
    <row r="9" spans="2:11" s="431" customFormat="1" ht="19.149999999999999" customHeight="1" x14ac:dyDescent="0.25">
      <c r="B9" s="97"/>
      <c r="C9" s="98" t="s">
        <v>1935</v>
      </c>
      <c r="D9" s="100" t="s">
        <v>1939</v>
      </c>
      <c r="E9" s="901" t="s">
        <v>1940</v>
      </c>
      <c r="F9" s="1209" t="s">
        <v>160</v>
      </c>
      <c r="G9" s="900" t="s">
        <v>1941</v>
      </c>
      <c r="H9" s="1106"/>
      <c r="I9" s="904"/>
      <c r="J9" s="1124">
        <f>IF(F9="NA","",H9*I9)</f>
        <v>0</v>
      </c>
      <c r="K9" s="906"/>
    </row>
    <row r="10" spans="2:11" s="431" customFormat="1" ht="19.149999999999999" customHeight="1" x14ac:dyDescent="0.25">
      <c r="B10" s="97"/>
      <c r="C10" s="98" t="s">
        <v>1935</v>
      </c>
      <c r="D10" s="100" t="s">
        <v>1942</v>
      </c>
      <c r="E10" s="98" t="s">
        <v>1943</v>
      </c>
      <c r="F10" s="1193" t="s">
        <v>160</v>
      </c>
      <c r="G10" s="100" t="s">
        <v>1941</v>
      </c>
      <c r="H10" s="1112"/>
      <c r="I10" s="102"/>
      <c r="J10" s="1194">
        <f t="shared" ref="J10:J73" si="0">IF(F10="NA","",H10*I10)</f>
        <v>0</v>
      </c>
      <c r="K10" s="884"/>
    </row>
    <row r="11" spans="2:11" s="431" customFormat="1" ht="19.149999999999999" customHeight="1" x14ac:dyDescent="0.25">
      <c r="B11" s="97"/>
      <c r="C11" s="98" t="s">
        <v>1935</v>
      </c>
      <c r="D11" s="100" t="s">
        <v>1944</v>
      </c>
      <c r="E11" s="98" t="s">
        <v>1945</v>
      </c>
      <c r="F11" s="1193" t="s">
        <v>160</v>
      </c>
      <c r="G11" s="100" t="s">
        <v>1941</v>
      </c>
      <c r="H11" s="1112"/>
      <c r="I11" s="102"/>
      <c r="J11" s="1194">
        <f t="shared" si="0"/>
        <v>0</v>
      </c>
      <c r="K11" s="884"/>
    </row>
    <row r="12" spans="2:11" s="431" customFormat="1" ht="19.149999999999999" customHeight="1" x14ac:dyDescent="0.25">
      <c r="B12" s="97"/>
      <c r="C12" s="98" t="s">
        <v>1935</v>
      </c>
      <c r="D12" s="100" t="s">
        <v>1946</v>
      </c>
      <c r="E12" s="98" t="s">
        <v>1947</v>
      </c>
      <c r="F12" s="1193" t="s">
        <v>160</v>
      </c>
      <c r="G12" s="100" t="s">
        <v>1941</v>
      </c>
      <c r="H12" s="1112"/>
      <c r="I12" s="102"/>
      <c r="J12" s="1194">
        <f t="shared" si="0"/>
        <v>0</v>
      </c>
      <c r="K12" s="884"/>
    </row>
    <row r="13" spans="2:11" s="431" customFormat="1" ht="19.149999999999999" customHeight="1" x14ac:dyDescent="0.25">
      <c r="B13" s="97"/>
      <c r="C13" s="98" t="s">
        <v>1935</v>
      </c>
      <c r="D13" s="100" t="s">
        <v>1948</v>
      </c>
      <c r="E13" s="98" t="s">
        <v>1949</v>
      </c>
      <c r="F13" s="1193" t="s">
        <v>160</v>
      </c>
      <c r="G13" s="100" t="s">
        <v>1941</v>
      </c>
      <c r="H13" s="1112"/>
      <c r="I13" s="102"/>
      <c r="J13" s="1194">
        <f t="shared" si="0"/>
        <v>0</v>
      </c>
      <c r="K13" s="884"/>
    </row>
    <row r="14" spans="2:11" s="431" customFormat="1" ht="19.149999999999999" customHeight="1" x14ac:dyDescent="0.25">
      <c r="B14" s="97"/>
      <c r="C14" s="98" t="s">
        <v>1935</v>
      </c>
      <c r="D14" s="100" t="s">
        <v>1950</v>
      </c>
      <c r="E14" s="98" t="s">
        <v>1951</v>
      </c>
      <c r="F14" s="1193" t="s">
        <v>160</v>
      </c>
      <c r="G14" s="100" t="s">
        <v>1941</v>
      </c>
      <c r="H14" s="1112"/>
      <c r="I14" s="102"/>
      <c r="J14" s="1194">
        <f t="shared" si="0"/>
        <v>0</v>
      </c>
      <c r="K14" s="884"/>
    </row>
    <row r="15" spans="2:11" s="431" customFormat="1" ht="19.149999999999999" customHeight="1" x14ac:dyDescent="0.25">
      <c r="B15" s="97"/>
      <c r="C15" s="98" t="s">
        <v>1935</v>
      </c>
      <c r="D15" s="100" t="s">
        <v>1952</v>
      </c>
      <c r="E15" s="98" t="s">
        <v>1953</v>
      </c>
      <c r="F15" s="1193" t="s">
        <v>160</v>
      </c>
      <c r="G15" s="100" t="s">
        <v>1954</v>
      </c>
      <c r="H15" s="1112"/>
      <c r="I15" s="102"/>
      <c r="J15" s="1194">
        <f t="shared" si="0"/>
        <v>0</v>
      </c>
      <c r="K15" s="884"/>
    </row>
    <row r="16" spans="2:11" s="431" customFormat="1" ht="19.149999999999999" customHeight="1" x14ac:dyDescent="0.25">
      <c r="B16" s="97"/>
      <c r="C16" s="98" t="s">
        <v>1935</v>
      </c>
      <c r="D16" s="100" t="s">
        <v>1955</v>
      </c>
      <c r="E16" s="98" t="s">
        <v>1956</v>
      </c>
      <c r="F16" s="1193" t="s">
        <v>160</v>
      </c>
      <c r="G16" s="100" t="s">
        <v>1954</v>
      </c>
      <c r="H16" s="1112"/>
      <c r="I16" s="102"/>
      <c r="J16" s="1194">
        <f t="shared" si="0"/>
        <v>0</v>
      </c>
      <c r="K16" s="884"/>
    </row>
    <row r="17" spans="2:11" s="431" customFormat="1" ht="12.75" x14ac:dyDescent="0.25">
      <c r="B17" s="1092"/>
      <c r="C17" s="1092" t="s">
        <v>1935</v>
      </c>
      <c r="D17" s="1176" t="s">
        <v>1957</v>
      </c>
      <c r="E17" s="1208" t="s">
        <v>1958</v>
      </c>
      <c r="F17" s="1703"/>
      <c r="G17" s="1703"/>
      <c r="H17" s="1703"/>
      <c r="I17" s="1703"/>
      <c r="J17" s="1703"/>
      <c r="K17" s="1704"/>
    </row>
    <row r="18" spans="2:11" s="431" customFormat="1" ht="25.5" x14ac:dyDescent="0.25">
      <c r="B18" s="97"/>
      <c r="C18" s="98" t="s">
        <v>1935</v>
      </c>
      <c r="D18" s="100" t="s">
        <v>1959</v>
      </c>
      <c r="E18" s="98" t="s">
        <v>1960</v>
      </c>
      <c r="F18" s="1193" t="s">
        <v>160</v>
      </c>
      <c r="G18" s="100" t="s">
        <v>1941</v>
      </c>
      <c r="H18" s="1112"/>
      <c r="I18" s="102"/>
      <c r="J18" s="1194">
        <f t="shared" si="0"/>
        <v>0</v>
      </c>
      <c r="K18" s="884"/>
    </row>
    <row r="19" spans="2:11" s="431" customFormat="1" ht="25.5" x14ac:dyDescent="0.25">
      <c r="B19" s="97"/>
      <c r="C19" s="98" t="s">
        <v>1935</v>
      </c>
      <c r="D19" s="100" t="s">
        <v>1961</v>
      </c>
      <c r="E19" s="98" t="s">
        <v>1962</v>
      </c>
      <c r="F19" s="1193" t="s">
        <v>160</v>
      </c>
      <c r="G19" s="100" t="s">
        <v>1941</v>
      </c>
      <c r="H19" s="1112"/>
      <c r="I19" s="102"/>
      <c r="J19" s="1194">
        <f t="shared" si="0"/>
        <v>0</v>
      </c>
      <c r="K19" s="884"/>
    </row>
    <row r="20" spans="2:11" s="431" customFormat="1" ht="25.5" x14ac:dyDescent="0.25">
      <c r="B20" s="97"/>
      <c r="C20" s="98" t="s">
        <v>1935</v>
      </c>
      <c r="D20" s="100" t="s">
        <v>1963</v>
      </c>
      <c r="E20" s="98" t="s">
        <v>1964</v>
      </c>
      <c r="F20" s="1193" t="s">
        <v>160</v>
      </c>
      <c r="G20" s="100" t="s">
        <v>1941</v>
      </c>
      <c r="H20" s="1112"/>
      <c r="I20" s="102"/>
      <c r="J20" s="1194">
        <f t="shared" si="0"/>
        <v>0</v>
      </c>
      <c r="K20" s="884"/>
    </row>
    <row r="21" spans="2:11" s="431" customFormat="1" ht="25.5" x14ac:dyDescent="0.25">
      <c r="B21" s="97"/>
      <c r="C21" s="98" t="s">
        <v>1935</v>
      </c>
      <c r="D21" s="100" t="s">
        <v>1965</v>
      </c>
      <c r="E21" s="98" t="s">
        <v>1966</v>
      </c>
      <c r="F21" s="1193" t="s">
        <v>160</v>
      </c>
      <c r="G21" s="100" t="s">
        <v>1941</v>
      </c>
      <c r="H21" s="1112"/>
      <c r="I21" s="102"/>
      <c r="J21" s="1194">
        <f t="shared" si="0"/>
        <v>0</v>
      </c>
      <c r="K21" s="884"/>
    </row>
    <row r="22" spans="2:11" s="431" customFormat="1" ht="25.5" x14ac:dyDescent="0.25">
      <c r="B22" s="97"/>
      <c r="C22" s="98" t="s">
        <v>1935</v>
      </c>
      <c r="D22" s="100" t="s">
        <v>1967</v>
      </c>
      <c r="E22" s="98" t="s">
        <v>1968</v>
      </c>
      <c r="F22" s="1193" t="s">
        <v>160</v>
      </c>
      <c r="G22" s="100" t="s">
        <v>1941</v>
      </c>
      <c r="H22" s="1112"/>
      <c r="I22" s="102"/>
      <c r="J22" s="1194">
        <f t="shared" si="0"/>
        <v>0</v>
      </c>
      <c r="K22" s="884"/>
    </row>
    <row r="23" spans="2:11" s="431" customFormat="1" ht="25.5" x14ac:dyDescent="0.25">
      <c r="B23" s="97"/>
      <c r="C23" s="98" t="s">
        <v>1935</v>
      </c>
      <c r="D23" s="100" t="s">
        <v>1969</v>
      </c>
      <c r="E23" s="98" t="s">
        <v>1970</v>
      </c>
      <c r="F23" s="1193" t="s">
        <v>160</v>
      </c>
      <c r="G23" s="100" t="s">
        <v>1941</v>
      </c>
      <c r="H23" s="1112"/>
      <c r="I23" s="102"/>
      <c r="J23" s="1194">
        <f t="shared" si="0"/>
        <v>0</v>
      </c>
      <c r="K23" s="884"/>
    </row>
    <row r="24" spans="2:11" s="431" customFormat="1" ht="25.5" x14ac:dyDescent="0.25">
      <c r="B24" s="97"/>
      <c r="C24" s="98" t="s">
        <v>1935</v>
      </c>
      <c r="D24" s="100" t="s">
        <v>1971</v>
      </c>
      <c r="E24" s="98" t="s">
        <v>1972</v>
      </c>
      <c r="F24" s="1193" t="s">
        <v>160</v>
      </c>
      <c r="G24" s="100" t="s">
        <v>1941</v>
      </c>
      <c r="H24" s="1112"/>
      <c r="I24" s="102"/>
      <c r="J24" s="1194">
        <f t="shared" si="0"/>
        <v>0</v>
      </c>
      <c r="K24" s="884"/>
    </row>
    <row r="25" spans="2:11" s="431" customFormat="1" ht="25.5" x14ac:dyDescent="0.25">
      <c r="B25" s="97"/>
      <c r="C25" s="98" t="s">
        <v>1935</v>
      </c>
      <c r="D25" s="100" t="s">
        <v>1973</v>
      </c>
      <c r="E25" s="98" t="s">
        <v>1974</v>
      </c>
      <c r="F25" s="1193" t="s">
        <v>160</v>
      </c>
      <c r="G25" s="100" t="s">
        <v>1941</v>
      </c>
      <c r="H25" s="1112"/>
      <c r="I25" s="102"/>
      <c r="J25" s="1194">
        <f t="shared" si="0"/>
        <v>0</v>
      </c>
      <c r="K25" s="884"/>
    </row>
    <row r="26" spans="2:11" s="431" customFormat="1" ht="25.5" x14ac:dyDescent="0.25">
      <c r="B26" s="97"/>
      <c r="C26" s="98" t="s">
        <v>1935</v>
      </c>
      <c r="D26" s="100" t="s">
        <v>1975</v>
      </c>
      <c r="E26" s="98" t="s">
        <v>1976</v>
      </c>
      <c r="F26" s="1193" t="s">
        <v>160</v>
      </c>
      <c r="G26" s="100" t="s">
        <v>1941</v>
      </c>
      <c r="H26" s="1112"/>
      <c r="I26" s="102"/>
      <c r="J26" s="1194">
        <f t="shared" si="0"/>
        <v>0</v>
      </c>
      <c r="K26" s="884"/>
    </row>
    <row r="27" spans="2:11" s="431" customFormat="1" ht="25.5" x14ac:dyDescent="0.25">
      <c r="B27" s="97"/>
      <c r="C27" s="98" t="s">
        <v>1935</v>
      </c>
      <c r="D27" s="100" t="s">
        <v>1977</v>
      </c>
      <c r="E27" s="98" t="s">
        <v>1978</v>
      </c>
      <c r="F27" s="1193" t="s">
        <v>160</v>
      </c>
      <c r="G27" s="100" t="s">
        <v>1941</v>
      </c>
      <c r="H27" s="1112"/>
      <c r="I27" s="102"/>
      <c r="J27" s="1194">
        <f t="shared" si="0"/>
        <v>0</v>
      </c>
      <c r="K27" s="884"/>
    </row>
    <row r="28" spans="2:11" s="431" customFormat="1" ht="25.5" x14ac:dyDescent="0.25">
      <c r="B28" s="97"/>
      <c r="C28" s="98" t="s">
        <v>1935</v>
      </c>
      <c r="D28" s="100" t="s">
        <v>1979</v>
      </c>
      <c r="E28" s="98" t="s">
        <v>1980</v>
      </c>
      <c r="F28" s="1193" t="s">
        <v>160</v>
      </c>
      <c r="G28" s="100" t="s">
        <v>1941</v>
      </c>
      <c r="H28" s="1112"/>
      <c r="I28" s="102"/>
      <c r="J28" s="1194">
        <f t="shared" si="0"/>
        <v>0</v>
      </c>
      <c r="K28" s="884"/>
    </row>
    <row r="29" spans="2:11" s="431" customFormat="1" ht="25.5" x14ac:dyDescent="0.25">
      <c r="B29" s="97"/>
      <c r="C29" s="98" t="s">
        <v>1935</v>
      </c>
      <c r="D29" s="100" t="s">
        <v>1981</v>
      </c>
      <c r="E29" s="98" t="s">
        <v>1982</v>
      </c>
      <c r="F29" s="1193" t="s">
        <v>160</v>
      </c>
      <c r="G29" s="100" t="s">
        <v>1941</v>
      </c>
      <c r="H29" s="1112"/>
      <c r="I29" s="102"/>
      <c r="J29" s="1194">
        <f t="shared" si="0"/>
        <v>0</v>
      </c>
      <c r="K29" s="884"/>
    </row>
    <row r="30" spans="2:11" s="431" customFormat="1" ht="25.5" x14ac:dyDescent="0.25">
      <c r="B30" s="97"/>
      <c r="C30" s="98" t="s">
        <v>1935</v>
      </c>
      <c r="D30" s="100" t="s">
        <v>1983</v>
      </c>
      <c r="E30" s="98" t="s">
        <v>1984</v>
      </c>
      <c r="F30" s="1193" t="s">
        <v>160</v>
      </c>
      <c r="G30" s="100" t="s">
        <v>1941</v>
      </c>
      <c r="H30" s="1112"/>
      <c r="I30" s="102"/>
      <c r="J30" s="1194">
        <f t="shared" si="0"/>
        <v>0</v>
      </c>
      <c r="K30" s="884"/>
    </row>
    <row r="31" spans="2:11" s="431" customFormat="1" ht="25.5" x14ac:dyDescent="0.25">
      <c r="B31" s="97"/>
      <c r="C31" s="98" t="s">
        <v>1935</v>
      </c>
      <c r="D31" s="100" t="s">
        <v>1985</v>
      </c>
      <c r="E31" s="98" t="s">
        <v>1986</v>
      </c>
      <c r="F31" s="1193" t="s">
        <v>160</v>
      </c>
      <c r="G31" s="100" t="s">
        <v>1941</v>
      </c>
      <c r="H31" s="1112"/>
      <c r="I31" s="102"/>
      <c r="J31" s="1194">
        <f t="shared" si="0"/>
        <v>0</v>
      </c>
      <c r="K31" s="884"/>
    </row>
    <row r="32" spans="2:11" s="431" customFormat="1" ht="25.5" x14ac:dyDescent="0.25">
      <c r="B32" s="97"/>
      <c r="C32" s="98" t="s">
        <v>1935</v>
      </c>
      <c r="D32" s="100" t="s">
        <v>1987</v>
      </c>
      <c r="E32" s="98" t="s">
        <v>1988</v>
      </c>
      <c r="F32" s="1193" t="s">
        <v>160</v>
      </c>
      <c r="G32" s="100" t="s">
        <v>1941</v>
      </c>
      <c r="H32" s="1112"/>
      <c r="I32" s="102"/>
      <c r="J32" s="1194">
        <f t="shared" si="0"/>
        <v>0</v>
      </c>
      <c r="K32" s="884"/>
    </row>
    <row r="33" spans="2:11" s="431" customFormat="1" ht="19.899999999999999" customHeight="1" x14ac:dyDescent="0.25">
      <c r="B33" s="1092"/>
      <c r="C33" s="1092" t="s">
        <v>1989</v>
      </c>
      <c r="D33" s="1176" t="s">
        <v>1990</v>
      </c>
      <c r="E33" s="1208" t="s">
        <v>1991</v>
      </c>
      <c r="F33" s="1703"/>
      <c r="G33" s="1703"/>
      <c r="H33" s="1703"/>
      <c r="I33" s="1703"/>
      <c r="J33" s="1703"/>
      <c r="K33" s="1704"/>
    </row>
    <row r="34" spans="2:11" s="431" customFormat="1" ht="12.75" x14ac:dyDescent="0.25">
      <c r="B34" s="1092"/>
      <c r="C34" s="1092" t="s">
        <v>1989</v>
      </c>
      <c r="D34" s="1176" t="s">
        <v>1992</v>
      </c>
      <c r="E34" s="1208" t="s">
        <v>1993</v>
      </c>
      <c r="F34" s="1703"/>
      <c r="G34" s="1703"/>
      <c r="H34" s="1703"/>
      <c r="I34" s="1703"/>
      <c r="J34" s="1703"/>
      <c r="K34" s="1704"/>
    </row>
    <row r="35" spans="2:11" s="431" customFormat="1" ht="19.149999999999999" customHeight="1" x14ac:dyDescent="0.25">
      <c r="B35" s="97"/>
      <c r="C35" s="98" t="s">
        <v>1989</v>
      </c>
      <c r="D35" s="100" t="s">
        <v>1994</v>
      </c>
      <c r="E35" s="98" t="s">
        <v>1995</v>
      </c>
      <c r="F35" s="1193" t="s">
        <v>160</v>
      </c>
      <c r="G35" s="100" t="s">
        <v>345</v>
      </c>
      <c r="H35" s="1112"/>
      <c r="I35" s="102"/>
      <c r="J35" s="1194">
        <f t="shared" si="0"/>
        <v>0</v>
      </c>
      <c r="K35" s="884"/>
    </row>
    <row r="36" spans="2:11" s="431" customFormat="1" ht="19.149999999999999" customHeight="1" x14ac:dyDescent="0.25">
      <c r="B36" s="97"/>
      <c r="C36" s="98" t="s">
        <v>1989</v>
      </c>
      <c r="D36" s="100" t="s">
        <v>1996</v>
      </c>
      <c r="E36" s="98" t="s">
        <v>1997</v>
      </c>
      <c r="F36" s="1193" t="s">
        <v>160</v>
      </c>
      <c r="G36" s="100" t="s">
        <v>345</v>
      </c>
      <c r="H36" s="1112"/>
      <c r="I36" s="102"/>
      <c r="J36" s="1194">
        <f t="shared" si="0"/>
        <v>0</v>
      </c>
      <c r="K36" s="884"/>
    </row>
    <row r="37" spans="2:11" s="431" customFormat="1" ht="19.149999999999999" customHeight="1" x14ac:dyDescent="0.25">
      <c r="B37" s="97"/>
      <c r="C37" s="98" t="s">
        <v>1989</v>
      </c>
      <c r="D37" s="100" t="s">
        <v>1998</v>
      </c>
      <c r="E37" s="98" t="s">
        <v>1999</v>
      </c>
      <c r="F37" s="1193" t="s">
        <v>160</v>
      </c>
      <c r="G37" s="100" t="s">
        <v>345</v>
      </c>
      <c r="H37" s="1112"/>
      <c r="I37" s="102"/>
      <c r="J37" s="1194">
        <f t="shared" si="0"/>
        <v>0</v>
      </c>
      <c r="K37" s="884"/>
    </row>
    <row r="38" spans="2:11" s="431" customFormat="1" ht="19.149999999999999" customHeight="1" x14ac:dyDescent="0.25">
      <c r="B38" s="97"/>
      <c r="C38" s="98" t="s">
        <v>1989</v>
      </c>
      <c r="D38" s="100" t="s">
        <v>2000</v>
      </c>
      <c r="E38" s="98" t="s">
        <v>2001</v>
      </c>
      <c r="F38" s="1193" t="s">
        <v>160</v>
      </c>
      <c r="G38" s="100" t="s">
        <v>345</v>
      </c>
      <c r="H38" s="1112"/>
      <c r="I38" s="102"/>
      <c r="J38" s="1194">
        <f t="shared" si="0"/>
        <v>0</v>
      </c>
      <c r="K38" s="884"/>
    </row>
    <row r="39" spans="2:11" s="431" customFormat="1" ht="12.75" x14ac:dyDescent="0.25">
      <c r="B39" s="1092"/>
      <c r="C39" s="1092" t="s">
        <v>1989</v>
      </c>
      <c r="D39" s="1176" t="s">
        <v>2002</v>
      </c>
      <c r="E39" s="1208" t="s">
        <v>2003</v>
      </c>
      <c r="F39" s="1703"/>
      <c r="G39" s="1703"/>
      <c r="H39" s="1703"/>
      <c r="I39" s="1703"/>
      <c r="J39" s="1703"/>
      <c r="K39" s="1704"/>
    </row>
    <row r="40" spans="2:11" s="431" customFormat="1" ht="19.149999999999999" customHeight="1" x14ac:dyDescent="0.25">
      <c r="B40" s="97"/>
      <c r="C40" s="98" t="s">
        <v>1989</v>
      </c>
      <c r="D40" s="100" t="s">
        <v>2004</v>
      </c>
      <c r="E40" s="98" t="s">
        <v>2005</v>
      </c>
      <c r="F40" s="1193" t="s">
        <v>160</v>
      </c>
      <c r="G40" s="100" t="s">
        <v>1504</v>
      </c>
      <c r="H40" s="1112"/>
      <c r="I40" s="102"/>
      <c r="J40" s="1194">
        <f t="shared" si="0"/>
        <v>0</v>
      </c>
      <c r="K40" s="884"/>
    </row>
    <row r="41" spans="2:11" s="431" customFormat="1" ht="19.149999999999999" customHeight="1" x14ac:dyDescent="0.25">
      <c r="B41" s="97"/>
      <c r="C41" s="98" t="s">
        <v>1989</v>
      </c>
      <c r="D41" s="100" t="s">
        <v>2006</v>
      </c>
      <c r="E41" s="98" t="s">
        <v>2007</v>
      </c>
      <c r="F41" s="1193" t="s">
        <v>160</v>
      </c>
      <c r="G41" s="100" t="s">
        <v>1504</v>
      </c>
      <c r="H41" s="1112"/>
      <c r="I41" s="102"/>
      <c r="J41" s="1194">
        <f t="shared" si="0"/>
        <v>0</v>
      </c>
      <c r="K41" s="884"/>
    </row>
    <row r="42" spans="2:11" s="431" customFormat="1" ht="19.149999999999999" customHeight="1" x14ac:dyDescent="0.25">
      <c r="B42" s="97"/>
      <c r="C42" s="98" t="s">
        <v>1989</v>
      </c>
      <c r="D42" s="100" t="s">
        <v>2008</v>
      </c>
      <c r="E42" s="98" t="s">
        <v>2009</v>
      </c>
      <c r="F42" s="1193" t="s">
        <v>160</v>
      </c>
      <c r="G42" s="100" t="s">
        <v>1504</v>
      </c>
      <c r="H42" s="1112"/>
      <c r="I42" s="102"/>
      <c r="J42" s="1194">
        <f t="shared" si="0"/>
        <v>0</v>
      </c>
      <c r="K42" s="884"/>
    </row>
    <row r="43" spans="2:11" s="431" customFormat="1" ht="19.149999999999999" customHeight="1" x14ac:dyDescent="0.25">
      <c r="B43" s="97"/>
      <c r="C43" s="98" t="s">
        <v>1989</v>
      </c>
      <c r="D43" s="100" t="s">
        <v>2010</v>
      </c>
      <c r="E43" s="98" t="s">
        <v>2011</v>
      </c>
      <c r="F43" s="1193" t="s">
        <v>160</v>
      </c>
      <c r="G43" s="100" t="s">
        <v>1504</v>
      </c>
      <c r="H43" s="1112"/>
      <c r="I43" s="102"/>
      <c r="J43" s="1194">
        <f t="shared" si="0"/>
        <v>0</v>
      </c>
      <c r="K43" s="884"/>
    </row>
    <row r="44" spans="2:11" s="431" customFormat="1" ht="19.149999999999999" customHeight="1" x14ac:dyDescent="0.25">
      <c r="B44" s="97"/>
      <c r="C44" s="98" t="s">
        <v>1989</v>
      </c>
      <c r="D44" s="100" t="s">
        <v>2012</v>
      </c>
      <c r="E44" s="98" t="s">
        <v>2013</v>
      </c>
      <c r="F44" s="1193" t="s">
        <v>160</v>
      </c>
      <c r="G44" s="100" t="s">
        <v>1504</v>
      </c>
      <c r="H44" s="1112"/>
      <c r="I44" s="102"/>
      <c r="J44" s="1194">
        <f t="shared" si="0"/>
        <v>0</v>
      </c>
      <c r="K44" s="884"/>
    </row>
    <row r="45" spans="2:11" s="431" customFormat="1" ht="12.75" x14ac:dyDescent="0.25">
      <c r="B45" s="1092"/>
      <c r="C45" s="1092" t="s">
        <v>1989</v>
      </c>
      <c r="D45" s="1176" t="s">
        <v>2014</v>
      </c>
      <c r="E45" s="1208" t="s">
        <v>2015</v>
      </c>
      <c r="F45" s="1703"/>
      <c r="G45" s="1703"/>
      <c r="H45" s="1703"/>
      <c r="I45" s="1703"/>
      <c r="J45" s="1703"/>
      <c r="K45" s="1704"/>
    </row>
    <row r="46" spans="2:11" s="431" customFormat="1" ht="19.149999999999999" customHeight="1" x14ac:dyDescent="0.25">
      <c r="B46" s="97"/>
      <c r="C46" s="98" t="s">
        <v>1989</v>
      </c>
      <c r="D46" s="100" t="s">
        <v>2016</v>
      </c>
      <c r="E46" s="98" t="s">
        <v>2017</v>
      </c>
      <c r="F46" s="1193" t="s">
        <v>160</v>
      </c>
      <c r="G46" s="100" t="s">
        <v>1504</v>
      </c>
      <c r="H46" s="1112"/>
      <c r="I46" s="102"/>
      <c r="J46" s="1194">
        <f t="shared" si="0"/>
        <v>0</v>
      </c>
      <c r="K46" s="884"/>
    </row>
    <row r="47" spans="2:11" s="431" customFormat="1" ht="19.149999999999999" customHeight="1" x14ac:dyDescent="0.25">
      <c r="B47" s="97"/>
      <c r="C47" s="98" t="s">
        <v>1989</v>
      </c>
      <c r="D47" s="100" t="s">
        <v>2018</v>
      </c>
      <c r="E47" s="98" t="s">
        <v>2019</v>
      </c>
      <c r="F47" s="1193" t="s">
        <v>160</v>
      </c>
      <c r="G47" s="100" t="s">
        <v>1504</v>
      </c>
      <c r="H47" s="1112"/>
      <c r="I47" s="102"/>
      <c r="J47" s="1194">
        <f t="shared" si="0"/>
        <v>0</v>
      </c>
      <c r="K47" s="884"/>
    </row>
    <row r="48" spans="2:11" s="431" customFormat="1" ht="19.149999999999999" customHeight="1" x14ac:dyDescent="0.25">
      <c r="B48" s="97"/>
      <c r="C48" s="98" t="s">
        <v>1989</v>
      </c>
      <c r="D48" s="100" t="s">
        <v>2020</v>
      </c>
      <c r="E48" s="98" t="s">
        <v>2021</v>
      </c>
      <c r="F48" s="1193" t="s">
        <v>160</v>
      </c>
      <c r="G48" s="100" t="s">
        <v>1504</v>
      </c>
      <c r="H48" s="1112"/>
      <c r="I48" s="102"/>
      <c r="J48" s="1194">
        <f t="shared" si="0"/>
        <v>0</v>
      </c>
      <c r="K48" s="884"/>
    </row>
    <row r="49" spans="2:11" s="431" customFormat="1" ht="19.149999999999999" customHeight="1" x14ac:dyDescent="0.25">
      <c r="B49" s="97"/>
      <c r="C49" s="98" t="s">
        <v>1989</v>
      </c>
      <c r="D49" s="100" t="s">
        <v>2022</v>
      </c>
      <c r="E49" s="98" t="s">
        <v>2023</v>
      </c>
      <c r="F49" s="1193" t="s">
        <v>160</v>
      </c>
      <c r="G49" s="100" t="s">
        <v>1504</v>
      </c>
      <c r="H49" s="1112"/>
      <c r="I49" s="102"/>
      <c r="J49" s="1194">
        <f t="shared" si="0"/>
        <v>0</v>
      </c>
      <c r="K49" s="884"/>
    </row>
    <row r="50" spans="2:11" s="431" customFormat="1" ht="19.149999999999999" customHeight="1" x14ac:dyDescent="0.25">
      <c r="B50" s="97"/>
      <c r="C50" s="98" t="s">
        <v>1989</v>
      </c>
      <c r="D50" s="100" t="s">
        <v>2024</v>
      </c>
      <c r="E50" s="98" t="s">
        <v>2025</v>
      </c>
      <c r="F50" s="1193" t="s">
        <v>160</v>
      </c>
      <c r="G50" s="100" t="s">
        <v>1504</v>
      </c>
      <c r="H50" s="1112"/>
      <c r="I50" s="102"/>
      <c r="J50" s="1194">
        <f t="shared" si="0"/>
        <v>0</v>
      </c>
      <c r="K50" s="884"/>
    </row>
    <row r="51" spans="2:11" s="431" customFormat="1" ht="12.75" x14ac:dyDescent="0.25">
      <c r="B51" s="1092"/>
      <c r="C51" s="1092" t="s">
        <v>1989</v>
      </c>
      <c r="D51" s="1176" t="s">
        <v>2026</v>
      </c>
      <c r="E51" s="1208" t="s">
        <v>2027</v>
      </c>
      <c r="F51" s="1703"/>
      <c r="G51" s="1703"/>
      <c r="H51" s="1703"/>
      <c r="I51" s="1703"/>
      <c r="J51" s="1703"/>
      <c r="K51" s="1704"/>
    </row>
    <row r="52" spans="2:11" s="431" customFormat="1" ht="19.149999999999999" customHeight="1" x14ac:dyDescent="0.25">
      <c r="B52" s="97"/>
      <c r="C52" s="98" t="s">
        <v>1989</v>
      </c>
      <c r="D52" s="100" t="s">
        <v>2028</v>
      </c>
      <c r="E52" s="98" t="s">
        <v>2029</v>
      </c>
      <c r="F52" s="1193" t="s">
        <v>160</v>
      </c>
      <c r="G52" s="100" t="s">
        <v>1504</v>
      </c>
      <c r="H52" s="1112"/>
      <c r="I52" s="102"/>
      <c r="J52" s="1194">
        <f t="shared" si="0"/>
        <v>0</v>
      </c>
      <c r="K52" s="884"/>
    </row>
    <row r="53" spans="2:11" s="431" customFormat="1" ht="12.75" x14ac:dyDescent="0.25">
      <c r="B53" s="1092"/>
      <c r="C53" s="1092" t="s">
        <v>1989</v>
      </c>
      <c r="D53" s="1176" t="s">
        <v>2030</v>
      </c>
      <c r="E53" s="1208" t="s">
        <v>2031</v>
      </c>
      <c r="F53" s="1703"/>
      <c r="G53" s="1703"/>
      <c r="H53" s="1703"/>
      <c r="I53" s="1703"/>
      <c r="J53" s="1703"/>
      <c r="K53" s="1704"/>
    </row>
    <row r="54" spans="2:11" s="431" customFormat="1" ht="19.149999999999999" customHeight="1" x14ac:dyDescent="0.25">
      <c r="B54" s="97"/>
      <c r="C54" s="98" t="s">
        <v>1989</v>
      </c>
      <c r="D54" s="100" t="s">
        <v>2032</v>
      </c>
      <c r="E54" s="98" t="s">
        <v>2033</v>
      </c>
      <c r="F54" s="1193" t="s">
        <v>160</v>
      </c>
      <c r="G54" s="100" t="s">
        <v>553</v>
      </c>
      <c r="H54" s="1112"/>
      <c r="I54" s="102"/>
      <c r="J54" s="1194">
        <f t="shared" si="0"/>
        <v>0</v>
      </c>
      <c r="K54" s="884"/>
    </row>
    <row r="55" spans="2:11" s="431" customFormat="1" ht="19.149999999999999" customHeight="1" x14ac:dyDescent="0.25">
      <c r="B55" s="97"/>
      <c r="C55" s="98" t="s">
        <v>1989</v>
      </c>
      <c r="D55" s="100" t="s">
        <v>2034</v>
      </c>
      <c r="E55" s="98" t="s">
        <v>2035</v>
      </c>
      <c r="F55" s="1193" t="s">
        <v>160</v>
      </c>
      <c r="G55" s="100" t="s">
        <v>553</v>
      </c>
      <c r="H55" s="1112"/>
      <c r="I55" s="102"/>
      <c r="J55" s="1194">
        <f t="shared" si="0"/>
        <v>0</v>
      </c>
      <c r="K55" s="884"/>
    </row>
    <row r="56" spans="2:11" s="431" customFormat="1" ht="12.75" x14ac:dyDescent="0.25">
      <c r="B56" s="1092"/>
      <c r="C56" s="1092" t="s">
        <v>1989</v>
      </c>
      <c r="D56" s="1176" t="s">
        <v>2036</v>
      </c>
      <c r="E56" s="1208" t="s">
        <v>2037</v>
      </c>
      <c r="F56" s="1703"/>
      <c r="G56" s="1703"/>
      <c r="H56" s="1703"/>
      <c r="I56" s="1703"/>
      <c r="J56" s="1703"/>
      <c r="K56" s="1704"/>
    </row>
    <row r="57" spans="2:11" s="431" customFormat="1" ht="19.149999999999999" customHeight="1" x14ac:dyDescent="0.25">
      <c r="B57" s="97"/>
      <c r="C57" s="98" t="s">
        <v>1989</v>
      </c>
      <c r="D57" s="100" t="s">
        <v>2038</v>
      </c>
      <c r="E57" s="98" t="s">
        <v>2039</v>
      </c>
      <c r="F57" s="1193" t="s">
        <v>160</v>
      </c>
      <c r="G57" s="100" t="s">
        <v>553</v>
      </c>
      <c r="H57" s="1112"/>
      <c r="I57" s="102"/>
      <c r="J57" s="1194">
        <f t="shared" si="0"/>
        <v>0</v>
      </c>
      <c r="K57" s="884"/>
    </row>
    <row r="58" spans="2:11" s="431" customFormat="1" ht="19.149999999999999" customHeight="1" x14ac:dyDescent="0.25">
      <c r="B58" s="97"/>
      <c r="C58" s="98" t="s">
        <v>1989</v>
      </c>
      <c r="D58" s="100" t="s">
        <v>2040</v>
      </c>
      <c r="E58" s="98" t="s">
        <v>2041</v>
      </c>
      <c r="F58" s="1193" t="s">
        <v>160</v>
      </c>
      <c r="G58" s="100" t="s">
        <v>553</v>
      </c>
      <c r="H58" s="1112"/>
      <c r="I58" s="102"/>
      <c r="J58" s="1194">
        <f t="shared" si="0"/>
        <v>0</v>
      </c>
      <c r="K58" s="884"/>
    </row>
    <row r="59" spans="2:11" s="431" customFormat="1" ht="19.149999999999999" customHeight="1" x14ac:dyDescent="0.25">
      <c r="B59" s="97"/>
      <c r="C59" s="98" t="s">
        <v>1989</v>
      </c>
      <c r="D59" s="100" t="s">
        <v>2042</v>
      </c>
      <c r="E59" s="98" t="s">
        <v>2043</v>
      </c>
      <c r="F59" s="1193" t="s">
        <v>160</v>
      </c>
      <c r="G59" s="100" t="s">
        <v>553</v>
      </c>
      <c r="H59" s="1112"/>
      <c r="I59" s="102"/>
      <c r="J59" s="1194">
        <f t="shared" si="0"/>
        <v>0</v>
      </c>
      <c r="K59" s="884"/>
    </row>
    <row r="60" spans="2:11" s="431" customFormat="1" ht="12.75" x14ac:dyDescent="0.25">
      <c r="B60" s="1092"/>
      <c r="C60" s="1092" t="s">
        <v>1989</v>
      </c>
      <c r="D60" s="1176" t="s">
        <v>2044</v>
      </c>
      <c r="E60" s="1208" t="s">
        <v>2045</v>
      </c>
      <c r="F60" s="1703"/>
      <c r="G60" s="1703"/>
      <c r="H60" s="1703"/>
      <c r="I60" s="1703"/>
      <c r="J60" s="1703"/>
      <c r="K60" s="1704"/>
    </row>
    <row r="61" spans="2:11" s="431" customFormat="1" ht="19.149999999999999" customHeight="1" x14ac:dyDescent="0.25">
      <c r="B61" s="97"/>
      <c r="C61" s="98" t="s">
        <v>1989</v>
      </c>
      <c r="D61" s="100" t="s">
        <v>2046</v>
      </c>
      <c r="E61" s="98" t="s">
        <v>2047</v>
      </c>
      <c r="F61" s="1193" t="s">
        <v>160</v>
      </c>
      <c r="G61" s="100" t="s">
        <v>345</v>
      </c>
      <c r="H61" s="1112"/>
      <c r="I61" s="102"/>
      <c r="J61" s="1194">
        <f t="shared" si="0"/>
        <v>0</v>
      </c>
      <c r="K61" s="884"/>
    </row>
    <row r="62" spans="2:11" s="431" customFormat="1" ht="19.149999999999999" customHeight="1" x14ac:dyDescent="0.25">
      <c r="B62" s="97"/>
      <c r="C62" s="98" t="s">
        <v>1989</v>
      </c>
      <c r="D62" s="100" t="s">
        <v>2048</v>
      </c>
      <c r="E62" s="98" t="s">
        <v>2049</v>
      </c>
      <c r="F62" s="1193" t="s">
        <v>160</v>
      </c>
      <c r="G62" s="100" t="s">
        <v>345</v>
      </c>
      <c r="H62" s="1112"/>
      <c r="I62" s="102"/>
      <c r="J62" s="1194">
        <f t="shared" si="0"/>
        <v>0</v>
      </c>
      <c r="K62" s="884"/>
    </row>
    <row r="63" spans="2:11" s="431" customFormat="1" ht="19.149999999999999" customHeight="1" x14ac:dyDescent="0.25">
      <c r="B63" s="97"/>
      <c r="C63" s="98" t="s">
        <v>1989</v>
      </c>
      <c r="D63" s="100" t="s">
        <v>2050</v>
      </c>
      <c r="E63" s="98" t="s">
        <v>2051</v>
      </c>
      <c r="F63" s="1193" t="s">
        <v>160</v>
      </c>
      <c r="G63" s="100" t="s">
        <v>345</v>
      </c>
      <c r="H63" s="1112"/>
      <c r="I63" s="102"/>
      <c r="J63" s="1194">
        <f t="shared" si="0"/>
        <v>0</v>
      </c>
      <c r="K63" s="884"/>
    </row>
    <row r="64" spans="2:11" s="431" customFormat="1" ht="19.149999999999999" customHeight="1" x14ac:dyDescent="0.25">
      <c r="B64" s="97"/>
      <c r="C64" s="98" t="s">
        <v>1989</v>
      </c>
      <c r="D64" s="100" t="s">
        <v>2052</v>
      </c>
      <c r="E64" s="98" t="s">
        <v>2053</v>
      </c>
      <c r="F64" s="1193" t="s">
        <v>160</v>
      </c>
      <c r="G64" s="100" t="s">
        <v>345</v>
      </c>
      <c r="H64" s="1112"/>
      <c r="I64" s="102"/>
      <c r="J64" s="1194">
        <f t="shared" si="0"/>
        <v>0</v>
      </c>
      <c r="K64" s="884"/>
    </row>
    <row r="65" spans="2:11" s="431" customFormat="1" ht="12.75" x14ac:dyDescent="0.25">
      <c r="B65" s="1092"/>
      <c r="C65" s="1092" t="s">
        <v>1989</v>
      </c>
      <c r="D65" s="1176" t="s">
        <v>2054</v>
      </c>
      <c r="E65" s="1208" t="s">
        <v>2055</v>
      </c>
      <c r="F65" s="1703"/>
      <c r="G65" s="1703"/>
      <c r="H65" s="1703"/>
      <c r="I65" s="1703"/>
      <c r="J65" s="1703"/>
      <c r="K65" s="1704"/>
    </row>
    <row r="66" spans="2:11" s="431" customFormat="1" ht="19.149999999999999" customHeight="1" x14ac:dyDescent="0.25">
      <c r="B66" s="97"/>
      <c r="C66" s="98" t="s">
        <v>1989</v>
      </c>
      <c r="D66" s="100" t="s">
        <v>2056</v>
      </c>
      <c r="E66" s="98" t="s">
        <v>2057</v>
      </c>
      <c r="F66" s="1193" t="s">
        <v>160</v>
      </c>
      <c r="G66" s="100" t="s">
        <v>1941</v>
      </c>
      <c r="H66" s="1112"/>
      <c r="I66" s="102"/>
      <c r="J66" s="1194">
        <f t="shared" si="0"/>
        <v>0</v>
      </c>
      <c r="K66" s="884"/>
    </row>
    <row r="67" spans="2:11" s="431" customFormat="1" ht="19.149999999999999" customHeight="1" x14ac:dyDescent="0.25">
      <c r="B67" s="97"/>
      <c r="C67" s="98" t="s">
        <v>1989</v>
      </c>
      <c r="D67" s="100" t="s">
        <v>2058</v>
      </c>
      <c r="E67" s="98" t="s">
        <v>2059</v>
      </c>
      <c r="F67" s="1193" t="s">
        <v>160</v>
      </c>
      <c r="G67" s="100" t="s">
        <v>1941</v>
      </c>
      <c r="H67" s="1112"/>
      <c r="I67" s="102"/>
      <c r="J67" s="1194">
        <f t="shared" si="0"/>
        <v>0</v>
      </c>
      <c r="K67" s="884"/>
    </row>
    <row r="68" spans="2:11" s="431" customFormat="1" ht="19.149999999999999" customHeight="1" x14ac:dyDescent="0.25">
      <c r="B68" s="97"/>
      <c r="C68" s="98" t="s">
        <v>1989</v>
      </c>
      <c r="D68" s="100" t="s">
        <v>2060</v>
      </c>
      <c r="E68" s="98" t="s">
        <v>2061</v>
      </c>
      <c r="F68" s="1193" t="s">
        <v>160</v>
      </c>
      <c r="G68" s="100" t="s">
        <v>1941</v>
      </c>
      <c r="H68" s="1112"/>
      <c r="I68" s="102"/>
      <c r="J68" s="1194">
        <f t="shared" si="0"/>
        <v>0</v>
      </c>
      <c r="K68" s="884"/>
    </row>
    <row r="69" spans="2:11" s="431" customFormat="1" ht="19.149999999999999" customHeight="1" x14ac:dyDescent="0.25">
      <c r="B69" s="97"/>
      <c r="C69" s="98" t="s">
        <v>1989</v>
      </c>
      <c r="D69" s="100" t="s">
        <v>2062</v>
      </c>
      <c r="E69" s="98" t="s">
        <v>2063</v>
      </c>
      <c r="F69" s="1193" t="s">
        <v>160</v>
      </c>
      <c r="G69" s="100" t="s">
        <v>1941</v>
      </c>
      <c r="H69" s="1112"/>
      <c r="I69" s="102"/>
      <c r="J69" s="1194">
        <f t="shared" si="0"/>
        <v>0</v>
      </c>
      <c r="K69" s="884"/>
    </row>
    <row r="70" spans="2:11" s="431" customFormat="1" ht="19.149999999999999" customHeight="1" x14ac:dyDescent="0.25">
      <c r="B70" s="97"/>
      <c r="C70" s="98" t="s">
        <v>1989</v>
      </c>
      <c r="D70" s="100" t="s">
        <v>2064</v>
      </c>
      <c r="E70" s="98" t="s">
        <v>2065</v>
      </c>
      <c r="F70" s="1193" t="s">
        <v>160</v>
      </c>
      <c r="G70" s="100" t="s">
        <v>1941</v>
      </c>
      <c r="H70" s="1112"/>
      <c r="I70" s="102"/>
      <c r="J70" s="1194">
        <f t="shared" si="0"/>
        <v>0</v>
      </c>
      <c r="K70" s="884"/>
    </row>
    <row r="71" spans="2:11" s="431" customFormat="1" ht="12.75" x14ac:dyDescent="0.25">
      <c r="B71" s="1092"/>
      <c r="C71" s="1092" t="s">
        <v>1989</v>
      </c>
      <c r="D71" s="1176" t="s">
        <v>2066</v>
      </c>
      <c r="E71" s="1208" t="s">
        <v>2067</v>
      </c>
      <c r="F71" s="1703"/>
      <c r="G71" s="1703"/>
      <c r="H71" s="1703"/>
      <c r="I71" s="1703"/>
      <c r="J71" s="1703"/>
      <c r="K71" s="1704"/>
    </row>
    <row r="72" spans="2:11" s="431" customFormat="1" ht="19.149999999999999" customHeight="1" x14ac:dyDescent="0.25">
      <c r="B72" s="97"/>
      <c r="C72" s="98" t="s">
        <v>1989</v>
      </c>
      <c r="D72" s="100" t="s">
        <v>2068</v>
      </c>
      <c r="E72" s="98" t="s">
        <v>2069</v>
      </c>
      <c r="F72" s="1193" t="s">
        <v>160</v>
      </c>
      <c r="G72" s="100" t="s">
        <v>1941</v>
      </c>
      <c r="H72" s="1112"/>
      <c r="I72" s="102"/>
      <c r="J72" s="1194">
        <f t="shared" si="0"/>
        <v>0</v>
      </c>
      <c r="K72" s="884"/>
    </row>
    <row r="73" spans="2:11" s="431" customFormat="1" ht="19.149999999999999" customHeight="1" x14ac:dyDescent="0.25">
      <c r="B73" s="97"/>
      <c r="C73" s="98" t="s">
        <v>1989</v>
      </c>
      <c r="D73" s="100" t="s">
        <v>2070</v>
      </c>
      <c r="E73" s="98" t="s">
        <v>2071</v>
      </c>
      <c r="F73" s="1193" t="s">
        <v>160</v>
      </c>
      <c r="G73" s="100" t="s">
        <v>1941</v>
      </c>
      <c r="H73" s="1112"/>
      <c r="I73" s="102"/>
      <c r="J73" s="1194">
        <f t="shared" si="0"/>
        <v>0</v>
      </c>
      <c r="K73" s="884"/>
    </row>
    <row r="74" spans="2:11" s="431" customFormat="1" ht="19.149999999999999" customHeight="1" x14ac:dyDescent="0.25">
      <c r="B74" s="97"/>
      <c r="C74" s="98" t="s">
        <v>1989</v>
      </c>
      <c r="D74" s="100" t="s">
        <v>2072</v>
      </c>
      <c r="E74" s="98" t="s">
        <v>2073</v>
      </c>
      <c r="F74" s="1193" t="s">
        <v>160</v>
      </c>
      <c r="G74" s="100" t="s">
        <v>1941</v>
      </c>
      <c r="H74" s="1112"/>
      <c r="I74" s="102"/>
      <c r="J74" s="1194">
        <f t="shared" ref="J74:J137" si="1">IF(F74="NA","",H74*I74)</f>
        <v>0</v>
      </c>
      <c r="K74" s="884"/>
    </row>
    <row r="75" spans="2:11" s="431" customFormat="1" ht="19.149999999999999" customHeight="1" x14ac:dyDescent="0.25">
      <c r="B75" s="97"/>
      <c r="C75" s="98" t="s">
        <v>1989</v>
      </c>
      <c r="D75" s="100" t="s">
        <v>2074</v>
      </c>
      <c r="E75" s="98" t="s">
        <v>2075</v>
      </c>
      <c r="F75" s="1193" t="s">
        <v>160</v>
      </c>
      <c r="G75" s="100" t="s">
        <v>1941</v>
      </c>
      <c r="H75" s="1112"/>
      <c r="I75" s="102"/>
      <c r="J75" s="1194">
        <f t="shared" si="1"/>
        <v>0</v>
      </c>
      <c r="K75" s="884"/>
    </row>
    <row r="76" spans="2:11" s="431" customFormat="1" ht="12.75" x14ac:dyDescent="0.25">
      <c r="B76" s="1092"/>
      <c r="C76" s="1092" t="s">
        <v>1989</v>
      </c>
      <c r="D76" s="1176" t="s">
        <v>2076</v>
      </c>
      <c r="E76" s="1208" t="s">
        <v>2077</v>
      </c>
      <c r="F76" s="1703"/>
      <c r="G76" s="1703"/>
      <c r="H76" s="1703"/>
      <c r="I76" s="1703"/>
      <c r="J76" s="1703"/>
      <c r="K76" s="1704"/>
    </row>
    <row r="77" spans="2:11" s="431" customFormat="1" ht="19.149999999999999" customHeight="1" x14ac:dyDescent="0.25">
      <c r="B77" s="97"/>
      <c r="C77" s="98" t="s">
        <v>1989</v>
      </c>
      <c r="D77" s="100" t="s">
        <v>2078</v>
      </c>
      <c r="E77" s="98" t="s">
        <v>2079</v>
      </c>
      <c r="F77" s="1193" t="s">
        <v>160</v>
      </c>
      <c r="G77" s="100" t="s">
        <v>1941</v>
      </c>
      <c r="H77" s="1112"/>
      <c r="I77" s="102"/>
      <c r="J77" s="1194">
        <f t="shared" si="1"/>
        <v>0</v>
      </c>
      <c r="K77" s="884"/>
    </row>
    <row r="78" spans="2:11" s="431" customFormat="1" ht="19.149999999999999" customHeight="1" x14ac:dyDescent="0.25">
      <c r="B78" s="97"/>
      <c r="C78" s="98" t="s">
        <v>1989</v>
      </c>
      <c r="D78" s="100" t="s">
        <v>2080</v>
      </c>
      <c r="E78" s="98" t="s">
        <v>2081</v>
      </c>
      <c r="F78" s="1193" t="s">
        <v>160</v>
      </c>
      <c r="G78" s="100" t="s">
        <v>1941</v>
      </c>
      <c r="H78" s="1112"/>
      <c r="I78" s="102"/>
      <c r="J78" s="1194">
        <f t="shared" si="1"/>
        <v>0</v>
      </c>
      <c r="K78" s="884"/>
    </row>
    <row r="79" spans="2:11" s="431" customFormat="1" ht="19.149999999999999" customHeight="1" x14ac:dyDescent="0.25">
      <c r="B79" s="97"/>
      <c r="C79" s="98" t="s">
        <v>1989</v>
      </c>
      <c r="D79" s="100" t="s">
        <v>2082</v>
      </c>
      <c r="E79" s="98" t="s">
        <v>2083</v>
      </c>
      <c r="F79" s="1193" t="s">
        <v>160</v>
      </c>
      <c r="G79" s="100" t="s">
        <v>1941</v>
      </c>
      <c r="H79" s="1112"/>
      <c r="I79" s="102"/>
      <c r="J79" s="1194">
        <f t="shared" si="1"/>
        <v>0</v>
      </c>
      <c r="K79" s="884"/>
    </row>
    <row r="80" spans="2:11" s="431" customFormat="1" ht="19.899999999999999" customHeight="1" x14ac:dyDescent="0.25">
      <c r="B80" s="1092"/>
      <c r="C80" s="1092" t="s">
        <v>1989</v>
      </c>
      <c r="D80" s="1176" t="s">
        <v>2084</v>
      </c>
      <c r="E80" s="1208" t="s">
        <v>125</v>
      </c>
      <c r="F80" s="1703"/>
      <c r="G80" s="1703"/>
      <c r="H80" s="1703"/>
      <c r="I80" s="1703"/>
      <c r="J80" s="1703"/>
      <c r="K80" s="1704"/>
    </row>
    <row r="81" spans="2:11" s="431" customFormat="1" ht="19.899999999999999" customHeight="1" x14ac:dyDescent="0.25">
      <c r="B81" s="1210"/>
      <c r="C81" s="1210" t="s">
        <v>1989</v>
      </c>
      <c r="D81" s="1211" t="s">
        <v>2085</v>
      </c>
      <c r="E81" s="1212" t="s">
        <v>2086</v>
      </c>
      <c r="F81" s="1213"/>
      <c r="G81" s="1213"/>
      <c r="H81" s="1213"/>
      <c r="I81" s="1213"/>
      <c r="J81" s="1213"/>
      <c r="K81" s="1214"/>
    </row>
    <row r="82" spans="2:11" s="431" customFormat="1" ht="19.149999999999999" customHeight="1" x14ac:dyDescent="0.25">
      <c r="B82" s="97"/>
      <c r="C82" s="98" t="s">
        <v>1989</v>
      </c>
      <c r="D82" s="100" t="s">
        <v>2087</v>
      </c>
      <c r="E82" s="98" t="s">
        <v>2088</v>
      </c>
      <c r="F82" s="1193" t="s">
        <v>160</v>
      </c>
      <c r="G82" s="100" t="s">
        <v>1941</v>
      </c>
      <c r="H82" s="1112"/>
      <c r="I82" s="102"/>
      <c r="J82" s="1194">
        <f t="shared" si="1"/>
        <v>0</v>
      </c>
      <c r="K82" s="884"/>
    </row>
    <row r="83" spans="2:11" s="431" customFormat="1" ht="19.149999999999999" customHeight="1" x14ac:dyDescent="0.25">
      <c r="B83" s="97"/>
      <c r="C83" s="98" t="s">
        <v>1989</v>
      </c>
      <c r="D83" s="100" t="s">
        <v>2089</v>
      </c>
      <c r="E83" s="98" t="s">
        <v>2090</v>
      </c>
      <c r="F83" s="1193" t="s">
        <v>160</v>
      </c>
      <c r="G83" s="100" t="s">
        <v>1941</v>
      </c>
      <c r="H83" s="1112"/>
      <c r="I83" s="102"/>
      <c r="J83" s="1194">
        <f t="shared" si="1"/>
        <v>0</v>
      </c>
      <c r="K83" s="884"/>
    </row>
    <row r="84" spans="2:11" s="431" customFormat="1" ht="19.149999999999999" customHeight="1" x14ac:dyDescent="0.25">
      <c r="B84" s="97"/>
      <c r="C84" s="98" t="s">
        <v>1989</v>
      </c>
      <c r="D84" s="100" t="s">
        <v>2091</v>
      </c>
      <c r="E84" s="98" t="s">
        <v>2092</v>
      </c>
      <c r="F84" s="1193" t="s">
        <v>160</v>
      </c>
      <c r="G84" s="100" t="s">
        <v>1941</v>
      </c>
      <c r="H84" s="1112"/>
      <c r="I84" s="102"/>
      <c r="J84" s="1194">
        <f t="shared" si="1"/>
        <v>0</v>
      </c>
      <c r="K84" s="884"/>
    </row>
    <row r="85" spans="2:11" s="431" customFormat="1" ht="19.149999999999999" customHeight="1" x14ac:dyDescent="0.25">
      <c r="B85" s="97"/>
      <c r="C85" s="98" t="s">
        <v>1989</v>
      </c>
      <c r="D85" s="100" t="s">
        <v>2093</v>
      </c>
      <c r="E85" s="98" t="s">
        <v>2094</v>
      </c>
      <c r="F85" s="1193" t="s">
        <v>160</v>
      </c>
      <c r="G85" s="100" t="s">
        <v>1941</v>
      </c>
      <c r="H85" s="1112"/>
      <c r="I85" s="102"/>
      <c r="J85" s="1194">
        <f t="shared" si="1"/>
        <v>0</v>
      </c>
      <c r="K85" s="884"/>
    </row>
    <row r="86" spans="2:11" s="431" customFormat="1" ht="19.899999999999999" customHeight="1" x14ac:dyDescent="0.25">
      <c r="B86" s="1210"/>
      <c r="C86" s="1210" t="s">
        <v>1989</v>
      </c>
      <c r="D86" s="1211" t="s">
        <v>2095</v>
      </c>
      <c r="E86" s="1212" t="s">
        <v>2096</v>
      </c>
      <c r="F86" s="1213"/>
      <c r="G86" s="1213"/>
      <c r="H86" s="1213"/>
      <c r="I86" s="1213"/>
      <c r="J86" s="1213"/>
      <c r="K86" s="1214"/>
    </row>
    <row r="87" spans="2:11" s="431" customFormat="1" ht="19.149999999999999" customHeight="1" x14ac:dyDescent="0.25">
      <c r="B87" s="97"/>
      <c r="C87" s="98" t="s">
        <v>1989</v>
      </c>
      <c r="D87" s="100" t="s">
        <v>2097</v>
      </c>
      <c r="E87" s="98" t="s">
        <v>2098</v>
      </c>
      <c r="F87" s="1193" t="s">
        <v>160</v>
      </c>
      <c r="G87" s="100" t="s">
        <v>1941</v>
      </c>
      <c r="H87" s="1112"/>
      <c r="I87" s="102"/>
      <c r="J87" s="1194">
        <f t="shared" si="1"/>
        <v>0</v>
      </c>
      <c r="K87" s="884"/>
    </row>
    <row r="88" spans="2:11" s="431" customFormat="1" ht="19.899999999999999" customHeight="1" x14ac:dyDescent="0.25">
      <c r="B88" s="1210"/>
      <c r="C88" s="1210" t="s">
        <v>1989</v>
      </c>
      <c r="D88" s="1211" t="s">
        <v>2099</v>
      </c>
      <c r="E88" s="1212" t="s">
        <v>2100</v>
      </c>
      <c r="F88" s="1213"/>
      <c r="G88" s="1213"/>
      <c r="H88" s="1213"/>
      <c r="I88" s="1213"/>
      <c r="J88" s="1213"/>
      <c r="K88" s="1214"/>
    </row>
    <row r="89" spans="2:11" s="431" customFormat="1" ht="19.149999999999999" customHeight="1" x14ac:dyDescent="0.25">
      <c r="B89" s="97"/>
      <c r="C89" s="98" t="s">
        <v>1989</v>
      </c>
      <c r="D89" s="100" t="s">
        <v>2101</v>
      </c>
      <c r="E89" s="98" t="s">
        <v>2102</v>
      </c>
      <c r="F89" s="1193" t="s">
        <v>160</v>
      </c>
      <c r="G89" s="100" t="s">
        <v>1941</v>
      </c>
      <c r="H89" s="1112"/>
      <c r="I89" s="102"/>
      <c r="J89" s="1194">
        <f t="shared" si="1"/>
        <v>0</v>
      </c>
      <c r="K89" s="884"/>
    </row>
    <row r="90" spans="2:11" s="431" customFormat="1" ht="19.149999999999999" customHeight="1" x14ac:dyDescent="0.25">
      <c r="B90" s="97"/>
      <c r="C90" s="98" t="s">
        <v>1989</v>
      </c>
      <c r="D90" s="100" t="s">
        <v>2103</v>
      </c>
      <c r="E90" s="98" t="s">
        <v>2104</v>
      </c>
      <c r="F90" s="1193" t="s">
        <v>160</v>
      </c>
      <c r="G90" s="100" t="s">
        <v>1941</v>
      </c>
      <c r="H90" s="1112"/>
      <c r="I90" s="102"/>
      <c r="J90" s="1194">
        <f t="shared" si="1"/>
        <v>0</v>
      </c>
      <c r="K90" s="884"/>
    </row>
    <row r="91" spans="2:11" s="431" customFormat="1" ht="19.899999999999999" customHeight="1" x14ac:dyDescent="0.25">
      <c r="B91" s="1210"/>
      <c r="C91" s="1210" t="s">
        <v>1989</v>
      </c>
      <c r="D91" s="1211" t="s">
        <v>2105</v>
      </c>
      <c r="E91" s="1212" t="s">
        <v>2106</v>
      </c>
      <c r="F91" s="1213"/>
      <c r="G91" s="1213"/>
      <c r="H91" s="1213"/>
      <c r="I91" s="1213"/>
      <c r="J91" s="1213"/>
      <c r="K91" s="1214"/>
    </row>
    <row r="92" spans="2:11" s="431" customFormat="1" x14ac:dyDescent="0.25">
      <c r="B92" s="1215"/>
      <c r="C92" s="1090" t="s">
        <v>1989</v>
      </c>
      <c r="D92" s="132" t="s">
        <v>2107</v>
      </c>
      <c r="E92" s="1216" t="s">
        <v>2108</v>
      </c>
      <c r="F92" s="1217" t="s">
        <v>160</v>
      </c>
      <c r="G92" s="1218" t="s">
        <v>1941</v>
      </c>
      <c r="H92" s="1095"/>
      <c r="I92" s="915"/>
      <c r="J92" s="1034">
        <f t="shared" si="1"/>
        <v>0</v>
      </c>
      <c r="K92" s="1219"/>
    </row>
    <row r="93" spans="2:11" s="431" customFormat="1" x14ac:dyDescent="0.25">
      <c r="B93" s="1215"/>
      <c r="C93" s="1090" t="s">
        <v>1989</v>
      </c>
      <c r="D93" s="132" t="s">
        <v>2109</v>
      </c>
      <c r="E93" s="1216" t="s">
        <v>2110</v>
      </c>
      <c r="F93" s="1217" t="s">
        <v>160</v>
      </c>
      <c r="G93" s="1218" t="s">
        <v>1941</v>
      </c>
      <c r="H93" s="1095"/>
      <c r="I93" s="915"/>
      <c r="J93" s="1034">
        <f t="shared" si="1"/>
        <v>0</v>
      </c>
      <c r="K93" s="1219"/>
    </row>
    <row r="94" spans="2:11" s="431" customFormat="1" ht="19.899999999999999" customHeight="1" x14ac:dyDescent="0.25">
      <c r="B94" s="1210"/>
      <c r="C94" s="1210" t="s">
        <v>1989</v>
      </c>
      <c r="D94" s="1211" t="s">
        <v>2111</v>
      </c>
      <c r="E94" s="1212" t="s">
        <v>2112</v>
      </c>
      <c r="F94" s="1213"/>
      <c r="G94" s="1213"/>
      <c r="H94" s="1213"/>
      <c r="I94" s="1213"/>
      <c r="J94" s="1213"/>
      <c r="K94" s="1214"/>
    </row>
    <row r="95" spans="2:11" s="431" customFormat="1" ht="19.149999999999999" customHeight="1" x14ac:dyDescent="0.25">
      <c r="B95" s="97"/>
      <c r="C95" s="98" t="s">
        <v>1989</v>
      </c>
      <c r="D95" s="100" t="s">
        <v>2113</v>
      </c>
      <c r="E95" s="98" t="s">
        <v>2114</v>
      </c>
      <c r="F95" s="1193" t="s">
        <v>160</v>
      </c>
      <c r="G95" s="100" t="s">
        <v>1941</v>
      </c>
      <c r="H95" s="1112"/>
      <c r="I95" s="102"/>
      <c r="J95" s="1194">
        <f t="shared" si="1"/>
        <v>0</v>
      </c>
      <c r="K95" s="884"/>
    </row>
    <row r="96" spans="2:11" s="431" customFormat="1" ht="19.899999999999999" customHeight="1" x14ac:dyDescent="0.25">
      <c r="B96" s="1092"/>
      <c r="C96" s="1092" t="s">
        <v>1989</v>
      </c>
      <c r="D96" s="1176" t="s">
        <v>2115</v>
      </c>
      <c r="E96" s="1208" t="s">
        <v>2116</v>
      </c>
      <c r="F96" s="1703"/>
      <c r="G96" s="1703"/>
      <c r="H96" s="1703"/>
      <c r="I96" s="1703"/>
      <c r="J96" s="1703"/>
      <c r="K96" s="1704"/>
    </row>
    <row r="97" spans="2:11" s="431" customFormat="1" ht="19.899999999999999" customHeight="1" x14ac:dyDescent="0.25">
      <c r="B97" s="1210"/>
      <c r="C97" s="1210" t="s">
        <v>1989</v>
      </c>
      <c r="D97" s="1211" t="s">
        <v>2117</v>
      </c>
      <c r="E97" s="1212" t="s">
        <v>2118</v>
      </c>
      <c r="F97" s="1213"/>
      <c r="G97" s="1213"/>
      <c r="H97" s="1213"/>
      <c r="I97" s="1213"/>
      <c r="J97" s="1213"/>
      <c r="K97" s="1214"/>
    </row>
    <row r="98" spans="2:11" s="431" customFormat="1" ht="19.149999999999999" customHeight="1" x14ac:dyDescent="0.25">
      <c r="B98" s="97"/>
      <c r="C98" s="98" t="s">
        <v>1989</v>
      </c>
      <c r="D98" s="100" t="s">
        <v>2119</v>
      </c>
      <c r="E98" s="98" t="s">
        <v>2120</v>
      </c>
      <c r="F98" s="1193" t="s">
        <v>160</v>
      </c>
      <c r="G98" s="100" t="s">
        <v>1941</v>
      </c>
      <c r="H98" s="1112"/>
      <c r="I98" s="102"/>
      <c r="J98" s="1194">
        <f t="shared" si="1"/>
        <v>0</v>
      </c>
      <c r="K98" s="884"/>
    </row>
    <row r="99" spans="2:11" s="431" customFormat="1" ht="19.149999999999999" customHeight="1" x14ac:dyDescent="0.25">
      <c r="B99" s="97"/>
      <c r="C99" s="98" t="s">
        <v>1989</v>
      </c>
      <c r="D99" s="100" t="s">
        <v>2119</v>
      </c>
      <c r="E99" s="98" t="s">
        <v>2121</v>
      </c>
      <c r="F99" s="1193" t="s">
        <v>160</v>
      </c>
      <c r="G99" s="100" t="s">
        <v>1941</v>
      </c>
      <c r="H99" s="1112"/>
      <c r="I99" s="102"/>
      <c r="J99" s="1194">
        <f t="shared" si="1"/>
        <v>0</v>
      </c>
      <c r="K99" s="884"/>
    </row>
    <row r="100" spans="2:11" s="431" customFormat="1" ht="19.149999999999999" customHeight="1" x14ac:dyDescent="0.25">
      <c r="B100" s="97"/>
      <c r="C100" s="98" t="s">
        <v>1989</v>
      </c>
      <c r="D100" s="100" t="s">
        <v>2119</v>
      </c>
      <c r="E100" s="98" t="s">
        <v>2122</v>
      </c>
      <c r="F100" s="1193" t="s">
        <v>160</v>
      </c>
      <c r="G100" s="100" t="s">
        <v>1941</v>
      </c>
      <c r="H100" s="1112"/>
      <c r="I100" s="102"/>
      <c r="J100" s="1194">
        <f t="shared" si="1"/>
        <v>0</v>
      </c>
      <c r="K100" s="884"/>
    </row>
    <row r="101" spans="2:11" s="431" customFormat="1" ht="19.899999999999999" customHeight="1" x14ac:dyDescent="0.25">
      <c r="B101" s="1210"/>
      <c r="C101" s="1210" t="s">
        <v>1989</v>
      </c>
      <c r="D101" s="1211" t="s">
        <v>2123</v>
      </c>
      <c r="E101" s="1212" t="s">
        <v>2124</v>
      </c>
      <c r="F101" s="1213"/>
      <c r="G101" s="1213"/>
      <c r="H101" s="1213"/>
      <c r="I101" s="1213"/>
      <c r="J101" s="1213"/>
      <c r="K101" s="1214"/>
    </row>
    <row r="102" spans="2:11" s="431" customFormat="1" ht="19.149999999999999" customHeight="1" x14ac:dyDescent="0.25">
      <c r="B102" s="97"/>
      <c r="C102" s="98" t="s">
        <v>1989</v>
      </c>
      <c r="D102" s="100" t="s">
        <v>2125</v>
      </c>
      <c r="E102" s="98" t="s">
        <v>2126</v>
      </c>
      <c r="F102" s="1193" t="s">
        <v>160</v>
      </c>
      <c r="G102" s="100" t="s">
        <v>1941</v>
      </c>
      <c r="H102" s="1112"/>
      <c r="I102" s="102"/>
      <c r="J102" s="1194">
        <f t="shared" si="1"/>
        <v>0</v>
      </c>
      <c r="K102" s="884"/>
    </row>
    <row r="103" spans="2:11" s="431" customFormat="1" ht="19.149999999999999" customHeight="1" x14ac:dyDescent="0.25">
      <c r="B103" s="97"/>
      <c r="C103" s="98" t="s">
        <v>1989</v>
      </c>
      <c r="D103" s="100" t="s">
        <v>2127</v>
      </c>
      <c r="E103" s="98" t="s">
        <v>2128</v>
      </c>
      <c r="F103" s="1193" t="s">
        <v>160</v>
      </c>
      <c r="G103" s="100" t="s">
        <v>1941</v>
      </c>
      <c r="H103" s="1112"/>
      <c r="I103" s="102"/>
      <c r="J103" s="1194">
        <f t="shared" si="1"/>
        <v>0</v>
      </c>
      <c r="K103" s="884"/>
    </row>
    <row r="104" spans="2:11" s="431" customFormat="1" ht="19.899999999999999" customHeight="1" x14ac:dyDescent="0.25">
      <c r="B104" s="1210"/>
      <c r="C104" s="1210" t="s">
        <v>1989</v>
      </c>
      <c r="D104" s="1211" t="s">
        <v>2129</v>
      </c>
      <c r="E104" s="1212" t="s">
        <v>2130</v>
      </c>
      <c r="F104" s="1213"/>
      <c r="G104" s="1213"/>
      <c r="H104" s="1213"/>
      <c r="I104" s="1213"/>
      <c r="J104" s="1213"/>
      <c r="K104" s="1214"/>
    </row>
    <row r="105" spans="2:11" s="431" customFormat="1" ht="19.149999999999999" customHeight="1" x14ac:dyDescent="0.25">
      <c r="B105" s="97"/>
      <c r="C105" s="98" t="s">
        <v>1989</v>
      </c>
      <c r="D105" s="100" t="s">
        <v>2131</v>
      </c>
      <c r="E105" s="98" t="s">
        <v>2132</v>
      </c>
      <c r="F105" s="1193" t="s">
        <v>160</v>
      </c>
      <c r="G105" s="100" t="s">
        <v>1941</v>
      </c>
      <c r="H105" s="1112"/>
      <c r="I105" s="102"/>
      <c r="J105" s="1194">
        <f t="shared" si="1"/>
        <v>0</v>
      </c>
      <c r="K105" s="884"/>
    </row>
    <row r="106" spans="2:11" s="431" customFormat="1" ht="19.149999999999999" customHeight="1" x14ac:dyDescent="0.25">
      <c r="B106" s="97"/>
      <c r="C106" s="98" t="s">
        <v>1989</v>
      </c>
      <c r="D106" s="100" t="s">
        <v>2133</v>
      </c>
      <c r="E106" s="98" t="s">
        <v>2134</v>
      </c>
      <c r="F106" s="1193" t="s">
        <v>160</v>
      </c>
      <c r="G106" s="100" t="s">
        <v>1941</v>
      </c>
      <c r="H106" s="1112"/>
      <c r="I106" s="102"/>
      <c r="J106" s="1194">
        <f t="shared" si="1"/>
        <v>0</v>
      </c>
      <c r="K106" s="884"/>
    </row>
    <row r="107" spans="2:11" s="431" customFormat="1" ht="19.149999999999999" customHeight="1" x14ac:dyDescent="0.25">
      <c r="B107" s="97"/>
      <c r="C107" s="98" t="s">
        <v>1989</v>
      </c>
      <c r="D107" s="100" t="s">
        <v>2135</v>
      </c>
      <c r="E107" s="98" t="s">
        <v>2136</v>
      </c>
      <c r="F107" s="1193" t="s">
        <v>160</v>
      </c>
      <c r="G107" s="100" t="s">
        <v>1941</v>
      </c>
      <c r="H107" s="1112"/>
      <c r="I107" s="102"/>
      <c r="J107" s="1194">
        <f t="shared" si="1"/>
        <v>0</v>
      </c>
      <c r="K107" s="884"/>
    </row>
    <row r="108" spans="2:11" s="431" customFormat="1" ht="19.899999999999999" customHeight="1" x14ac:dyDescent="0.25">
      <c r="B108" s="1210"/>
      <c r="C108" s="1210" t="s">
        <v>1989</v>
      </c>
      <c r="D108" s="1211" t="s">
        <v>2137</v>
      </c>
      <c r="E108" s="1212" t="s">
        <v>2138</v>
      </c>
      <c r="F108" s="1213"/>
      <c r="G108" s="1213"/>
      <c r="H108" s="1213"/>
      <c r="I108" s="1213"/>
      <c r="J108" s="1213"/>
      <c r="K108" s="1214"/>
    </row>
    <row r="109" spans="2:11" s="431" customFormat="1" ht="19.149999999999999" customHeight="1" x14ac:dyDescent="0.25">
      <c r="B109" s="97"/>
      <c r="C109" s="98" t="s">
        <v>1989</v>
      </c>
      <c r="D109" s="100" t="s">
        <v>2139</v>
      </c>
      <c r="E109" s="98" t="s">
        <v>2140</v>
      </c>
      <c r="F109" s="1193" t="s">
        <v>160</v>
      </c>
      <c r="G109" s="100" t="s">
        <v>1941</v>
      </c>
      <c r="H109" s="1112"/>
      <c r="I109" s="102"/>
      <c r="J109" s="1194">
        <f t="shared" si="1"/>
        <v>0</v>
      </c>
      <c r="K109" s="884"/>
    </row>
    <row r="110" spans="2:11" s="431" customFormat="1" ht="19.899999999999999" customHeight="1" x14ac:dyDescent="0.25">
      <c r="B110" s="1092"/>
      <c r="C110" s="1092" t="s">
        <v>1989</v>
      </c>
      <c r="D110" s="1176" t="s">
        <v>2141</v>
      </c>
      <c r="E110" s="1208" t="s">
        <v>2142</v>
      </c>
      <c r="F110" s="1703"/>
      <c r="G110" s="1703"/>
      <c r="H110" s="1703"/>
      <c r="I110" s="1703"/>
      <c r="J110" s="1703"/>
      <c r="K110" s="1704"/>
    </row>
    <row r="111" spans="2:11" s="431" customFormat="1" ht="19.899999999999999" customHeight="1" x14ac:dyDescent="0.25">
      <c r="B111" s="1210"/>
      <c r="C111" s="1210" t="s">
        <v>1989</v>
      </c>
      <c r="D111" s="1211" t="s">
        <v>2143</v>
      </c>
      <c r="E111" s="1212" t="s">
        <v>2144</v>
      </c>
      <c r="F111" s="1213"/>
      <c r="G111" s="1213"/>
      <c r="H111" s="1213"/>
      <c r="I111" s="1213"/>
      <c r="J111" s="1213"/>
      <c r="K111" s="1214"/>
    </row>
    <row r="112" spans="2:11" s="431" customFormat="1" ht="19.149999999999999" customHeight="1" x14ac:dyDescent="0.25">
      <c r="B112" s="97"/>
      <c r="C112" s="98" t="s">
        <v>1989</v>
      </c>
      <c r="D112" s="100" t="s">
        <v>2145</v>
      </c>
      <c r="E112" s="98" t="s">
        <v>2146</v>
      </c>
      <c r="F112" s="1193" t="s">
        <v>160</v>
      </c>
      <c r="G112" s="100" t="s">
        <v>1941</v>
      </c>
      <c r="H112" s="1112"/>
      <c r="I112" s="102"/>
      <c r="J112" s="1194">
        <f t="shared" si="1"/>
        <v>0</v>
      </c>
      <c r="K112" s="884"/>
    </row>
    <row r="113" spans="2:11" s="431" customFormat="1" ht="19.899999999999999" customHeight="1" x14ac:dyDescent="0.25">
      <c r="B113" s="1092"/>
      <c r="C113" s="1092" t="s">
        <v>1989</v>
      </c>
      <c r="D113" s="1176" t="s">
        <v>2147</v>
      </c>
      <c r="E113" s="1208" t="s">
        <v>2148</v>
      </c>
      <c r="F113" s="1703"/>
      <c r="G113" s="1703"/>
      <c r="H113" s="1703"/>
      <c r="I113" s="1703"/>
      <c r="J113" s="1703"/>
      <c r="K113" s="1704"/>
    </row>
    <row r="114" spans="2:11" s="431" customFormat="1" ht="19.899999999999999" customHeight="1" x14ac:dyDescent="0.25">
      <c r="B114" s="1210"/>
      <c r="C114" s="1210" t="s">
        <v>1989</v>
      </c>
      <c r="D114" s="1211" t="s">
        <v>2149</v>
      </c>
      <c r="E114" s="1212" t="s">
        <v>2150</v>
      </c>
      <c r="F114" s="1213"/>
      <c r="G114" s="1213"/>
      <c r="H114" s="1213"/>
      <c r="I114" s="1213"/>
      <c r="J114" s="1213"/>
      <c r="K114" s="1214"/>
    </row>
    <row r="115" spans="2:11" s="431" customFormat="1" ht="19.149999999999999" customHeight="1" x14ac:dyDescent="0.25">
      <c r="B115" s="97"/>
      <c r="C115" s="98" t="s">
        <v>1989</v>
      </c>
      <c r="D115" s="100" t="s">
        <v>2151</v>
      </c>
      <c r="E115" s="98" t="s">
        <v>2152</v>
      </c>
      <c r="F115" s="1193" t="s">
        <v>160</v>
      </c>
      <c r="G115" s="100" t="s">
        <v>1941</v>
      </c>
      <c r="H115" s="1112"/>
      <c r="I115" s="102"/>
      <c r="J115" s="1194">
        <f t="shared" si="1"/>
        <v>0</v>
      </c>
      <c r="K115" s="884"/>
    </row>
    <row r="116" spans="2:11" s="431" customFormat="1" ht="19.899999999999999" customHeight="1" x14ac:dyDescent="0.25">
      <c r="B116" s="1210"/>
      <c r="C116" s="1210" t="s">
        <v>1989</v>
      </c>
      <c r="D116" s="1211" t="s">
        <v>2153</v>
      </c>
      <c r="E116" s="1212" t="s">
        <v>2154</v>
      </c>
      <c r="F116" s="1213"/>
      <c r="G116" s="1213"/>
      <c r="H116" s="1213"/>
      <c r="I116" s="1213"/>
      <c r="J116" s="1213"/>
      <c r="K116" s="1214"/>
    </row>
    <row r="117" spans="2:11" s="431" customFormat="1" ht="19.149999999999999" customHeight="1" x14ac:dyDescent="0.25">
      <c r="B117" s="97"/>
      <c r="C117" s="98" t="s">
        <v>1989</v>
      </c>
      <c r="D117" s="100" t="s">
        <v>2155</v>
      </c>
      <c r="E117" s="98" t="s">
        <v>2156</v>
      </c>
      <c r="F117" s="1193" t="s">
        <v>160</v>
      </c>
      <c r="G117" s="100" t="s">
        <v>1941</v>
      </c>
      <c r="H117" s="1112"/>
      <c r="I117" s="102"/>
      <c r="J117" s="1194">
        <f t="shared" si="1"/>
        <v>0</v>
      </c>
      <c r="K117" s="884"/>
    </row>
    <row r="118" spans="2:11" s="431" customFormat="1" ht="19.899999999999999" customHeight="1" x14ac:dyDescent="0.25">
      <c r="B118" s="1210"/>
      <c r="C118" s="1210" t="s">
        <v>1989</v>
      </c>
      <c r="D118" s="1211" t="s">
        <v>2157</v>
      </c>
      <c r="E118" s="1212" t="s">
        <v>2158</v>
      </c>
      <c r="F118" s="1213"/>
      <c r="G118" s="1213"/>
      <c r="H118" s="1213"/>
      <c r="I118" s="1213"/>
      <c r="J118" s="1213"/>
      <c r="K118" s="1214"/>
    </row>
    <row r="119" spans="2:11" s="431" customFormat="1" ht="19.149999999999999" customHeight="1" x14ac:dyDescent="0.25">
      <c r="B119" s="97"/>
      <c r="C119" s="98" t="s">
        <v>1989</v>
      </c>
      <c r="D119" s="100" t="s">
        <v>2159</v>
      </c>
      <c r="E119" s="98" t="s">
        <v>2160</v>
      </c>
      <c r="F119" s="1193" t="s">
        <v>160</v>
      </c>
      <c r="G119" s="100" t="s">
        <v>1941</v>
      </c>
      <c r="H119" s="1112"/>
      <c r="I119" s="102"/>
      <c r="J119" s="1194">
        <f t="shared" si="1"/>
        <v>0</v>
      </c>
      <c r="K119" s="884"/>
    </row>
    <row r="120" spans="2:11" s="431" customFormat="1" ht="19.899999999999999" customHeight="1" x14ac:dyDescent="0.25">
      <c r="B120" s="1210"/>
      <c r="C120" s="1210" t="s">
        <v>1989</v>
      </c>
      <c r="D120" s="1211" t="s">
        <v>2161</v>
      </c>
      <c r="E120" s="1212" t="s">
        <v>2162</v>
      </c>
      <c r="F120" s="1213"/>
      <c r="G120" s="1213"/>
      <c r="H120" s="1213"/>
      <c r="I120" s="1213"/>
      <c r="J120" s="1213"/>
      <c r="K120" s="1214"/>
    </row>
    <row r="121" spans="2:11" s="431" customFormat="1" ht="19.149999999999999" customHeight="1" x14ac:dyDescent="0.25">
      <c r="B121" s="97"/>
      <c r="C121" s="98" t="s">
        <v>1989</v>
      </c>
      <c r="D121" s="100" t="s">
        <v>2163</v>
      </c>
      <c r="E121" s="98" t="s">
        <v>2164</v>
      </c>
      <c r="F121" s="1193" t="s">
        <v>160</v>
      </c>
      <c r="G121" s="100" t="s">
        <v>1941</v>
      </c>
      <c r="H121" s="1112"/>
      <c r="I121" s="102"/>
      <c r="J121" s="1194">
        <f t="shared" si="1"/>
        <v>0</v>
      </c>
      <c r="K121" s="884"/>
    </row>
    <row r="122" spans="2:11" s="431" customFormat="1" ht="19.899999999999999" customHeight="1" x14ac:dyDescent="0.25">
      <c r="B122" s="1092"/>
      <c r="C122" s="1092" t="s">
        <v>1989</v>
      </c>
      <c r="D122" s="1176" t="s">
        <v>2165</v>
      </c>
      <c r="E122" s="1208" t="s">
        <v>2166</v>
      </c>
      <c r="F122" s="1703"/>
      <c r="G122" s="1703"/>
      <c r="H122" s="1703"/>
      <c r="I122" s="1703"/>
      <c r="J122" s="1703"/>
      <c r="K122" s="1704"/>
    </row>
    <row r="123" spans="2:11" s="431" customFormat="1" ht="19.899999999999999" customHeight="1" x14ac:dyDescent="0.25">
      <c r="B123" s="1210"/>
      <c r="C123" s="1210" t="s">
        <v>1989</v>
      </c>
      <c r="D123" s="1211" t="s">
        <v>2167</v>
      </c>
      <c r="E123" s="1212" t="s">
        <v>2168</v>
      </c>
      <c r="F123" s="1213"/>
      <c r="G123" s="1213"/>
      <c r="H123" s="1213"/>
      <c r="I123" s="1213"/>
      <c r="J123" s="1213"/>
      <c r="K123" s="1214"/>
    </row>
    <row r="124" spans="2:11" s="431" customFormat="1" ht="19.149999999999999" customHeight="1" x14ac:dyDescent="0.25">
      <c r="B124" s="97"/>
      <c r="C124" s="98" t="s">
        <v>1989</v>
      </c>
      <c r="D124" s="100" t="s">
        <v>2169</v>
      </c>
      <c r="E124" s="98" t="s">
        <v>2170</v>
      </c>
      <c r="F124" s="1193" t="s">
        <v>160</v>
      </c>
      <c r="G124" s="100" t="s">
        <v>1941</v>
      </c>
      <c r="H124" s="1112"/>
      <c r="I124" s="102"/>
      <c r="J124" s="1194">
        <f t="shared" si="1"/>
        <v>0</v>
      </c>
      <c r="K124" s="884"/>
    </row>
    <row r="125" spans="2:11" s="431" customFormat="1" ht="19.149999999999999" customHeight="1" x14ac:dyDescent="0.25">
      <c r="B125" s="97"/>
      <c r="C125" s="98" t="s">
        <v>1989</v>
      </c>
      <c r="D125" s="100" t="s">
        <v>2171</v>
      </c>
      <c r="E125" s="98" t="s">
        <v>2172</v>
      </c>
      <c r="F125" s="1193" t="s">
        <v>160</v>
      </c>
      <c r="G125" s="100" t="s">
        <v>1941</v>
      </c>
      <c r="H125" s="1112"/>
      <c r="I125" s="102"/>
      <c r="J125" s="1194">
        <f t="shared" si="1"/>
        <v>0</v>
      </c>
      <c r="K125" s="884"/>
    </row>
    <row r="126" spans="2:11" s="431" customFormat="1" ht="19.149999999999999" customHeight="1" x14ac:dyDescent="0.25">
      <c r="B126" s="97"/>
      <c r="C126" s="98" t="s">
        <v>1989</v>
      </c>
      <c r="D126" s="100" t="s">
        <v>2173</v>
      </c>
      <c r="E126" s="98" t="s">
        <v>2174</v>
      </c>
      <c r="F126" s="1193" t="s">
        <v>160</v>
      </c>
      <c r="G126" s="100" t="s">
        <v>1941</v>
      </c>
      <c r="H126" s="1112"/>
      <c r="I126" s="102"/>
      <c r="J126" s="1194">
        <f t="shared" si="1"/>
        <v>0</v>
      </c>
      <c r="K126" s="884"/>
    </row>
    <row r="127" spans="2:11" s="431" customFormat="1" ht="19.149999999999999" customHeight="1" x14ac:dyDescent="0.25">
      <c r="B127" s="97"/>
      <c r="C127" s="98" t="s">
        <v>1989</v>
      </c>
      <c r="D127" s="100" t="s">
        <v>2175</v>
      </c>
      <c r="E127" s="98" t="s">
        <v>2176</v>
      </c>
      <c r="F127" s="1193" t="s">
        <v>160</v>
      </c>
      <c r="G127" s="100" t="s">
        <v>1941</v>
      </c>
      <c r="H127" s="1112"/>
      <c r="I127" s="102"/>
      <c r="J127" s="1194">
        <f t="shared" si="1"/>
        <v>0</v>
      </c>
      <c r="K127" s="884"/>
    </row>
    <row r="128" spans="2:11" s="431" customFormat="1" ht="19.149999999999999" customHeight="1" x14ac:dyDescent="0.25">
      <c r="B128" s="97"/>
      <c r="C128" s="98" t="s">
        <v>1989</v>
      </c>
      <c r="D128" s="100" t="s">
        <v>2177</v>
      </c>
      <c r="E128" s="98" t="s">
        <v>2178</v>
      </c>
      <c r="F128" s="1193" t="s">
        <v>160</v>
      </c>
      <c r="G128" s="100" t="s">
        <v>1941</v>
      </c>
      <c r="H128" s="1112"/>
      <c r="I128" s="102"/>
      <c r="J128" s="1194">
        <f t="shared" si="1"/>
        <v>0</v>
      </c>
      <c r="K128" s="884"/>
    </row>
    <row r="129" spans="2:11" s="431" customFormat="1" ht="19.149999999999999" customHeight="1" x14ac:dyDescent="0.25">
      <c r="B129" s="97"/>
      <c r="C129" s="98" t="s">
        <v>1989</v>
      </c>
      <c r="D129" s="100" t="s">
        <v>2179</v>
      </c>
      <c r="E129" s="98" t="s">
        <v>2180</v>
      </c>
      <c r="F129" s="1193" t="s">
        <v>160</v>
      </c>
      <c r="G129" s="100" t="s">
        <v>1941</v>
      </c>
      <c r="H129" s="1112"/>
      <c r="I129" s="102"/>
      <c r="J129" s="1194">
        <f t="shared" si="1"/>
        <v>0</v>
      </c>
      <c r="K129" s="884"/>
    </row>
    <row r="130" spans="2:11" s="431" customFormat="1" ht="19.899999999999999" customHeight="1" x14ac:dyDescent="0.25">
      <c r="B130" s="1210"/>
      <c r="C130" s="1210" t="s">
        <v>1989</v>
      </c>
      <c r="D130" s="1211" t="s">
        <v>2181</v>
      </c>
      <c r="E130" s="1212" t="s">
        <v>2182</v>
      </c>
      <c r="F130" s="1213"/>
      <c r="G130" s="1213"/>
      <c r="H130" s="1213"/>
      <c r="I130" s="1213"/>
      <c r="J130" s="1213"/>
      <c r="K130" s="1214"/>
    </row>
    <row r="131" spans="2:11" s="431" customFormat="1" ht="19.149999999999999" customHeight="1" x14ac:dyDescent="0.25">
      <c r="B131" s="97"/>
      <c r="C131" s="98" t="s">
        <v>1989</v>
      </c>
      <c r="D131" s="100" t="s">
        <v>2183</v>
      </c>
      <c r="E131" s="98" t="s">
        <v>2184</v>
      </c>
      <c r="F131" s="1193" t="s">
        <v>160</v>
      </c>
      <c r="G131" s="100" t="s">
        <v>1941</v>
      </c>
      <c r="H131" s="1112"/>
      <c r="I131" s="102"/>
      <c r="J131" s="1194">
        <f t="shared" si="1"/>
        <v>0</v>
      </c>
      <c r="K131" s="884"/>
    </row>
    <row r="132" spans="2:11" s="431" customFormat="1" ht="19.899999999999999" customHeight="1" x14ac:dyDescent="0.25">
      <c r="B132" s="1210"/>
      <c r="C132" s="1210" t="s">
        <v>1989</v>
      </c>
      <c r="D132" s="1211" t="s">
        <v>2185</v>
      </c>
      <c r="E132" s="1212" t="s">
        <v>2186</v>
      </c>
      <c r="F132" s="1213"/>
      <c r="G132" s="1213"/>
      <c r="H132" s="1213"/>
      <c r="I132" s="1213"/>
      <c r="J132" s="1213"/>
      <c r="K132" s="1214"/>
    </row>
    <row r="133" spans="2:11" s="431" customFormat="1" ht="19.149999999999999" customHeight="1" x14ac:dyDescent="0.25">
      <c r="B133" s="97"/>
      <c r="C133" s="98" t="s">
        <v>1989</v>
      </c>
      <c r="D133" s="100" t="s">
        <v>2187</v>
      </c>
      <c r="E133" s="98" t="s">
        <v>2188</v>
      </c>
      <c r="F133" s="1193" t="s">
        <v>160</v>
      </c>
      <c r="G133" s="100" t="s">
        <v>1941</v>
      </c>
      <c r="H133" s="1112"/>
      <c r="I133" s="102"/>
      <c r="J133" s="1194">
        <f t="shared" si="1"/>
        <v>0</v>
      </c>
      <c r="K133" s="884"/>
    </row>
    <row r="134" spans="2:11" s="431" customFormat="1" ht="19.899999999999999" customHeight="1" x14ac:dyDescent="0.25">
      <c r="B134" s="1210"/>
      <c r="C134" s="1210" t="s">
        <v>1989</v>
      </c>
      <c r="D134" s="1211" t="s">
        <v>2189</v>
      </c>
      <c r="E134" s="1212" t="s">
        <v>2190</v>
      </c>
      <c r="F134" s="1213"/>
      <c r="G134" s="1213"/>
      <c r="H134" s="1213"/>
      <c r="I134" s="1213"/>
      <c r="J134" s="1213"/>
      <c r="K134" s="1214"/>
    </row>
    <row r="135" spans="2:11" s="431" customFormat="1" ht="19.149999999999999" customHeight="1" x14ac:dyDescent="0.25">
      <c r="B135" s="97"/>
      <c r="C135" s="98" t="s">
        <v>1989</v>
      </c>
      <c r="D135" s="100" t="s">
        <v>2191</v>
      </c>
      <c r="E135" s="98" t="s">
        <v>2192</v>
      </c>
      <c r="F135" s="1193" t="s">
        <v>160</v>
      </c>
      <c r="G135" s="100" t="s">
        <v>1941</v>
      </c>
      <c r="H135" s="1112"/>
      <c r="I135" s="102"/>
      <c r="J135" s="1194">
        <f t="shared" si="1"/>
        <v>0</v>
      </c>
      <c r="K135" s="884"/>
    </row>
    <row r="136" spans="2:11" s="431" customFormat="1" ht="19.899999999999999" customHeight="1" x14ac:dyDescent="0.25">
      <c r="B136" s="1210"/>
      <c r="C136" s="1210" t="s">
        <v>1989</v>
      </c>
      <c r="D136" s="1211" t="s">
        <v>2193</v>
      </c>
      <c r="E136" s="1212" t="s">
        <v>2194</v>
      </c>
      <c r="F136" s="1213"/>
      <c r="G136" s="1213"/>
      <c r="H136" s="1213"/>
      <c r="I136" s="1213"/>
      <c r="J136" s="1213"/>
      <c r="K136" s="1214"/>
    </row>
    <row r="137" spans="2:11" s="431" customFormat="1" ht="19.149999999999999" customHeight="1" x14ac:dyDescent="0.25">
      <c r="B137" s="97"/>
      <c r="C137" s="98" t="s">
        <v>1989</v>
      </c>
      <c r="D137" s="100" t="s">
        <v>2195</v>
      </c>
      <c r="E137" s="98" t="s">
        <v>2196</v>
      </c>
      <c r="F137" s="1193" t="s">
        <v>160</v>
      </c>
      <c r="G137" s="100" t="s">
        <v>1941</v>
      </c>
      <c r="H137" s="1112"/>
      <c r="I137" s="102"/>
      <c r="J137" s="1194">
        <f t="shared" si="1"/>
        <v>0</v>
      </c>
      <c r="K137" s="884"/>
    </row>
    <row r="138" spans="2:11" s="431" customFormat="1" ht="19.899999999999999" customHeight="1" x14ac:dyDescent="0.25">
      <c r="B138" s="1210"/>
      <c r="C138" s="1210" t="s">
        <v>1989</v>
      </c>
      <c r="D138" s="1211" t="s">
        <v>2197</v>
      </c>
      <c r="E138" s="1212" t="s">
        <v>2198</v>
      </c>
      <c r="F138" s="1213"/>
      <c r="G138" s="1213"/>
      <c r="H138" s="1213"/>
      <c r="I138" s="1213"/>
      <c r="J138" s="1213"/>
      <c r="K138" s="1214"/>
    </row>
    <row r="139" spans="2:11" s="431" customFormat="1" ht="19.149999999999999" customHeight="1" x14ac:dyDescent="0.25">
      <c r="B139" s="97"/>
      <c r="C139" s="98" t="s">
        <v>1989</v>
      </c>
      <c r="D139" s="100" t="s">
        <v>2199</v>
      </c>
      <c r="E139" s="98" t="s">
        <v>2200</v>
      </c>
      <c r="F139" s="1193" t="s">
        <v>160</v>
      </c>
      <c r="G139" s="100" t="s">
        <v>1941</v>
      </c>
      <c r="H139" s="1112"/>
      <c r="I139" s="102"/>
      <c r="J139" s="1194">
        <f t="shared" ref="J139:J151" si="2">IF(F139="NA","",H139*I139)</f>
        <v>0</v>
      </c>
      <c r="K139" s="884"/>
    </row>
    <row r="140" spans="2:11" s="431" customFormat="1" ht="19.899999999999999" customHeight="1" x14ac:dyDescent="0.25">
      <c r="B140" s="1210"/>
      <c r="C140" s="1210" t="s">
        <v>1989</v>
      </c>
      <c r="D140" s="1211" t="s">
        <v>2201</v>
      </c>
      <c r="E140" s="1212" t="s">
        <v>2202</v>
      </c>
      <c r="F140" s="1213"/>
      <c r="G140" s="1213"/>
      <c r="H140" s="1213"/>
      <c r="I140" s="1213"/>
      <c r="J140" s="1213"/>
      <c r="K140" s="1214"/>
    </row>
    <row r="141" spans="2:11" s="431" customFormat="1" ht="19.149999999999999" customHeight="1" x14ac:dyDescent="0.25">
      <c r="B141" s="97"/>
      <c r="C141" s="98" t="s">
        <v>1989</v>
      </c>
      <c r="D141" s="100" t="s">
        <v>2203</v>
      </c>
      <c r="E141" s="98" t="s">
        <v>2204</v>
      </c>
      <c r="F141" s="1193" t="s">
        <v>160</v>
      </c>
      <c r="G141" s="100" t="s">
        <v>1941</v>
      </c>
      <c r="H141" s="1112"/>
      <c r="I141" s="102"/>
      <c r="J141" s="1194">
        <f t="shared" si="2"/>
        <v>0</v>
      </c>
      <c r="K141" s="884"/>
    </row>
    <row r="142" spans="2:11" s="431" customFormat="1" ht="19.149999999999999" customHeight="1" x14ac:dyDescent="0.25">
      <c r="B142" s="97"/>
      <c r="C142" s="98" t="s">
        <v>1989</v>
      </c>
      <c r="D142" s="100" t="s">
        <v>2205</v>
      </c>
      <c r="E142" s="98" t="s">
        <v>2206</v>
      </c>
      <c r="F142" s="1193" t="s">
        <v>160</v>
      </c>
      <c r="G142" s="100" t="s">
        <v>1941</v>
      </c>
      <c r="H142" s="1112"/>
      <c r="I142" s="102"/>
      <c r="J142" s="1194">
        <f t="shared" si="2"/>
        <v>0</v>
      </c>
      <c r="K142" s="884"/>
    </row>
    <row r="143" spans="2:11" s="431" customFormat="1" ht="19.149999999999999" customHeight="1" x14ac:dyDescent="0.25">
      <c r="B143" s="97"/>
      <c r="C143" s="98" t="s">
        <v>1989</v>
      </c>
      <c r="D143" s="100" t="s">
        <v>2207</v>
      </c>
      <c r="E143" s="98" t="s">
        <v>2208</v>
      </c>
      <c r="F143" s="1193" t="s">
        <v>160</v>
      </c>
      <c r="G143" s="100" t="s">
        <v>1941</v>
      </c>
      <c r="H143" s="1112"/>
      <c r="I143" s="102"/>
      <c r="J143" s="1194">
        <f t="shared" si="2"/>
        <v>0</v>
      </c>
      <c r="K143" s="884"/>
    </row>
    <row r="144" spans="2:11" s="431" customFormat="1" ht="19.899999999999999" customHeight="1" x14ac:dyDescent="0.25">
      <c r="B144" s="1210"/>
      <c r="C144" s="1210" t="s">
        <v>1989</v>
      </c>
      <c r="D144" s="1211" t="s">
        <v>2209</v>
      </c>
      <c r="E144" s="1212" t="s">
        <v>2210</v>
      </c>
      <c r="F144" s="1213"/>
      <c r="G144" s="1213"/>
      <c r="H144" s="1213"/>
      <c r="I144" s="1213"/>
      <c r="J144" s="1213"/>
      <c r="K144" s="1214"/>
    </row>
    <row r="145" spans="2:11" s="431" customFormat="1" ht="19.149999999999999" customHeight="1" x14ac:dyDescent="0.25">
      <c r="B145" s="97"/>
      <c r="C145" s="98" t="s">
        <v>1989</v>
      </c>
      <c r="D145" s="100" t="s">
        <v>2211</v>
      </c>
      <c r="E145" s="98" t="s">
        <v>2212</v>
      </c>
      <c r="F145" s="1193" t="s">
        <v>160</v>
      </c>
      <c r="G145" s="100" t="s">
        <v>1941</v>
      </c>
      <c r="H145" s="1112"/>
      <c r="I145" s="102"/>
      <c r="J145" s="1194">
        <f t="shared" si="2"/>
        <v>0</v>
      </c>
      <c r="K145" s="884"/>
    </row>
    <row r="146" spans="2:11" s="431" customFormat="1" ht="19.149999999999999" customHeight="1" x14ac:dyDescent="0.25">
      <c r="B146" s="97"/>
      <c r="C146" s="98" t="s">
        <v>1989</v>
      </c>
      <c r="D146" s="100" t="s">
        <v>2213</v>
      </c>
      <c r="E146" s="98" t="s">
        <v>2214</v>
      </c>
      <c r="F146" s="1193" t="s">
        <v>160</v>
      </c>
      <c r="G146" s="100" t="s">
        <v>1941</v>
      </c>
      <c r="H146" s="1112"/>
      <c r="I146" s="102"/>
      <c r="J146" s="1194">
        <f t="shared" si="2"/>
        <v>0</v>
      </c>
      <c r="K146" s="884"/>
    </row>
    <row r="147" spans="2:11" s="431" customFormat="1" ht="19.899999999999999" customHeight="1" x14ac:dyDescent="0.25">
      <c r="B147" s="1210"/>
      <c r="C147" s="1210" t="s">
        <v>1989</v>
      </c>
      <c r="D147" s="1211" t="s">
        <v>2215</v>
      </c>
      <c r="E147" s="1212" t="s">
        <v>2216</v>
      </c>
      <c r="F147" s="1213"/>
      <c r="G147" s="1213"/>
      <c r="H147" s="1213"/>
      <c r="I147" s="1213"/>
      <c r="J147" s="1213"/>
      <c r="K147" s="1214"/>
    </row>
    <row r="148" spans="2:11" s="431" customFormat="1" ht="19.149999999999999" customHeight="1" x14ac:dyDescent="0.25">
      <c r="B148" s="97"/>
      <c r="C148" s="98" t="s">
        <v>1989</v>
      </c>
      <c r="D148" s="100" t="s">
        <v>2217</v>
      </c>
      <c r="E148" s="98" t="s">
        <v>2218</v>
      </c>
      <c r="F148" s="1193" t="s">
        <v>160</v>
      </c>
      <c r="G148" s="100" t="s">
        <v>1941</v>
      </c>
      <c r="H148" s="1112"/>
      <c r="I148" s="102"/>
      <c r="J148" s="1194">
        <f t="shared" si="2"/>
        <v>0</v>
      </c>
      <c r="K148" s="884"/>
    </row>
    <row r="149" spans="2:11" s="431" customFormat="1" ht="19.149999999999999" customHeight="1" x14ac:dyDescent="0.25">
      <c r="B149" s="97"/>
      <c r="C149" s="98" t="s">
        <v>1989</v>
      </c>
      <c r="D149" s="100" t="s">
        <v>2219</v>
      </c>
      <c r="E149" s="98" t="s">
        <v>2220</v>
      </c>
      <c r="F149" s="1193" t="s">
        <v>160</v>
      </c>
      <c r="G149" s="100" t="s">
        <v>1941</v>
      </c>
      <c r="H149" s="1112"/>
      <c r="I149" s="102"/>
      <c r="J149" s="1194">
        <f t="shared" si="2"/>
        <v>0</v>
      </c>
      <c r="K149" s="884"/>
    </row>
    <row r="150" spans="2:11" s="431" customFormat="1" ht="19.149999999999999" customHeight="1" x14ac:dyDescent="0.25">
      <c r="B150" s="97"/>
      <c r="C150" s="98" t="s">
        <v>1989</v>
      </c>
      <c r="D150" s="100" t="s">
        <v>2221</v>
      </c>
      <c r="E150" s="98" t="s">
        <v>2222</v>
      </c>
      <c r="F150" s="1193" t="s">
        <v>160</v>
      </c>
      <c r="G150" s="100" t="s">
        <v>1941</v>
      </c>
      <c r="H150" s="1112"/>
      <c r="I150" s="102"/>
      <c r="J150" s="1194">
        <f t="shared" si="2"/>
        <v>0</v>
      </c>
      <c r="K150" s="884"/>
    </row>
    <row r="151" spans="2:11" s="431" customFormat="1" ht="19.149999999999999" customHeight="1" x14ac:dyDescent="0.25">
      <c r="B151" s="97"/>
      <c r="C151" s="98" t="s">
        <v>1989</v>
      </c>
      <c r="D151" s="100" t="s">
        <v>2223</v>
      </c>
      <c r="E151" s="98" t="s">
        <v>2224</v>
      </c>
      <c r="F151" s="1193" t="s">
        <v>160</v>
      </c>
      <c r="G151" s="100" t="s">
        <v>1941</v>
      </c>
      <c r="H151" s="1112"/>
      <c r="I151" s="102"/>
      <c r="J151" s="1194">
        <f t="shared" si="2"/>
        <v>0</v>
      </c>
      <c r="K151" s="884"/>
    </row>
    <row r="152" spans="2:11" s="431" customFormat="1" ht="19.899999999999999" customHeight="1" x14ac:dyDescent="0.25">
      <c r="B152" s="1092"/>
      <c r="C152" s="1092" t="s">
        <v>1989</v>
      </c>
      <c r="D152" s="1176" t="s">
        <v>2225</v>
      </c>
      <c r="E152" s="1208" t="s">
        <v>2226</v>
      </c>
      <c r="F152" s="1703"/>
      <c r="G152" s="1703"/>
      <c r="H152" s="1703"/>
      <c r="I152" s="1703"/>
      <c r="J152" s="1703"/>
      <c r="K152" s="1704"/>
    </row>
    <row r="153" spans="2:11" s="431" customFormat="1" ht="19.899999999999999" customHeight="1" x14ac:dyDescent="0.25">
      <c r="B153" s="1210"/>
      <c r="C153" s="1210" t="s">
        <v>1989</v>
      </c>
      <c r="D153" s="1211" t="s">
        <v>2227</v>
      </c>
      <c r="E153" s="1212" t="s">
        <v>2228</v>
      </c>
      <c r="F153" s="1213"/>
      <c r="G153" s="1213"/>
      <c r="H153" s="1213"/>
      <c r="I153" s="1213"/>
      <c r="J153" s="1213"/>
      <c r="K153" s="1214"/>
    </row>
    <row r="154" spans="2:11" s="431" customFormat="1" ht="19.149999999999999" customHeight="1" x14ac:dyDescent="0.25">
      <c r="B154" s="97"/>
      <c r="C154" s="98" t="s">
        <v>1989</v>
      </c>
      <c r="D154" s="100" t="s">
        <v>2229</v>
      </c>
      <c r="E154" s="901" t="s">
        <v>2230</v>
      </c>
      <c r="F154" s="1209" t="s">
        <v>160</v>
      </c>
      <c r="G154" s="900" t="s">
        <v>345</v>
      </c>
      <c r="H154" s="1106"/>
      <c r="I154" s="904"/>
      <c r="J154" s="1124">
        <f t="shared" ref="J154:J162" si="3">IF(F154="NA","",H154*I154)</f>
        <v>0</v>
      </c>
      <c r="K154" s="906"/>
    </row>
    <row r="155" spans="2:11" s="431" customFormat="1" ht="19.149999999999999" customHeight="1" x14ac:dyDescent="0.25">
      <c r="B155" s="97"/>
      <c r="C155" s="98" t="s">
        <v>1989</v>
      </c>
      <c r="D155" s="100" t="s">
        <v>2231</v>
      </c>
      <c r="E155" s="98" t="s">
        <v>2232</v>
      </c>
      <c r="F155" s="1193" t="s">
        <v>160</v>
      </c>
      <c r="G155" s="100" t="s">
        <v>345</v>
      </c>
      <c r="H155" s="1112"/>
      <c r="I155" s="102"/>
      <c r="J155" s="1194">
        <f t="shared" si="3"/>
        <v>0</v>
      </c>
      <c r="K155" s="884"/>
    </row>
    <row r="156" spans="2:11" s="431" customFormat="1" ht="19.899999999999999" customHeight="1" x14ac:dyDescent="0.25">
      <c r="B156" s="1210"/>
      <c r="C156" s="1210" t="s">
        <v>1989</v>
      </c>
      <c r="D156" s="1211" t="s">
        <v>2233</v>
      </c>
      <c r="E156" s="1212" t="s">
        <v>2234</v>
      </c>
      <c r="F156" s="1213"/>
      <c r="G156" s="1213"/>
      <c r="H156" s="1213"/>
      <c r="I156" s="1213"/>
      <c r="J156" s="1213"/>
      <c r="K156" s="1214"/>
    </row>
    <row r="157" spans="2:11" s="431" customFormat="1" ht="19.149999999999999" customHeight="1" x14ac:dyDescent="0.25">
      <c r="B157" s="97"/>
      <c r="C157" s="98" t="s">
        <v>1989</v>
      </c>
      <c r="D157" s="100" t="s">
        <v>2235</v>
      </c>
      <c r="E157" s="98" t="s">
        <v>2236</v>
      </c>
      <c r="F157" s="1193" t="s">
        <v>160</v>
      </c>
      <c r="G157" s="100" t="s">
        <v>345</v>
      </c>
      <c r="H157" s="1112"/>
      <c r="I157" s="102"/>
      <c r="J157" s="1194">
        <f t="shared" si="3"/>
        <v>0</v>
      </c>
      <c r="K157" s="884"/>
    </row>
    <row r="158" spans="2:11" s="431" customFormat="1" ht="19.149999999999999" customHeight="1" x14ac:dyDescent="0.25">
      <c r="B158" s="97"/>
      <c r="C158" s="98" t="s">
        <v>1989</v>
      </c>
      <c r="D158" s="100" t="s">
        <v>2237</v>
      </c>
      <c r="E158" s="98" t="s">
        <v>2238</v>
      </c>
      <c r="F158" s="1193" t="s">
        <v>160</v>
      </c>
      <c r="G158" s="100" t="s">
        <v>345</v>
      </c>
      <c r="H158" s="1112"/>
      <c r="I158" s="102"/>
      <c r="J158" s="1194">
        <f t="shared" si="3"/>
        <v>0</v>
      </c>
      <c r="K158" s="884"/>
    </row>
    <row r="159" spans="2:11" s="431" customFormat="1" ht="19.149999999999999" customHeight="1" x14ac:dyDescent="0.25">
      <c r="B159" s="97"/>
      <c r="C159" s="98" t="s">
        <v>1989</v>
      </c>
      <c r="D159" s="100" t="s">
        <v>2239</v>
      </c>
      <c r="E159" s="98" t="s">
        <v>2240</v>
      </c>
      <c r="F159" s="1193" t="s">
        <v>160</v>
      </c>
      <c r="G159" s="100" t="s">
        <v>345</v>
      </c>
      <c r="H159" s="1112"/>
      <c r="I159" s="102"/>
      <c r="J159" s="1194">
        <f t="shared" si="3"/>
        <v>0</v>
      </c>
      <c r="K159" s="884"/>
    </row>
    <row r="160" spans="2:11" s="431" customFormat="1" ht="19.149999999999999" customHeight="1" x14ac:dyDescent="0.25">
      <c r="B160" s="97"/>
      <c r="C160" s="98" t="s">
        <v>1989</v>
      </c>
      <c r="D160" s="100" t="s">
        <v>2241</v>
      </c>
      <c r="E160" s="98" t="s">
        <v>2242</v>
      </c>
      <c r="F160" s="1193" t="s">
        <v>160</v>
      </c>
      <c r="G160" s="100" t="s">
        <v>345</v>
      </c>
      <c r="H160" s="1112"/>
      <c r="I160" s="102"/>
      <c r="J160" s="1194">
        <f t="shared" si="3"/>
        <v>0</v>
      </c>
      <c r="K160" s="884"/>
    </row>
    <row r="161" spans="2:11" s="431" customFormat="1" ht="19.899999999999999" customHeight="1" x14ac:dyDescent="0.25">
      <c r="B161" s="1210"/>
      <c r="C161" s="1210" t="s">
        <v>1989</v>
      </c>
      <c r="D161" s="1211" t="s">
        <v>2243</v>
      </c>
      <c r="E161" s="1212" t="s">
        <v>2244</v>
      </c>
      <c r="F161" s="1213"/>
      <c r="G161" s="1213"/>
      <c r="H161" s="1213"/>
      <c r="I161" s="1213"/>
      <c r="J161" s="1213"/>
      <c r="K161" s="1214"/>
    </row>
    <row r="162" spans="2:11" s="431" customFormat="1" ht="19.149999999999999" customHeight="1" x14ac:dyDescent="0.25">
      <c r="B162" s="97"/>
      <c r="C162" s="98" t="s">
        <v>1989</v>
      </c>
      <c r="D162" s="100" t="s">
        <v>2245</v>
      </c>
      <c r="E162" s="98" t="s">
        <v>2246</v>
      </c>
      <c r="F162" s="1193" t="s">
        <v>160</v>
      </c>
      <c r="G162" s="100" t="s">
        <v>345</v>
      </c>
      <c r="H162" s="1112"/>
      <c r="I162" s="102"/>
      <c r="J162" s="1194">
        <f t="shared" si="3"/>
        <v>0</v>
      </c>
      <c r="K162" s="884"/>
    </row>
    <row r="163" spans="2:11" s="1206" customFormat="1" ht="15" customHeight="1" x14ac:dyDescent="0.25">
      <c r="B163" s="1699"/>
      <c r="C163" s="1701" t="s">
        <v>1989</v>
      </c>
      <c r="D163" s="1699" t="s">
        <v>2247</v>
      </c>
      <c r="E163" s="1699" t="s">
        <v>128</v>
      </c>
      <c r="F163" s="1502" t="s">
        <v>154</v>
      </c>
      <c r="G163" s="1503"/>
      <c r="H163" s="1503"/>
      <c r="I163" s="1504"/>
      <c r="J163" s="863">
        <f>SUMIF(F167:F236,"Mandatory",J167:J236)</f>
        <v>0</v>
      </c>
      <c r="K163" s="909"/>
    </row>
    <row r="164" spans="2:11" s="1206" customFormat="1" ht="15" customHeight="1" x14ac:dyDescent="0.25">
      <c r="B164" s="1700"/>
      <c r="C164" s="1702"/>
      <c r="D164" s="1700"/>
      <c r="E164" s="1700"/>
      <c r="F164" s="1502" t="s">
        <v>156</v>
      </c>
      <c r="G164" s="1503"/>
      <c r="H164" s="1503"/>
      <c r="I164" s="1504"/>
      <c r="J164" s="863">
        <f>SUMIF(F167:F236,"optional",J167:J236)</f>
        <v>0</v>
      </c>
      <c r="K164" s="909"/>
    </row>
    <row r="165" spans="2:11" s="431" customFormat="1" ht="19.899999999999999" customHeight="1" x14ac:dyDescent="0.25">
      <c r="B165" s="1092"/>
      <c r="C165" s="1092" t="s">
        <v>1989</v>
      </c>
      <c r="D165" s="1176" t="s">
        <v>2248</v>
      </c>
      <c r="E165" s="1208" t="s">
        <v>2249</v>
      </c>
      <c r="F165" s="1703"/>
      <c r="G165" s="1703"/>
      <c r="H165" s="1703"/>
      <c r="I165" s="1703"/>
      <c r="J165" s="1703"/>
      <c r="K165" s="1704"/>
    </row>
    <row r="166" spans="2:11" s="431" customFormat="1" ht="19.899999999999999" customHeight="1" x14ac:dyDescent="0.25">
      <c r="B166" s="1210"/>
      <c r="C166" s="1210" t="s">
        <v>1989</v>
      </c>
      <c r="D166" s="1211" t="s">
        <v>2250</v>
      </c>
      <c r="E166" s="1212" t="s">
        <v>2251</v>
      </c>
      <c r="F166" s="1213"/>
      <c r="G166" s="1213"/>
      <c r="H166" s="1213"/>
      <c r="I166" s="1213"/>
      <c r="J166" s="1213"/>
      <c r="K166" s="1214"/>
    </row>
    <row r="167" spans="2:11" s="431" customFormat="1" ht="19.149999999999999" customHeight="1" x14ac:dyDescent="0.25">
      <c r="B167" s="97"/>
      <c r="C167" s="98" t="s">
        <v>1989</v>
      </c>
      <c r="D167" s="100" t="s">
        <v>2252</v>
      </c>
      <c r="E167" s="98" t="s">
        <v>2253</v>
      </c>
      <c r="F167" s="1193" t="s">
        <v>160</v>
      </c>
      <c r="G167" s="100" t="s">
        <v>1941</v>
      </c>
      <c r="H167" s="1112"/>
      <c r="I167" s="102"/>
      <c r="J167" s="1194">
        <f t="shared" ref="J167:J187" si="4">IF(F167="NA","",H167*I167)</f>
        <v>0</v>
      </c>
      <c r="K167" s="884"/>
    </row>
    <row r="168" spans="2:11" s="431" customFormat="1" ht="19.149999999999999" customHeight="1" x14ac:dyDescent="0.25">
      <c r="B168" s="97"/>
      <c r="C168" s="98" t="s">
        <v>1989</v>
      </c>
      <c r="D168" s="100" t="s">
        <v>2254</v>
      </c>
      <c r="E168" s="98" t="s">
        <v>2255</v>
      </c>
      <c r="F168" s="1193" t="s">
        <v>160</v>
      </c>
      <c r="G168" s="100" t="s">
        <v>1941</v>
      </c>
      <c r="H168" s="1112"/>
      <c r="I168" s="102"/>
      <c r="J168" s="1194">
        <f t="shared" si="4"/>
        <v>0</v>
      </c>
      <c r="K168" s="884"/>
    </row>
    <row r="169" spans="2:11" s="431" customFormat="1" ht="19.149999999999999" customHeight="1" x14ac:dyDescent="0.25">
      <c r="B169" s="97"/>
      <c r="C169" s="98" t="s">
        <v>1989</v>
      </c>
      <c r="D169" s="100" t="s">
        <v>2256</v>
      </c>
      <c r="E169" s="98" t="s">
        <v>2257</v>
      </c>
      <c r="F169" s="1193" t="s">
        <v>160</v>
      </c>
      <c r="G169" s="100" t="s">
        <v>1941</v>
      </c>
      <c r="H169" s="1112"/>
      <c r="I169" s="102"/>
      <c r="J169" s="1194">
        <f t="shared" si="4"/>
        <v>0</v>
      </c>
      <c r="K169" s="884"/>
    </row>
    <row r="170" spans="2:11" s="431" customFormat="1" ht="19.149999999999999" customHeight="1" x14ac:dyDescent="0.25">
      <c r="B170" s="97"/>
      <c r="C170" s="98" t="s">
        <v>1989</v>
      </c>
      <c r="D170" s="100" t="s">
        <v>2258</v>
      </c>
      <c r="E170" s="98" t="s">
        <v>2259</v>
      </c>
      <c r="F170" s="1193" t="s">
        <v>160</v>
      </c>
      <c r="G170" s="100" t="s">
        <v>1941</v>
      </c>
      <c r="H170" s="1112"/>
      <c r="I170" s="102"/>
      <c r="J170" s="1194">
        <f t="shared" si="4"/>
        <v>0</v>
      </c>
      <c r="K170" s="884"/>
    </row>
    <row r="171" spans="2:11" s="431" customFormat="1" ht="19.149999999999999" customHeight="1" x14ac:dyDescent="0.25">
      <c r="B171" s="97"/>
      <c r="C171" s="98" t="s">
        <v>1989</v>
      </c>
      <c r="D171" s="100" t="s">
        <v>2260</v>
      </c>
      <c r="E171" s="98" t="s">
        <v>2261</v>
      </c>
      <c r="F171" s="1193" t="s">
        <v>160</v>
      </c>
      <c r="G171" s="100" t="s">
        <v>1941</v>
      </c>
      <c r="H171" s="1112"/>
      <c r="I171" s="102"/>
      <c r="J171" s="1194">
        <f t="shared" si="4"/>
        <v>0</v>
      </c>
      <c r="K171" s="884"/>
    </row>
    <row r="172" spans="2:11" s="431" customFormat="1" ht="19.149999999999999" customHeight="1" x14ac:dyDescent="0.25">
      <c r="B172" s="97"/>
      <c r="C172" s="98" t="s">
        <v>1989</v>
      </c>
      <c r="D172" s="100" t="s">
        <v>2262</v>
      </c>
      <c r="E172" s="98" t="s">
        <v>2263</v>
      </c>
      <c r="F172" s="1193" t="s">
        <v>160</v>
      </c>
      <c r="G172" s="100" t="s">
        <v>1941</v>
      </c>
      <c r="H172" s="1112"/>
      <c r="I172" s="102"/>
      <c r="J172" s="1194">
        <f t="shared" si="4"/>
        <v>0</v>
      </c>
      <c r="K172" s="884"/>
    </row>
    <row r="173" spans="2:11" s="431" customFormat="1" ht="19.149999999999999" customHeight="1" x14ac:dyDescent="0.25">
      <c r="B173" s="97"/>
      <c r="C173" s="98" t="s">
        <v>1989</v>
      </c>
      <c r="D173" s="100" t="s">
        <v>2264</v>
      </c>
      <c r="E173" s="98" t="s">
        <v>2265</v>
      </c>
      <c r="F173" s="1193" t="s">
        <v>160</v>
      </c>
      <c r="G173" s="100" t="s">
        <v>1941</v>
      </c>
      <c r="H173" s="1112"/>
      <c r="I173" s="102"/>
      <c r="J173" s="1194">
        <f t="shared" si="4"/>
        <v>0</v>
      </c>
      <c r="K173" s="884"/>
    </row>
    <row r="174" spans="2:11" s="431" customFormat="1" ht="19.149999999999999" customHeight="1" x14ac:dyDescent="0.25">
      <c r="B174" s="97"/>
      <c r="C174" s="98" t="s">
        <v>1989</v>
      </c>
      <c r="D174" s="100" t="s">
        <v>2266</v>
      </c>
      <c r="E174" s="98" t="s">
        <v>2267</v>
      </c>
      <c r="F174" s="1193" t="s">
        <v>160</v>
      </c>
      <c r="G174" s="100" t="s">
        <v>1941</v>
      </c>
      <c r="H174" s="1112"/>
      <c r="I174" s="102"/>
      <c r="J174" s="1194">
        <f t="shared" si="4"/>
        <v>0</v>
      </c>
      <c r="K174" s="884"/>
    </row>
    <row r="175" spans="2:11" s="431" customFormat="1" ht="19.149999999999999" customHeight="1" x14ac:dyDescent="0.25">
      <c r="B175" s="97"/>
      <c r="C175" s="98" t="s">
        <v>1989</v>
      </c>
      <c r="D175" s="100" t="s">
        <v>2268</v>
      </c>
      <c r="E175" s="98" t="s">
        <v>2269</v>
      </c>
      <c r="F175" s="1193" t="s">
        <v>160</v>
      </c>
      <c r="G175" s="100" t="s">
        <v>1941</v>
      </c>
      <c r="H175" s="1112"/>
      <c r="I175" s="102"/>
      <c r="J175" s="1194">
        <f t="shared" si="4"/>
        <v>0</v>
      </c>
      <c r="K175" s="884"/>
    </row>
    <row r="176" spans="2:11" s="431" customFormat="1" ht="19.149999999999999" customHeight="1" x14ac:dyDescent="0.25">
      <c r="B176" s="97"/>
      <c r="C176" s="98" t="s">
        <v>1989</v>
      </c>
      <c r="D176" s="100" t="s">
        <v>2270</v>
      </c>
      <c r="E176" s="98" t="s">
        <v>2271</v>
      </c>
      <c r="F176" s="1193" t="s">
        <v>160</v>
      </c>
      <c r="G176" s="100" t="s">
        <v>1941</v>
      </c>
      <c r="H176" s="1112"/>
      <c r="I176" s="102"/>
      <c r="J176" s="1194">
        <f t="shared" si="4"/>
        <v>0</v>
      </c>
      <c r="K176" s="884"/>
    </row>
    <row r="177" spans="2:11" s="431" customFormat="1" ht="19.149999999999999" customHeight="1" x14ac:dyDescent="0.25">
      <c r="B177" s="97"/>
      <c r="C177" s="98" t="s">
        <v>1989</v>
      </c>
      <c r="D177" s="100" t="s">
        <v>2272</v>
      </c>
      <c r="E177" s="98" t="s">
        <v>2273</v>
      </c>
      <c r="F177" s="1193" t="s">
        <v>160</v>
      </c>
      <c r="G177" s="100" t="s">
        <v>1941</v>
      </c>
      <c r="H177" s="1112"/>
      <c r="I177" s="102"/>
      <c r="J177" s="1194">
        <f t="shared" si="4"/>
        <v>0</v>
      </c>
      <c r="K177" s="884"/>
    </row>
    <row r="178" spans="2:11" s="431" customFormat="1" ht="19.149999999999999" customHeight="1" x14ac:dyDescent="0.25">
      <c r="B178" s="97"/>
      <c r="C178" s="98" t="s">
        <v>1989</v>
      </c>
      <c r="D178" s="100" t="s">
        <v>2274</v>
      </c>
      <c r="E178" s="98" t="s">
        <v>2275</v>
      </c>
      <c r="F178" s="1193" t="s">
        <v>160</v>
      </c>
      <c r="G178" s="100" t="s">
        <v>1941</v>
      </c>
      <c r="H178" s="1112"/>
      <c r="I178" s="102"/>
      <c r="J178" s="1194">
        <f t="shared" si="4"/>
        <v>0</v>
      </c>
      <c r="K178" s="884"/>
    </row>
    <row r="179" spans="2:11" s="431" customFormat="1" ht="19.149999999999999" customHeight="1" x14ac:dyDescent="0.25">
      <c r="B179" s="97"/>
      <c r="C179" s="98" t="s">
        <v>1989</v>
      </c>
      <c r="D179" s="100" t="s">
        <v>2276</v>
      </c>
      <c r="E179" s="98" t="s">
        <v>2277</v>
      </c>
      <c r="F179" s="1193" t="s">
        <v>160</v>
      </c>
      <c r="G179" s="100" t="s">
        <v>1941</v>
      </c>
      <c r="H179" s="1112"/>
      <c r="I179" s="102"/>
      <c r="J179" s="1194">
        <f t="shared" si="4"/>
        <v>0</v>
      </c>
      <c r="K179" s="884"/>
    </row>
    <row r="180" spans="2:11" s="431" customFormat="1" ht="19.149999999999999" customHeight="1" x14ac:dyDescent="0.25">
      <c r="B180" s="97"/>
      <c r="C180" s="98" t="s">
        <v>1989</v>
      </c>
      <c r="D180" s="100" t="s">
        <v>2278</v>
      </c>
      <c r="E180" s="98" t="s">
        <v>2279</v>
      </c>
      <c r="F180" s="1193" t="s">
        <v>160</v>
      </c>
      <c r="G180" s="100" t="s">
        <v>1941</v>
      </c>
      <c r="H180" s="1112"/>
      <c r="I180" s="102"/>
      <c r="J180" s="1194">
        <f t="shared" si="4"/>
        <v>0</v>
      </c>
      <c r="K180" s="884"/>
    </row>
    <row r="181" spans="2:11" s="431" customFormat="1" ht="19.149999999999999" customHeight="1" x14ac:dyDescent="0.25">
      <c r="B181" s="97"/>
      <c r="C181" s="98" t="s">
        <v>1989</v>
      </c>
      <c r="D181" s="100" t="s">
        <v>2280</v>
      </c>
      <c r="E181" s="98" t="s">
        <v>2281</v>
      </c>
      <c r="F181" s="1193" t="s">
        <v>160</v>
      </c>
      <c r="G181" s="100" t="s">
        <v>1941</v>
      </c>
      <c r="H181" s="1112"/>
      <c r="I181" s="102"/>
      <c r="J181" s="1194">
        <f t="shared" si="4"/>
        <v>0</v>
      </c>
      <c r="K181" s="884"/>
    </row>
    <row r="182" spans="2:11" s="431" customFormat="1" ht="19.149999999999999" customHeight="1" x14ac:dyDescent="0.25">
      <c r="B182" s="97"/>
      <c r="C182" s="98" t="s">
        <v>1989</v>
      </c>
      <c r="D182" s="100" t="s">
        <v>2282</v>
      </c>
      <c r="E182" s="98" t="s">
        <v>2283</v>
      </c>
      <c r="F182" s="1193" t="s">
        <v>160</v>
      </c>
      <c r="G182" s="100" t="s">
        <v>1941</v>
      </c>
      <c r="H182" s="1112"/>
      <c r="I182" s="102"/>
      <c r="J182" s="1194">
        <f t="shared" si="4"/>
        <v>0</v>
      </c>
      <c r="K182" s="884"/>
    </row>
    <row r="183" spans="2:11" s="431" customFormat="1" ht="19.149999999999999" customHeight="1" x14ac:dyDescent="0.25">
      <c r="B183" s="97"/>
      <c r="C183" s="98" t="s">
        <v>1989</v>
      </c>
      <c r="D183" s="100" t="s">
        <v>2284</v>
      </c>
      <c r="E183" s="98" t="s">
        <v>2285</v>
      </c>
      <c r="F183" s="1193" t="s">
        <v>160</v>
      </c>
      <c r="G183" s="100" t="s">
        <v>1941</v>
      </c>
      <c r="H183" s="1112"/>
      <c r="I183" s="102"/>
      <c r="J183" s="1194">
        <f t="shared" si="4"/>
        <v>0</v>
      </c>
      <c r="K183" s="884"/>
    </row>
    <row r="184" spans="2:11" s="431" customFormat="1" ht="19.149999999999999" customHeight="1" x14ac:dyDescent="0.25">
      <c r="B184" s="97"/>
      <c r="C184" s="98" t="s">
        <v>1989</v>
      </c>
      <c r="D184" s="100" t="s">
        <v>2286</v>
      </c>
      <c r="E184" s="98" t="s">
        <v>2287</v>
      </c>
      <c r="F184" s="1193" t="s">
        <v>160</v>
      </c>
      <c r="G184" s="100" t="s">
        <v>1941</v>
      </c>
      <c r="H184" s="1112"/>
      <c r="I184" s="102"/>
      <c r="J184" s="1194">
        <f t="shared" si="4"/>
        <v>0</v>
      </c>
      <c r="K184" s="884"/>
    </row>
    <row r="185" spans="2:11" s="431" customFormat="1" ht="19.149999999999999" customHeight="1" x14ac:dyDescent="0.25">
      <c r="B185" s="97"/>
      <c r="C185" s="98" t="s">
        <v>1989</v>
      </c>
      <c r="D185" s="100" t="s">
        <v>2288</v>
      </c>
      <c r="E185" s="98" t="s">
        <v>2289</v>
      </c>
      <c r="F185" s="1193" t="s">
        <v>160</v>
      </c>
      <c r="G185" s="100" t="s">
        <v>1941</v>
      </c>
      <c r="H185" s="1112"/>
      <c r="I185" s="102"/>
      <c r="J185" s="1194">
        <f t="shared" si="4"/>
        <v>0</v>
      </c>
      <c r="K185" s="884"/>
    </row>
    <row r="186" spans="2:11" s="431" customFormat="1" ht="19.149999999999999" customHeight="1" x14ac:dyDescent="0.25">
      <c r="B186" s="97"/>
      <c r="C186" s="98" t="s">
        <v>1989</v>
      </c>
      <c r="D186" s="100" t="s">
        <v>2290</v>
      </c>
      <c r="E186" s="98" t="s">
        <v>2291</v>
      </c>
      <c r="F186" s="1193" t="s">
        <v>160</v>
      </c>
      <c r="G186" s="100" t="s">
        <v>1941</v>
      </c>
      <c r="H186" s="1112"/>
      <c r="I186" s="102"/>
      <c r="J186" s="1194">
        <f t="shared" si="4"/>
        <v>0</v>
      </c>
      <c r="K186" s="884"/>
    </row>
    <row r="187" spans="2:11" s="431" customFormat="1" ht="19.149999999999999" customHeight="1" x14ac:dyDescent="0.25">
      <c r="B187" s="97"/>
      <c r="C187" s="98" t="s">
        <v>1989</v>
      </c>
      <c r="D187" s="100" t="s">
        <v>2292</v>
      </c>
      <c r="E187" s="98" t="s">
        <v>2293</v>
      </c>
      <c r="F187" s="1193" t="s">
        <v>160</v>
      </c>
      <c r="G187" s="100" t="s">
        <v>1941</v>
      </c>
      <c r="H187" s="1112"/>
      <c r="I187" s="102"/>
      <c r="J187" s="1194">
        <f t="shared" si="4"/>
        <v>0</v>
      </c>
      <c r="K187" s="884"/>
    </row>
    <row r="188" spans="2:11" s="431" customFormat="1" ht="19.899999999999999" customHeight="1" x14ac:dyDescent="0.25">
      <c r="B188" s="1210"/>
      <c r="C188" s="1210" t="s">
        <v>1989</v>
      </c>
      <c r="D188" s="1211" t="s">
        <v>2294</v>
      </c>
      <c r="E188" s="1212" t="s">
        <v>2295</v>
      </c>
      <c r="F188" s="1213"/>
      <c r="G188" s="1213"/>
      <c r="H188" s="1213"/>
      <c r="I188" s="1213"/>
      <c r="J188" s="1213"/>
      <c r="K188" s="1214"/>
    </row>
    <row r="189" spans="2:11" s="431" customFormat="1" ht="19.149999999999999" customHeight="1" x14ac:dyDescent="0.25">
      <c r="B189" s="97"/>
      <c r="C189" s="98" t="s">
        <v>1989</v>
      </c>
      <c r="D189" s="100" t="s">
        <v>2296</v>
      </c>
      <c r="E189" s="98" t="s">
        <v>2297</v>
      </c>
      <c r="F189" s="1193" t="s">
        <v>160</v>
      </c>
      <c r="G189" s="100" t="s">
        <v>1941</v>
      </c>
      <c r="H189" s="1112"/>
      <c r="I189" s="102"/>
      <c r="J189" s="1194">
        <f t="shared" ref="J189:J209" si="5">IF(F189="NA","",H189*I189)</f>
        <v>0</v>
      </c>
      <c r="K189" s="884"/>
    </row>
    <row r="190" spans="2:11" s="431" customFormat="1" ht="19.149999999999999" customHeight="1" x14ac:dyDescent="0.25">
      <c r="B190" s="97"/>
      <c r="C190" s="98" t="s">
        <v>1989</v>
      </c>
      <c r="D190" s="100" t="s">
        <v>2298</v>
      </c>
      <c r="E190" s="98" t="s">
        <v>2299</v>
      </c>
      <c r="F190" s="1193" t="s">
        <v>160</v>
      </c>
      <c r="G190" s="100" t="s">
        <v>1941</v>
      </c>
      <c r="H190" s="1112"/>
      <c r="I190" s="102"/>
      <c r="J190" s="1194">
        <f t="shared" si="5"/>
        <v>0</v>
      </c>
      <c r="K190" s="884"/>
    </row>
    <row r="191" spans="2:11" s="431" customFormat="1" ht="19.149999999999999" customHeight="1" x14ac:dyDescent="0.25">
      <c r="B191" s="97"/>
      <c r="C191" s="98" t="s">
        <v>1989</v>
      </c>
      <c r="D191" s="100" t="s">
        <v>2300</v>
      </c>
      <c r="E191" s="98" t="s">
        <v>2301</v>
      </c>
      <c r="F191" s="1193" t="s">
        <v>160</v>
      </c>
      <c r="G191" s="100" t="s">
        <v>1941</v>
      </c>
      <c r="H191" s="1112"/>
      <c r="I191" s="102"/>
      <c r="J191" s="1194">
        <f t="shared" si="5"/>
        <v>0</v>
      </c>
      <c r="K191" s="884"/>
    </row>
    <row r="192" spans="2:11" s="431" customFormat="1" ht="19.149999999999999" customHeight="1" x14ac:dyDescent="0.25">
      <c r="B192" s="97"/>
      <c r="C192" s="98" t="s">
        <v>1989</v>
      </c>
      <c r="D192" s="100" t="s">
        <v>2302</v>
      </c>
      <c r="E192" s="98" t="s">
        <v>2303</v>
      </c>
      <c r="F192" s="1193" t="s">
        <v>160</v>
      </c>
      <c r="G192" s="100" t="s">
        <v>1941</v>
      </c>
      <c r="H192" s="1112"/>
      <c r="I192" s="102"/>
      <c r="J192" s="1194">
        <f t="shared" si="5"/>
        <v>0</v>
      </c>
      <c r="K192" s="884"/>
    </row>
    <row r="193" spans="2:11" s="431" customFormat="1" ht="19.149999999999999" customHeight="1" x14ac:dyDescent="0.25">
      <c r="B193" s="97"/>
      <c r="C193" s="98" t="s">
        <v>1989</v>
      </c>
      <c r="D193" s="100" t="s">
        <v>2304</v>
      </c>
      <c r="E193" s="98" t="s">
        <v>2305</v>
      </c>
      <c r="F193" s="1193" t="s">
        <v>160</v>
      </c>
      <c r="G193" s="100" t="s">
        <v>1941</v>
      </c>
      <c r="H193" s="1112"/>
      <c r="I193" s="102"/>
      <c r="J193" s="1194">
        <f t="shared" si="5"/>
        <v>0</v>
      </c>
      <c r="K193" s="884"/>
    </row>
    <row r="194" spans="2:11" s="431" customFormat="1" ht="19.149999999999999" customHeight="1" x14ac:dyDescent="0.25">
      <c r="B194" s="97"/>
      <c r="C194" s="98" t="s">
        <v>1989</v>
      </c>
      <c r="D194" s="100" t="s">
        <v>2306</v>
      </c>
      <c r="E194" s="98" t="s">
        <v>2307</v>
      </c>
      <c r="F194" s="1193" t="s">
        <v>160</v>
      </c>
      <c r="G194" s="100" t="s">
        <v>1941</v>
      </c>
      <c r="H194" s="1112"/>
      <c r="I194" s="102"/>
      <c r="J194" s="1194">
        <f t="shared" si="5"/>
        <v>0</v>
      </c>
      <c r="K194" s="884"/>
    </row>
    <row r="195" spans="2:11" s="431" customFormat="1" ht="19.149999999999999" customHeight="1" x14ac:dyDescent="0.25">
      <c r="B195" s="97"/>
      <c r="C195" s="98" t="s">
        <v>1989</v>
      </c>
      <c r="D195" s="100" t="s">
        <v>2308</v>
      </c>
      <c r="E195" s="98" t="s">
        <v>2309</v>
      </c>
      <c r="F195" s="1193" t="s">
        <v>160</v>
      </c>
      <c r="G195" s="100" t="s">
        <v>1941</v>
      </c>
      <c r="H195" s="1112"/>
      <c r="I195" s="102"/>
      <c r="J195" s="1194">
        <f t="shared" si="5"/>
        <v>0</v>
      </c>
      <c r="K195" s="884"/>
    </row>
    <row r="196" spans="2:11" s="431" customFormat="1" ht="19.149999999999999" customHeight="1" x14ac:dyDescent="0.25">
      <c r="B196" s="97"/>
      <c r="C196" s="98" t="s">
        <v>1989</v>
      </c>
      <c r="D196" s="100" t="s">
        <v>2310</v>
      </c>
      <c r="E196" s="98" t="s">
        <v>2311</v>
      </c>
      <c r="F196" s="1193" t="s">
        <v>160</v>
      </c>
      <c r="G196" s="100" t="s">
        <v>1941</v>
      </c>
      <c r="H196" s="1112"/>
      <c r="I196" s="102"/>
      <c r="J196" s="1194">
        <f t="shared" si="5"/>
        <v>0</v>
      </c>
      <c r="K196" s="884"/>
    </row>
    <row r="197" spans="2:11" s="431" customFormat="1" ht="19.149999999999999" customHeight="1" x14ac:dyDescent="0.25">
      <c r="B197" s="97"/>
      <c r="C197" s="98" t="s">
        <v>1989</v>
      </c>
      <c r="D197" s="100" t="s">
        <v>2312</v>
      </c>
      <c r="E197" s="98" t="s">
        <v>2313</v>
      </c>
      <c r="F197" s="1193" t="s">
        <v>160</v>
      </c>
      <c r="G197" s="100" t="s">
        <v>1941</v>
      </c>
      <c r="H197" s="1112"/>
      <c r="I197" s="102"/>
      <c r="J197" s="1194">
        <f t="shared" si="5"/>
        <v>0</v>
      </c>
      <c r="K197" s="884"/>
    </row>
    <row r="198" spans="2:11" s="431" customFormat="1" ht="19.149999999999999" customHeight="1" x14ac:dyDescent="0.25">
      <c r="B198" s="97"/>
      <c r="C198" s="98" t="s">
        <v>1989</v>
      </c>
      <c r="D198" s="100" t="s">
        <v>2314</v>
      </c>
      <c r="E198" s="98" t="s">
        <v>2315</v>
      </c>
      <c r="F198" s="1193" t="s">
        <v>160</v>
      </c>
      <c r="G198" s="100" t="s">
        <v>1941</v>
      </c>
      <c r="H198" s="1112"/>
      <c r="I198" s="102"/>
      <c r="J198" s="1194">
        <f t="shared" si="5"/>
        <v>0</v>
      </c>
      <c r="K198" s="884"/>
    </row>
    <row r="199" spans="2:11" s="431" customFormat="1" ht="19.149999999999999" customHeight="1" x14ac:dyDescent="0.25">
      <c r="B199" s="97"/>
      <c r="C199" s="98" t="s">
        <v>1989</v>
      </c>
      <c r="D199" s="100" t="s">
        <v>2316</v>
      </c>
      <c r="E199" s="98" t="s">
        <v>2317</v>
      </c>
      <c r="F199" s="1193" t="s">
        <v>160</v>
      </c>
      <c r="G199" s="100" t="s">
        <v>1941</v>
      </c>
      <c r="H199" s="1112"/>
      <c r="I199" s="102"/>
      <c r="J199" s="1194">
        <f t="shared" si="5"/>
        <v>0</v>
      </c>
      <c r="K199" s="884"/>
    </row>
    <row r="200" spans="2:11" s="431" customFormat="1" ht="19.149999999999999" customHeight="1" x14ac:dyDescent="0.25">
      <c r="B200" s="97"/>
      <c r="C200" s="98" t="s">
        <v>1989</v>
      </c>
      <c r="D200" s="100" t="s">
        <v>2318</v>
      </c>
      <c r="E200" s="98" t="s">
        <v>2319</v>
      </c>
      <c r="F200" s="1193" t="s">
        <v>160</v>
      </c>
      <c r="G200" s="100" t="s">
        <v>1941</v>
      </c>
      <c r="H200" s="1112"/>
      <c r="I200" s="102"/>
      <c r="J200" s="1194">
        <f t="shared" si="5"/>
        <v>0</v>
      </c>
      <c r="K200" s="884"/>
    </row>
    <row r="201" spans="2:11" s="431" customFormat="1" ht="19.149999999999999" customHeight="1" x14ac:dyDescent="0.25">
      <c r="B201" s="97"/>
      <c r="C201" s="98" t="s">
        <v>1989</v>
      </c>
      <c r="D201" s="100" t="s">
        <v>2320</v>
      </c>
      <c r="E201" s="98" t="s">
        <v>2321</v>
      </c>
      <c r="F201" s="1193" t="s">
        <v>160</v>
      </c>
      <c r="G201" s="100" t="s">
        <v>1941</v>
      </c>
      <c r="H201" s="1112"/>
      <c r="I201" s="102"/>
      <c r="J201" s="1194">
        <f t="shared" si="5"/>
        <v>0</v>
      </c>
      <c r="K201" s="884"/>
    </row>
    <row r="202" spans="2:11" s="431" customFormat="1" ht="19.149999999999999" customHeight="1" x14ac:dyDescent="0.25">
      <c r="B202" s="97"/>
      <c r="C202" s="98" t="s">
        <v>1989</v>
      </c>
      <c r="D202" s="100" t="s">
        <v>2322</v>
      </c>
      <c r="E202" s="98" t="s">
        <v>2323</v>
      </c>
      <c r="F202" s="1193" t="s">
        <v>160</v>
      </c>
      <c r="G202" s="100" t="s">
        <v>1941</v>
      </c>
      <c r="H202" s="1112"/>
      <c r="I202" s="102"/>
      <c r="J202" s="1194">
        <f t="shared" si="5"/>
        <v>0</v>
      </c>
      <c r="K202" s="884"/>
    </row>
    <row r="203" spans="2:11" s="431" customFormat="1" ht="19.149999999999999" customHeight="1" x14ac:dyDescent="0.25">
      <c r="B203" s="97"/>
      <c r="C203" s="98" t="s">
        <v>1989</v>
      </c>
      <c r="D203" s="100" t="s">
        <v>2324</v>
      </c>
      <c r="E203" s="98" t="s">
        <v>2325</v>
      </c>
      <c r="F203" s="1193" t="s">
        <v>160</v>
      </c>
      <c r="G203" s="100" t="s">
        <v>1941</v>
      </c>
      <c r="H203" s="1112"/>
      <c r="I203" s="102"/>
      <c r="J203" s="1194">
        <f t="shared" si="5"/>
        <v>0</v>
      </c>
      <c r="K203" s="884"/>
    </row>
    <row r="204" spans="2:11" s="431" customFormat="1" ht="19.149999999999999" customHeight="1" x14ac:dyDescent="0.25">
      <c r="B204" s="97"/>
      <c r="C204" s="98" t="s">
        <v>1989</v>
      </c>
      <c r="D204" s="100" t="s">
        <v>2326</v>
      </c>
      <c r="E204" s="98" t="s">
        <v>2327</v>
      </c>
      <c r="F204" s="1193" t="s">
        <v>160</v>
      </c>
      <c r="G204" s="100" t="s">
        <v>1941</v>
      </c>
      <c r="H204" s="1112"/>
      <c r="I204" s="102"/>
      <c r="J204" s="1194">
        <f t="shared" si="5"/>
        <v>0</v>
      </c>
      <c r="K204" s="884"/>
    </row>
    <row r="205" spans="2:11" s="431" customFormat="1" ht="19.149999999999999" customHeight="1" x14ac:dyDescent="0.25">
      <c r="B205" s="97"/>
      <c r="C205" s="98" t="s">
        <v>1989</v>
      </c>
      <c r="D205" s="100" t="s">
        <v>2328</v>
      </c>
      <c r="E205" s="98" t="s">
        <v>2329</v>
      </c>
      <c r="F205" s="1193" t="s">
        <v>160</v>
      </c>
      <c r="G205" s="100" t="s">
        <v>1941</v>
      </c>
      <c r="H205" s="1112"/>
      <c r="I205" s="102"/>
      <c r="J205" s="1194">
        <f t="shared" si="5"/>
        <v>0</v>
      </c>
      <c r="K205" s="884"/>
    </row>
    <row r="206" spans="2:11" s="431" customFormat="1" ht="19.149999999999999" customHeight="1" x14ac:dyDescent="0.25">
      <c r="B206" s="97"/>
      <c r="C206" s="98" t="s">
        <v>1989</v>
      </c>
      <c r="D206" s="100" t="s">
        <v>2330</v>
      </c>
      <c r="E206" s="98" t="s">
        <v>2331</v>
      </c>
      <c r="F206" s="1193" t="s">
        <v>160</v>
      </c>
      <c r="G206" s="100" t="s">
        <v>1941</v>
      </c>
      <c r="H206" s="1112"/>
      <c r="I206" s="102"/>
      <c r="J206" s="1194">
        <f t="shared" si="5"/>
        <v>0</v>
      </c>
      <c r="K206" s="884"/>
    </row>
    <row r="207" spans="2:11" s="431" customFormat="1" ht="19.149999999999999" customHeight="1" x14ac:dyDescent="0.25">
      <c r="B207" s="97"/>
      <c r="C207" s="98" t="s">
        <v>1989</v>
      </c>
      <c r="D207" s="100" t="s">
        <v>2332</v>
      </c>
      <c r="E207" s="98" t="s">
        <v>2333</v>
      </c>
      <c r="F207" s="1193" t="s">
        <v>160</v>
      </c>
      <c r="G207" s="100" t="s">
        <v>1941</v>
      </c>
      <c r="H207" s="1112"/>
      <c r="I207" s="102"/>
      <c r="J207" s="1194">
        <f t="shared" si="5"/>
        <v>0</v>
      </c>
      <c r="K207" s="884"/>
    </row>
    <row r="208" spans="2:11" s="431" customFormat="1" ht="19.149999999999999" customHeight="1" x14ac:dyDescent="0.25">
      <c r="B208" s="97"/>
      <c r="C208" s="98" t="s">
        <v>1989</v>
      </c>
      <c r="D208" s="100" t="s">
        <v>2334</v>
      </c>
      <c r="E208" s="98" t="s">
        <v>2335</v>
      </c>
      <c r="F208" s="1193" t="s">
        <v>160</v>
      </c>
      <c r="G208" s="100" t="s">
        <v>1941</v>
      </c>
      <c r="H208" s="1112"/>
      <c r="I208" s="102"/>
      <c r="J208" s="1194">
        <f t="shared" si="5"/>
        <v>0</v>
      </c>
      <c r="K208" s="884"/>
    </row>
    <row r="209" spans="2:11" s="431" customFormat="1" ht="19.149999999999999" customHeight="1" x14ac:dyDescent="0.25">
      <c r="B209" s="97"/>
      <c r="C209" s="98" t="s">
        <v>1989</v>
      </c>
      <c r="D209" s="100" t="s">
        <v>2336</v>
      </c>
      <c r="E209" s="98" t="s">
        <v>2337</v>
      </c>
      <c r="F209" s="1193" t="s">
        <v>160</v>
      </c>
      <c r="G209" s="100" t="s">
        <v>1941</v>
      </c>
      <c r="H209" s="1112"/>
      <c r="I209" s="102"/>
      <c r="J209" s="1194">
        <f t="shared" si="5"/>
        <v>0</v>
      </c>
      <c r="K209" s="884"/>
    </row>
    <row r="210" spans="2:11" s="431" customFormat="1" ht="19.899999999999999" customHeight="1" x14ac:dyDescent="0.25">
      <c r="B210" s="1092"/>
      <c r="C210" s="1092" t="s">
        <v>1989</v>
      </c>
      <c r="D210" s="1176" t="s">
        <v>2338</v>
      </c>
      <c r="E210" s="1208" t="s">
        <v>2339</v>
      </c>
      <c r="F210" s="1703"/>
      <c r="G210" s="1703"/>
      <c r="H210" s="1703"/>
      <c r="I210" s="1703"/>
      <c r="J210" s="1703"/>
      <c r="K210" s="1704"/>
    </row>
    <row r="211" spans="2:11" s="431" customFormat="1" ht="19.149999999999999" customHeight="1" x14ac:dyDescent="0.25">
      <c r="B211" s="97"/>
      <c r="C211" s="98" t="s">
        <v>1989</v>
      </c>
      <c r="D211" s="100" t="s">
        <v>2340</v>
      </c>
      <c r="E211" s="98" t="s">
        <v>2341</v>
      </c>
      <c r="F211" s="1193" t="s">
        <v>160</v>
      </c>
      <c r="G211" s="100" t="s">
        <v>1941</v>
      </c>
      <c r="H211" s="1112"/>
      <c r="I211" s="102"/>
      <c r="J211" s="1194">
        <f t="shared" ref="J211:J222" si="6">IF(F211="NA","",H211*I211)</f>
        <v>0</v>
      </c>
      <c r="K211" s="884"/>
    </row>
    <row r="212" spans="2:11" s="431" customFormat="1" ht="19.149999999999999" customHeight="1" x14ac:dyDescent="0.25">
      <c r="B212" s="97"/>
      <c r="C212" s="98" t="s">
        <v>1989</v>
      </c>
      <c r="D212" s="100" t="s">
        <v>2342</v>
      </c>
      <c r="E212" s="98" t="s">
        <v>2343</v>
      </c>
      <c r="F212" s="1193" t="s">
        <v>160</v>
      </c>
      <c r="G212" s="100" t="s">
        <v>1941</v>
      </c>
      <c r="H212" s="1112"/>
      <c r="I212" s="102"/>
      <c r="J212" s="1194">
        <f t="shared" si="6"/>
        <v>0</v>
      </c>
      <c r="K212" s="884"/>
    </row>
    <row r="213" spans="2:11" s="431" customFormat="1" ht="19.149999999999999" customHeight="1" x14ac:dyDescent="0.25">
      <c r="B213" s="97"/>
      <c r="C213" s="98" t="s">
        <v>1989</v>
      </c>
      <c r="D213" s="100" t="s">
        <v>2344</v>
      </c>
      <c r="E213" s="98" t="s">
        <v>2345</v>
      </c>
      <c r="F213" s="1193" t="s">
        <v>160</v>
      </c>
      <c r="G213" s="100" t="s">
        <v>1941</v>
      </c>
      <c r="H213" s="1112"/>
      <c r="I213" s="102"/>
      <c r="J213" s="1194">
        <f t="shared" si="6"/>
        <v>0</v>
      </c>
      <c r="K213" s="884"/>
    </row>
    <row r="214" spans="2:11" s="431" customFormat="1" ht="19.149999999999999" customHeight="1" x14ac:dyDescent="0.25">
      <c r="B214" s="97"/>
      <c r="C214" s="98" t="s">
        <v>1989</v>
      </c>
      <c r="D214" s="100" t="s">
        <v>2346</v>
      </c>
      <c r="E214" s="98" t="s">
        <v>2347</v>
      </c>
      <c r="F214" s="1193" t="s">
        <v>160</v>
      </c>
      <c r="G214" s="100" t="s">
        <v>1941</v>
      </c>
      <c r="H214" s="1112"/>
      <c r="I214" s="102"/>
      <c r="J214" s="1194">
        <f t="shared" si="6"/>
        <v>0</v>
      </c>
      <c r="K214" s="884"/>
    </row>
    <row r="215" spans="2:11" s="431" customFormat="1" ht="19.149999999999999" customHeight="1" x14ac:dyDescent="0.25">
      <c r="B215" s="97"/>
      <c r="C215" s="98" t="s">
        <v>1989</v>
      </c>
      <c r="D215" s="100" t="s">
        <v>2348</v>
      </c>
      <c r="E215" s="98" t="s">
        <v>2349</v>
      </c>
      <c r="F215" s="1193" t="s">
        <v>160</v>
      </c>
      <c r="G215" s="100" t="s">
        <v>1941</v>
      </c>
      <c r="H215" s="1112"/>
      <c r="I215" s="102"/>
      <c r="J215" s="1194">
        <f t="shared" si="6"/>
        <v>0</v>
      </c>
      <c r="K215" s="884"/>
    </row>
    <row r="216" spans="2:11" s="431" customFormat="1" ht="19.149999999999999" customHeight="1" x14ac:dyDescent="0.25">
      <c r="B216" s="97"/>
      <c r="C216" s="98" t="s">
        <v>1989</v>
      </c>
      <c r="D216" s="100" t="s">
        <v>2350</v>
      </c>
      <c r="E216" s="98" t="s">
        <v>2351</v>
      </c>
      <c r="F216" s="1193" t="s">
        <v>160</v>
      </c>
      <c r="G216" s="100" t="s">
        <v>1941</v>
      </c>
      <c r="H216" s="1112"/>
      <c r="I216" s="102"/>
      <c r="J216" s="1194">
        <f t="shared" si="6"/>
        <v>0</v>
      </c>
      <c r="K216" s="884"/>
    </row>
    <row r="217" spans="2:11" s="431" customFormat="1" ht="19.149999999999999" customHeight="1" x14ac:dyDescent="0.25">
      <c r="B217" s="97"/>
      <c r="C217" s="98" t="s">
        <v>1989</v>
      </c>
      <c r="D217" s="100" t="s">
        <v>2352</v>
      </c>
      <c r="E217" s="98" t="s">
        <v>2353</v>
      </c>
      <c r="F217" s="1193" t="s">
        <v>160</v>
      </c>
      <c r="G217" s="100" t="s">
        <v>1941</v>
      </c>
      <c r="H217" s="1112"/>
      <c r="I217" s="102"/>
      <c r="J217" s="1194">
        <f t="shared" si="6"/>
        <v>0</v>
      </c>
      <c r="K217" s="884"/>
    </row>
    <row r="218" spans="2:11" s="431" customFormat="1" ht="19.149999999999999" customHeight="1" x14ac:dyDescent="0.25">
      <c r="B218" s="97"/>
      <c r="C218" s="98" t="s">
        <v>1989</v>
      </c>
      <c r="D218" s="100" t="s">
        <v>2354</v>
      </c>
      <c r="E218" s="98" t="s">
        <v>2355</v>
      </c>
      <c r="F218" s="1193" t="s">
        <v>160</v>
      </c>
      <c r="G218" s="100" t="s">
        <v>1941</v>
      </c>
      <c r="H218" s="1112"/>
      <c r="I218" s="102"/>
      <c r="J218" s="1194">
        <f t="shared" si="6"/>
        <v>0</v>
      </c>
      <c r="K218" s="884"/>
    </row>
    <row r="219" spans="2:11" s="431" customFormat="1" ht="19.149999999999999" customHeight="1" x14ac:dyDescent="0.25">
      <c r="B219" s="97"/>
      <c r="C219" s="98" t="s">
        <v>1989</v>
      </c>
      <c r="D219" s="100" t="s">
        <v>2356</v>
      </c>
      <c r="E219" s="98" t="s">
        <v>2357</v>
      </c>
      <c r="F219" s="1193" t="s">
        <v>160</v>
      </c>
      <c r="G219" s="100" t="s">
        <v>1941</v>
      </c>
      <c r="H219" s="1112"/>
      <c r="I219" s="102"/>
      <c r="J219" s="1194">
        <f t="shared" si="6"/>
        <v>0</v>
      </c>
      <c r="K219" s="884"/>
    </row>
    <row r="220" spans="2:11" s="431" customFormat="1" ht="19.149999999999999" customHeight="1" x14ac:dyDescent="0.25">
      <c r="B220" s="97"/>
      <c r="C220" s="98" t="s">
        <v>1989</v>
      </c>
      <c r="D220" s="100" t="s">
        <v>2358</v>
      </c>
      <c r="E220" s="98" t="s">
        <v>2359</v>
      </c>
      <c r="F220" s="1193" t="s">
        <v>160</v>
      </c>
      <c r="G220" s="100" t="s">
        <v>1941</v>
      </c>
      <c r="H220" s="1112"/>
      <c r="I220" s="102"/>
      <c r="J220" s="1194">
        <f t="shared" si="6"/>
        <v>0</v>
      </c>
      <c r="K220" s="884"/>
    </row>
    <row r="221" spans="2:11" s="431" customFormat="1" ht="19.149999999999999" customHeight="1" x14ac:dyDescent="0.25">
      <c r="B221" s="97"/>
      <c r="C221" s="98" t="s">
        <v>1989</v>
      </c>
      <c r="D221" s="100" t="s">
        <v>2360</v>
      </c>
      <c r="E221" s="98" t="s">
        <v>2361</v>
      </c>
      <c r="F221" s="1193" t="s">
        <v>160</v>
      </c>
      <c r="G221" s="100" t="s">
        <v>1941</v>
      </c>
      <c r="H221" s="1112"/>
      <c r="I221" s="102"/>
      <c r="J221" s="1194">
        <f t="shared" si="6"/>
        <v>0</v>
      </c>
      <c r="K221" s="884"/>
    </row>
    <row r="222" spans="2:11" s="431" customFormat="1" ht="19.149999999999999" customHeight="1" x14ac:dyDescent="0.25">
      <c r="B222" s="97"/>
      <c r="C222" s="98" t="s">
        <v>1989</v>
      </c>
      <c r="D222" s="100" t="s">
        <v>2362</v>
      </c>
      <c r="E222" s="98" t="s">
        <v>2363</v>
      </c>
      <c r="F222" s="1193" t="s">
        <v>160</v>
      </c>
      <c r="G222" s="100" t="s">
        <v>1941</v>
      </c>
      <c r="H222" s="1112"/>
      <c r="I222" s="102"/>
      <c r="J222" s="1194">
        <f t="shared" si="6"/>
        <v>0</v>
      </c>
      <c r="K222" s="884"/>
    </row>
    <row r="223" spans="2:11" s="431" customFormat="1" ht="19.899999999999999" customHeight="1" x14ac:dyDescent="0.25">
      <c r="B223" s="1092"/>
      <c r="C223" s="1092" t="s">
        <v>1989</v>
      </c>
      <c r="D223" s="1176" t="s">
        <v>2364</v>
      </c>
      <c r="E223" s="1208" t="s">
        <v>2365</v>
      </c>
      <c r="F223" s="1703"/>
      <c r="G223" s="1703"/>
      <c r="H223" s="1703"/>
      <c r="I223" s="1703"/>
      <c r="J223" s="1703"/>
      <c r="K223" s="1704"/>
    </row>
    <row r="224" spans="2:11" s="431" customFormat="1" ht="19.149999999999999" customHeight="1" x14ac:dyDescent="0.25">
      <c r="B224" s="97"/>
      <c r="C224" s="98" t="s">
        <v>1989</v>
      </c>
      <c r="D224" s="100" t="s">
        <v>2366</v>
      </c>
      <c r="E224" s="98" t="s">
        <v>2367</v>
      </c>
      <c r="F224" s="1193" t="s">
        <v>160</v>
      </c>
      <c r="G224" s="100" t="s">
        <v>1941</v>
      </c>
      <c r="H224" s="1112"/>
      <c r="I224" s="102"/>
      <c r="J224" s="1194">
        <f t="shared" ref="J224:J236" si="7">IF(F224="NA","",H224*I224)</f>
        <v>0</v>
      </c>
      <c r="K224" s="884"/>
    </row>
    <row r="225" spans="2:11" s="431" customFormat="1" ht="19.149999999999999" customHeight="1" x14ac:dyDescent="0.25">
      <c r="B225" s="97"/>
      <c r="C225" s="98" t="s">
        <v>1989</v>
      </c>
      <c r="D225" s="100" t="s">
        <v>2368</v>
      </c>
      <c r="E225" s="98" t="s">
        <v>2369</v>
      </c>
      <c r="F225" s="1193" t="s">
        <v>160</v>
      </c>
      <c r="G225" s="100" t="s">
        <v>1941</v>
      </c>
      <c r="H225" s="1112"/>
      <c r="I225" s="102"/>
      <c r="J225" s="1194">
        <f t="shared" si="7"/>
        <v>0</v>
      </c>
      <c r="K225" s="884"/>
    </row>
    <row r="226" spans="2:11" s="431" customFormat="1" ht="19.149999999999999" customHeight="1" x14ac:dyDescent="0.25">
      <c r="B226" s="97"/>
      <c r="C226" s="98" t="s">
        <v>1989</v>
      </c>
      <c r="D226" s="100" t="s">
        <v>2370</v>
      </c>
      <c r="E226" s="98" t="s">
        <v>2371</v>
      </c>
      <c r="F226" s="1193" t="s">
        <v>160</v>
      </c>
      <c r="G226" s="100" t="s">
        <v>1941</v>
      </c>
      <c r="H226" s="1112"/>
      <c r="I226" s="102"/>
      <c r="J226" s="1194">
        <f t="shared" si="7"/>
        <v>0</v>
      </c>
      <c r="K226" s="884"/>
    </row>
    <row r="227" spans="2:11" s="431" customFormat="1" ht="19.149999999999999" customHeight="1" x14ac:dyDescent="0.25">
      <c r="B227" s="97"/>
      <c r="C227" s="98" t="s">
        <v>1989</v>
      </c>
      <c r="D227" s="100" t="s">
        <v>2372</v>
      </c>
      <c r="E227" s="98" t="s">
        <v>2373</v>
      </c>
      <c r="F227" s="1193" t="s">
        <v>160</v>
      </c>
      <c r="G227" s="100" t="s">
        <v>1941</v>
      </c>
      <c r="H227" s="1112"/>
      <c r="I227" s="102"/>
      <c r="J227" s="1194">
        <f t="shared" si="7"/>
        <v>0</v>
      </c>
      <c r="K227" s="884"/>
    </row>
    <row r="228" spans="2:11" s="431" customFormat="1" ht="19.149999999999999" customHeight="1" x14ac:dyDescent="0.25">
      <c r="B228" s="97"/>
      <c r="C228" s="98" t="s">
        <v>1989</v>
      </c>
      <c r="D228" s="100" t="s">
        <v>2374</v>
      </c>
      <c r="E228" s="98" t="s">
        <v>2375</v>
      </c>
      <c r="F228" s="1193" t="s">
        <v>160</v>
      </c>
      <c r="G228" s="100" t="s">
        <v>1941</v>
      </c>
      <c r="H228" s="1112"/>
      <c r="I228" s="102"/>
      <c r="J228" s="1194">
        <f t="shared" si="7"/>
        <v>0</v>
      </c>
      <c r="K228" s="884"/>
    </row>
    <row r="229" spans="2:11" s="431" customFormat="1" ht="19.149999999999999" customHeight="1" x14ac:dyDescent="0.25">
      <c r="B229" s="97"/>
      <c r="C229" s="98" t="s">
        <v>1989</v>
      </c>
      <c r="D229" s="100" t="s">
        <v>2376</v>
      </c>
      <c r="E229" s="98" t="s">
        <v>2377</v>
      </c>
      <c r="F229" s="1193" t="s">
        <v>160</v>
      </c>
      <c r="G229" s="100" t="s">
        <v>1941</v>
      </c>
      <c r="H229" s="1112"/>
      <c r="I229" s="102"/>
      <c r="J229" s="1194">
        <f t="shared" si="7"/>
        <v>0</v>
      </c>
      <c r="K229" s="884"/>
    </row>
    <row r="230" spans="2:11" s="431" customFormat="1" ht="19.149999999999999" customHeight="1" x14ac:dyDescent="0.25">
      <c r="B230" s="97"/>
      <c r="C230" s="98" t="s">
        <v>1989</v>
      </c>
      <c r="D230" s="100" t="s">
        <v>2378</v>
      </c>
      <c r="E230" s="98" t="s">
        <v>2379</v>
      </c>
      <c r="F230" s="1193" t="s">
        <v>160</v>
      </c>
      <c r="G230" s="100" t="s">
        <v>1941</v>
      </c>
      <c r="H230" s="1112"/>
      <c r="I230" s="102"/>
      <c r="J230" s="1194">
        <f t="shared" si="7"/>
        <v>0</v>
      </c>
      <c r="K230" s="884"/>
    </row>
    <row r="231" spans="2:11" s="431" customFormat="1" ht="19.149999999999999" customHeight="1" x14ac:dyDescent="0.25">
      <c r="B231" s="97"/>
      <c r="C231" s="98" t="s">
        <v>1989</v>
      </c>
      <c r="D231" s="100" t="s">
        <v>2380</v>
      </c>
      <c r="E231" s="98" t="s">
        <v>2381</v>
      </c>
      <c r="F231" s="1193" t="s">
        <v>160</v>
      </c>
      <c r="G231" s="100" t="s">
        <v>1941</v>
      </c>
      <c r="H231" s="1112"/>
      <c r="I231" s="102"/>
      <c r="J231" s="1194">
        <f t="shared" si="7"/>
        <v>0</v>
      </c>
      <c r="K231" s="884"/>
    </row>
    <row r="232" spans="2:11" s="431" customFormat="1" ht="19.149999999999999" customHeight="1" x14ac:dyDescent="0.25">
      <c r="B232" s="97"/>
      <c r="C232" s="98" t="s">
        <v>1989</v>
      </c>
      <c r="D232" s="100" t="s">
        <v>2382</v>
      </c>
      <c r="E232" s="98" t="s">
        <v>2383</v>
      </c>
      <c r="F232" s="1193" t="s">
        <v>160</v>
      </c>
      <c r="G232" s="100" t="s">
        <v>1941</v>
      </c>
      <c r="H232" s="1112"/>
      <c r="I232" s="102"/>
      <c r="J232" s="1194">
        <f t="shared" si="7"/>
        <v>0</v>
      </c>
      <c r="K232" s="884"/>
    </row>
    <row r="233" spans="2:11" s="431" customFormat="1" ht="19.149999999999999" customHeight="1" x14ac:dyDescent="0.25">
      <c r="B233" s="97"/>
      <c r="C233" s="98" t="s">
        <v>1989</v>
      </c>
      <c r="D233" s="100" t="s">
        <v>2384</v>
      </c>
      <c r="E233" s="98" t="s">
        <v>2385</v>
      </c>
      <c r="F233" s="1193" t="s">
        <v>160</v>
      </c>
      <c r="G233" s="100" t="s">
        <v>1941</v>
      </c>
      <c r="H233" s="1112"/>
      <c r="I233" s="102"/>
      <c r="J233" s="1194">
        <f t="shared" si="7"/>
        <v>0</v>
      </c>
      <c r="K233" s="884"/>
    </row>
    <row r="234" spans="2:11" s="431" customFormat="1" ht="19.149999999999999" customHeight="1" x14ac:dyDescent="0.25">
      <c r="B234" s="97"/>
      <c r="C234" s="98" t="s">
        <v>1989</v>
      </c>
      <c r="D234" s="100" t="s">
        <v>2386</v>
      </c>
      <c r="E234" s="98" t="s">
        <v>2387</v>
      </c>
      <c r="F234" s="1193" t="s">
        <v>160</v>
      </c>
      <c r="G234" s="100" t="s">
        <v>1941</v>
      </c>
      <c r="H234" s="1112"/>
      <c r="I234" s="102"/>
      <c r="J234" s="1194">
        <f t="shared" si="7"/>
        <v>0</v>
      </c>
      <c r="K234" s="884"/>
    </row>
    <row r="235" spans="2:11" s="431" customFormat="1" ht="19.149999999999999" customHeight="1" x14ac:dyDescent="0.25">
      <c r="B235" s="97"/>
      <c r="C235" s="98" t="s">
        <v>1989</v>
      </c>
      <c r="D235" s="100" t="s">
        <v>2388</v>
      </c>
      <c r="E235" s="98" t="s">
        <v>2389</v>
      </c>
      <c r="F235" s="1193" t="s">
        <v>160</v>
      </c>
      <c r="G235" s="100" t="s">
        <v>1941</v>
      </c>
      <c r="H235" s="1112"/>
      <c r="I235" s="102"/>
      <c r="J235" s="1194">
        <f t="shared" si="7"/>
        <v>0</v>
      </c>
      <c r="K235" s="884"/>
    </row>
    <row r="236" spans="2:11" s="431" customFormat="1" ht="19.149999999999999" customHeight="1" x14ac:dyDescent="0.25">
      <c r="B236" s="97"/>
      <c r="C236" s="98" t="s">
        <v>1989</v>
      </c>
      <c r="D236" s="100" t="s">
        <v>2390</v>
      </c>
      <c r="E236" s="98" t="s">
        <v>2391</v>
      </c>
      <c r="F236" s="1193" t="s">
        <v>160</v>
      </c>
      <c r="G236" s="100" t="s">
        <v>1941</v>
      </c>
      <c r="H236" s="1112"/>
      <c r="I236" s="102"/>
      <c r="J236" s="1194">
        <f t="shared" si="7"/>
        <v>0</v>
      </c>
      <c r="K236" s="884"/>
    </row>
  </sheetData>
  <autoFilter ref="B4:K236" xr:uid="{037A4F25-0A45-4516-952C-706F466A7F52}"/>
  <mergeCells count="36">
    <mergeCell ref="F80:K80"/>
    <mergeCell ref="F165:K165"/>
    <mergeCell ref="F210:K210"/>
    <mergeCell ref="F223:K223"/>
    <mergeCell ref="F122:K122"/>
    <mergeCell ref="F152:K152"/>
    <mergeCell ref="F96:K96"/>
    <mergeCell ref="F110:K110"/>
    <mergeCell ref="F113:K113"/>
    <mergeCell ref="F56:K56"/>
    <mergeCell ref="F60:K60"/>
    <mergeCell ref="F65:K65"/>
    <mergeCell ref="F71:K71"/>
    <mergeCell ref="F76:K76"/>
    <mergeCell ref="F34:K34"/>
    <mergeCell ref="F39:K39"/>
    <mergeCell ref="F45:K45"/>
    <mergeCell ref="F51:K51"/>
    <mergeCell ref="F53:K53"/>
    <mergeCell ref="F7:K7"/>
    <mergeCell ref="F8:K8"/>
    <mergeCell ref="F17:K17"/>
    <mergeCell ref="F33:K33"/>
    <mergeCell ref="B2:K2"/>
    <mergeCell ref="F5:I5"/>
    <mergeCell ref="F6:I6"/>
    <mergeCell ref="D5:D6"/>
    <mergeCell ref="C5:C6"/>
    <mergeCell ref="B5:B6"/>
    <mergeCell ref="E5:E6"/>
    <mergeCell ref="B163:B164"/>
    <mergeCell ref="C163:C164"/>
    <mergeCell ref="D163:D164"/>
    <mergeCell ref="E163:E164"/>
    <mergeCell ref="F163:I163"/>
    <mergeCell ref="F164:I164"/>
  </mergeCells>
  <dataValidations count="1">
    <dataValidation type="list" allowBlank="1" showInputMessage="1" showErrorMessage="1" sqref="F7:F162 F165:F236" xr:uid="{62202A58-FC03-4FE2-9032-79835DA7D437}">
      <formula1>"Mandatory,Optional,NA"</formula1>
    </dataValidation>
  </dataValidations>
  <pageMargins left="0.75" right="0.75" top="1" bottom="1" header="0" footer="0"/>
  <pageSetup paperSize="9" orientation="portrait" r:id="rId1"/>
  <headerFooter alignWithMargins="0">
    <oddHeader>&amp;C&amp;"Arial"&amp;8&amp;K000000INTERNAL&amp;1#</oddHead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44380-2FF8-4B76-951C-4126B3CF4A8A}">
  <sheetPr>
    <tabColor rgb="FF00B050"/>
  </sheetPr>
  <dimension ref="B2:T267"/>
  <sheetViews>
    <sheetView showGridLines="0" topLeftCell="A242" zoomScale="85" zoomScaleNormal="85" zoomScaleSheetLayoutView="90" workbookViewId="0">
      <selection activeCell="C33" sqref="C33:C34"/>
    </sheetView>
  </sheetViews>
  <sheetFormatPr defaultColWidth="11.5703125" defaultRowHeight="14.25" x14ac:dyDescent="0.25"/>
  <cols>
    <col min="1" max="1" width="4.5703125" style="431" customWidth="1"/>
    <col min="2" max="2" width="15.85546875" style="431" customWidth="1"/>
    <col min="3" max="3" width="49.5703125" style="180" bestFit="1" customWidth="1"/>
    <col min="4" max="4" width="16.85546875" style="180" bestFit="1" customWidth="1"/>
    <col min="5" max="5" width="94" style="431" customWidth="1"/>
    <col min="6" max="6" width="15.140625" style="180" customWidth="1"/>
    <col min="7" max="7" width="20.140625" style="180" bestFit="1" customWidth="1"/>
    <col min="8" max="17" width="15.140625" style="180" customWidth="1"/>
    <col min="18" max="18" width="11.5703125" style="1011"/>
    <col min="19" max="16384" width="11.5703125" style="431"/>
  </cols>
  <sheetData>
    <row r="2" spans="2:20" ht="15.75" x14ac:dyDescent="0.25">
      <c r="B2" s="1511" t="s">
        <v>1932</v>
      </c>
      <c r="C2" s="1511"/>
      <c r="D2" s="1511"/>
      <c r="E2" s="1511"/>
      <c r="F2" s="1511"/>
      <c r="G2" s="1511"/>
      <c r="H2" s="1511"/>
      <c r="I2" s="1511"/>
      <c r="J2" s="1511"/>
      <c r="K2" s="1511"/>
      <c r="L2" s="1511"/>
      <c r="M2" s="1511"/>
      <c r="N2" s="1511"/>
      <c r="O2" s="1511"/>
      <c r="P2" s="1511"/>
      <c r="Q2" s="1511"/>
      <c r="R2" s="1511"/>
      <c r="S2" s="1511"/>
      <c r="T2" s="1511"/>
    </row>
    <row r="3" spans="2:20" ht="15.75" thickBot="1" x14ac:dyDescent="0.3">
      <c r="B3" s="27"/>
      <c r="C3" s="26"/>
      <c r="D3" s="26"/>
      <c r="E3" s="28"/>
      <c r="F3" s="84"/>
      <c r="G3" s="29"/>
      <c r="H3" s="84"/>
      <c r="I3" s="84"/>
      <c r="J3" s="84"/>
      <c r="K3" s="84"/>
      <c r="L3" s="84"/>
      <c r="M3" s="84"/>
      <c r="N3" s="84"/>
      <c r="O3" s="84"/>
      <c r="P3" s="84"/>
      <c r="Q3" s="84"/>
      <c r="R3" s="431"/>
    </row>
    <row r="4" spans="2:20" ht="12.75" x14ac:dyDescent="0.25">
      <c r="B4" s="1540" t="s">
        <v>186</v>
      </c>
      <c r="C4" s="1540" t="s">
        <v>136</v>
      </c>
      <c r="D4" s="1540" t="s">
        <v>137</v>
      </c>
      <c r="E4" s="1540" t="s">
        <v>187</v>
      </c>
      <c r="F4" s="1546" t="s">
        <v>139</v>
      </c>
      <c r="G4" s="1524" t="s">
        <v>140</v>
      </c>
      <c r="H4" s="1524" t="s">
        <v>141</v>
      </c>
      <c r="I4" s="1528" t="s">
        <v>142</v>
      </c>
      <c r="J4" s="1528"/>
      <c r="K4" s="1528"/>
      <c r="L4" s="1528" t="s">
        <v>143</v>
      </c>
      <c r="M4" s="1528"/>
      <c r="N4" s="1528"/>
      <c r="O4" s="1528"/>
      <c r="P4" s="1528" t="s">
        <v>144</v>
      </c>
      <c r="Q4" s="1528"/>
      <c r="R4" s="1524" t="s">
        <v>145</v>
      </c>
      <c r="S4" s="1524" t="s">
        <v>146</v>
      </c>
      <c r="T4" s="1540" t="s">
        <v>147</v>
      </c>
    </row>
    <row r="5" spans="2:20" s="172" customFormat="1" ht="24.75" customHeight="1" x14ac:dyDescent="0.25">
      <c r="B5" s="1541"/>
      <c r="C5" s="1541"/>
      <c r="D5" s="1541"/>
      <c r="E5" s="1541"/>
      <c r="F5" s="1547"/>
      <c r="G5" s="1525"/>
      <c r="H5" s="1525"/>
      <c r="I5" s="983" t="s">
        <v>148</v>
      </c>
      <c r="J5" s="983" t="s">
        <v>149</v>
      </c>
      <c r="K5" s="983" t="s">
        <v>150</v>
      </c>
      <c r="L5" s="983" t="s">
        <v>148</v>
      </c>
      <c r="M5" s="983" t="s">
        <v>149</v>
      </c>
      <c r="N5" s="983" t="s">
        <v>150</v>
      </c>
      <c r="O5" s="983" t="s">
        <v>151</v>
      </c>
      <c r="P5" s="983" t="s">
        <v>150</v>
      </c>
      <c r="Q5" s="983" t="s">
        <v>152</v>
      </c>
      <c r="R5" s="1525"/>
      <c r="S5" s="1525"/>
      <c r="T5" s="1541"/>
    </row>
    <row r="6" spans="2:20" s="1206" customFormat="1" ht="15" customHeight="1" x14ac:dyDescent="0.25">
      <c r="B6" s="1707"/>
      <c r="C6" s="1707" t="s">
        <v>1935</v>
      </c>
      <c r="D6" s="1707" t="s">
        <v>1936</v>
      </c>
      <c r="E6" s="1707" t="s">
        <v>123</v>
      </c>
      <c r="F6" s="1590" t="s">
        <v>154</v>
      </c>
      <c r="G6" s="1590"/>
      <c r="H6" s="1590"/>
      <c r="I6" s="1590"/>
      <c r="J6" s="1590"/>
      <c r="K6" s="1590"/>
      <c r="L6" s="1590"/>
      <c r="M6" s="1590"/>
      <c r="N6" s="1590"/>
      <c r="O6" s="1590"/>
      <c r="P6" s="1590"/>
      <c r="Q6" s="1590"/>
      <c r="R6" s="1590"/>
      <c r="S6" s="863">
        <f>SUMIF(F9:F32,"Mandatory",S9:S32)</f>
        <v>0</v>
      </c>
      <c r="T6" s="909"/>
    </row>
    <row r="7" spans="2:20" s="1206" customFormat="1" ht="15" customHeight="1" x14ac:dyDescent="0.25">
      <c r="B7" s="1707"/>
      <c r="C7" s="1707"/>
      <c r="D7" s="1707"/>
      <c r="E7" s="1699"/>
      <c r="F7" s="1709" t="s">
        <v>156</v>
      </c>
      <c r="G7" s="1709"/>
      <c r="H7" s="1709"/>
      <c r="I7" s="1709"/>
      <c r="J7" s="1709"/>
      <c r="K7" s="1709"/>
      <c r="L7" s="1709"/>
      <c r="M7" s="1709"/>
      <c r="N7" s="1709"/>
      <c r="O7" s="1709"/>
      <c r="P7" s="1709"/>
      <c r="Q7" s="1709"/>
      <c r="R7" s="1709"/>
      <c r="S7" s="917">
        <f>SUMIF(F9:F32,"Mandatory",S9:S32)</f>
        <v>0</v>
      </c>
      <c r="T7" s="1207"/>
    </row>
    <row r="8" spans="2:20" ht="19.899999999999999" customHeight="1" x14ac:dyDescent="0.25">
      <c r="B8" s="1092"/>
      <c r="C8" s="1092" t="s">
        <v>1935</v>
      </c>
      <c r="D8" s="1176" t="s">
        <v>1937</v>
      </c>
      <c r="E8" s="1208" t="s">
        <v>1938</v>
      </c>
      <c r="F8" s="1703"/>
      <c r="G8" s="1703"/>
      <c r="H8" s="1703"/>
      <c r="I8" s="1703"/>
      <c r="J8" s="1703"/>
      <c r="K8" s="1703"/>
      <c r="L8" s="1703"/>
      <c r="M8" s="1703"/>
      <c r="N8" s="1703"/>
      <c r="O8" s="1703"/>
      <c r="P8" s="1703"/>
      <c r="Q8" s="1703"/>
      <c r="R8" s="1703"/>
      <c r="S8" s="1703"/>
      <c r="T8" s="1704"/>
    </row>
    <row r="9" spans="2:20" ht="19.149999999999999" customHeight="1" x14ac:dyDescent="0.25">
      <c r="B9" s="97"/>
      <c r="C9" s="98" t="s">
        <v>1935</v>
      </c>
      <c r="D9" s="100" t="s">
        <v>1939</v>
      </c>
      <c r="E9" s="901" t="s">
        <v>1940</v>
      </c>
      <c r="F9" s="1209" t="s">
        <v>160</v>
      </c>
      <c r="G9" s="900" t="s">
        <v>1941</v>
      </c>
      <c r="H9" s="1106"/>
      <c r="I9" s="990"/>
      <c r="J9" s="990"/>
      <c r="K9" s="991">
        <f t="shared" ref="K9:K16" si="0">I9*J9</f>
        <v>0</v>
      </c>
      <c r="L9" s="990"/>
      <c r="M9" s="990"/>
      <c r="N9" s="991"/>
      <c r="O9" s="992"/>
      <c r="P9" s="990"/>
      <c r="Q9" s="992"/>
      <c r="R9" s="904"/>
      <c r="S9" s="1124">
        <f t="shared" ref="S9:S16" si="1">IF(F9="NA","",H9*R9)</f>
        <v>0</v>
      </c>
      <c r="T9" s="906"/>
    </row>
    <row r="10" spans="2:20" ht="19.149999999999999" customHeight="1" x14ac:dyDescent="0.25">
      <c r="B10" s="97"/>
      <c r="C10" s="98" t="s">
        <v>1935</v>
      </c>
      <c r="D10" s="100" t="s">
        <v>1942</v>
      </c>
      <c r="E10" s="98" t="s">
        <v>1943</v>
      </c>
      <c r="F10" s="1193" t="s">
        <v>160</v>
      </c>
      <c r="G10" s="100" t="s">
        <v>1941</v>
      </c>
      <c r="H10" s="1112"/>
      <c r="I10" s="990"/>
      <c r="J10" s="990"/>
      <c r="K10" s="991">
        <f t="shared" si="0"/>
        <v>0</v>
      </c>
      <c r="L10" s="990"/>
      <c r="M10" s="990"/>
      <c r="N10" s="991"/>
      <c r="O10" s="992"/>
      <c r="P10" s="990"/>
      <c r="Q10" s="992"/>
      <c r="R10" s="102"/>
      <c r="S10" s="1194">
        <f t="shared" si="1"/>
        <v>0</v>
      </c>
      <c r="T10" s="884"/>
    </row>
    <row r="11" spans="2:20" ht="19.149999999999999" customHeight="1" x14ac:dyDescent="0.25">
      <c r="B11" s="97"/>
      <c r="C11" s="98" t="s">
        <v>1935</v>
      </c>
      <c r="D11" s="100" t="s">
        <v>1944</v>
      </c>
      <c r="E11" s="98" t="s">
        <v>1945</v>
      </c>
      <c r="F11" s="1193" t="s">
        <v>160</v>
      </c>
      <c r="G11" s="100" t="s">
        <v>1941</v>
      </c>
      <c r="H11" s="1112"/>
      <c r="I11" s="990"/>
      <c r="J11" s="990"/>
      <c r="K11" s="991">
        <f t="shared" si="0"/>
        <v>0</v>
      </c>
      <c r="L11" s="990"/>
      <c r="M11" s="990"/>
      <c r="N11" s="991"/>
      <c r="O11" s="992"/>
      <c r="P11" s="990"/>
      <c r="Q11" s="992"/>
      <c r="R11" s="102"/>
      <c r="S11" s="1194">
        <f t="shared" si="1"/>
        <v>0</v>
      </c>
      <c r="T11" s="884"/>
    </row>
    <row r="12" spans="2:20" ht="19.149999999999999" customHeight="1" x14ac:dyDescent="0.25">
      <c r="B12" s="97"/>
      <c r="C12" s="98" t="s">
        <v>1935</v>
      </c>
      <c r="D12" s="100" t="s">
        <v>1946</v>
      </c>
      <c r="E12" s="98" t="s">
        <v>1947</v>
      </c>
      <c r="F12" s="1193" t="s">
        <v>160</v>
      </c>
      <c r="G12" s="100" t="s">
        <v>1941</v>
      </c>
      <c r="H12" s="1112"/>
      <c r="I12" s="990"/>
      <c r="J12" s="990"/>
      <c r="K12" s="991">
        <f t="shared" si="0"/>
        <v>0</v>
      </c>
      <c r="L12" s="990"/>
      <c r="M12" s="990"/>
      <c r="N12" s="991"/>
      <c r="O12" s="992"/>
      <c r="P12" s="990"/>
      <c r="Q12" s="992"/>
      <c r="R12" s="102"/>
      <c r="S12" s="1194">
        <f t="shared" si="1"/>
        <v>0</v>
      </c>
      <c r="T12" s="884"/>
    </row>
    <row r="13" spans="2:20" ht="19.149999999999999" customHeight="1" x14ac:dyDescent="0.25">
      <c r="B13" s="97"/>
      <c r="C13" s="98" t="s">
        <v>1935</v>
      </c>
      <c r="D13" s="100" t="s">
        <v>1948</v>
      </c>
      <c r="E13" s="98" t="s">
        <v>1949</v>
      </c>
      <c r="F13" s="1193" t="s">
        <v>160</v>
      </c>
      <c r="G13" s="100" t="s">
        <v>1941</v>
      </c>
      <c r="H13" s="1112"/>
      <c r="I13" s="990"/>
      <c r="J13" s="990"/>
      <c r="K13" s="991">
        <f t="shared" si="0"/>
        <v>0</v>
      </c>
      <c r="L13" s="990"/>
      <c r="M13" s="990"/>
      <c r="N13" s="991"/>
      <c r="O13" s="992"/>
      <c r="P13" s="990"/>
      <c r="Q13" s="992"/>
      <c r="R13" s="102"/>
      <c r="S13" s="1194">
        <f t="shared" si="1"/>
        <v>0</v>
      </c>
      <c r="T13" s="884"/>
    </row>
    <row r="14" spans="2:20" ht="19.149999999999999" customHeight="1" x14ac:dyDescent="0.25">
      <c r="B14" s="97"/>
      <c r="C14" s="98" t="s">
        <v>1935</v>
      </c>
      <c r="D14" s="100" t="s">
        <v>1950</v>
      </c>
      <c r="E14" s="98" t="s">
        <v>1951</v>
      </c>
      <c r="F14" s="1193" t="s">
        <v>160</v>
      </c>
      <c r="G14" s="100" t="s">
        <v>1941</v>
      </c>
      <c r="H14" s="1112"/>
      <c r="I14" s="990"/>
      <c r="J14" s="990"/>
      <c r="K14" s="991">
        <f t="shared" si="0"/>
        <v>0</v>
      </c>
      <c r="L14" s="990"/>
      <c r="M14" s="990"/>
      <c r="N14" s="991"/>
      <c r="O14" s="992"/>
      <c r="P14" s="990"/>
      <c r="Q14" s="992"/>
      <c r="R14" s="102"/>
      <c r="S14" s="1194">
        <f t="shared" si="1"/>
        <v>0</v>
      </c>
      <c r="T14" s="884"/>
    </row>
    <row r="15" spans="2:20" ht="19.149999999999999" customHeight="1" x14ac:dyDescent="0.25">
      <c r="B15" s="97"/>
      <c r="C15" s="98" t="s">
        <v>1935</v>
      </c>
      <c r="D15" s="100" t="s">
        <v>1952</v>
      </c>
      <c r="E15" s="98" t="s">
        <v>1953</v>
      </c>
      <c r="F15" s="1193" t="s">
        <v>160</v>
      </c>
      <c r="G15" s="100" t="s">
        <v>1954</v>
      </c>
      <c r="H15" s="1112"/>
      <c r="I15" s="990"/>
      <c r="J15" s="990"/>
      <c r="K15" s="991">
        <f t="shared" si="0"/>
        <v>0</v>
      </c>
      <c r="L15" s="990"/>
      <c r="M15" s="990"/>
      <c r="N15" s="991"/>
      <c r="O15" s="992"/>
      <c r="P15" s="990"/>
      <c r="Q15" s="992"/>
      <c r="R15" s="102"/>
      <c r="S15" s="1194">
        <f t="shared" si="1"/>
        <v>0</v>
      </c>
      <c r="T15" s="884"/>
    </row>
    <row r="16" spans="2:20" ht="19.149999999999999" customHeight="1" x14ac:dyDescent="0.25">
      <c r="B16" s="97"/>
      <c r="C16" s="98" t="s">
        <v>1935</v>
      </c>
      <c r="D16" s="100" t="s">
        <v>1955</v>
      </c>
      <c r="E16" s="98" t="s">
        <v>1956</v>
      </c>
      <c r="F16" s="1193" t="s">
        <v>160</v>
      </c>
      <c r="G16" s="100" t="s">
        <v>1954</v>
      </c>
      <c r="H16" s="1112"/>
      <c r="I16" s="990"/>
      <c r="J16" s="990"/>
      <c r="K16" s="991">
        <f t="shared" si="0"/>
        <v>0</v>
      </c>
      <c r="L16" s="990"/>
      <c r="M16" s="990"/>
      <c r="N16" s="991"/>
      <c r="O16" s="992"/>
      <c r="P16" s="990"/>
      <c r="Q16" s="992"/>
      <c r="R16" s="102"/>
      <c r="S16" s="1194">
        <f t="shared" si="1"/>
        <v>0</v>
      </c>
      <c r="T16" s="884"/>
    </row>
    <row r="17" spans="2:20" ht="19.899999999999999" customHeight="1" x14ac:dyDescent="0.25">
      <c r="B17" s="1092"/>
      <c r="C17" s="1092" t="s">
        <v>1935</v>
      </c>
      <c r="D17" s="1176" t="s">
        <v>1957</v>
      </c>
      <c r="E17" s="1208" t="s">
        <v>1958</v>
      </c>
      <c r="F17" s="1703"/>
      <c r="G17" s="1703"/>
      <c r="H17" s="1703"/>
      <c r="I17" s="1703"/>
      <c r="J17" s="1703"/>
      <c r="K17" s="1703"/>
      <c r="L17" s="1703"/>
      <c r="M17" s="1703"/>
      <c r="N17" s="1703"/>
      <c r="O17" s="1703"/>
      <c r="P17" s="1703"/>
      <c r="Q17" s="1703"/>
      <c r="R17" s="1703"/>
      <c r="S17" s="1703"/>
      <c r="T17" s="1704"/>
    </row>
    <row r="18" spans="2:20" ht="25.5" x14ac:dyDescent="0.25">
      <c r="B18" s="97"/>
      <c r="C18" s="98" t="s">
        <v>1935</v>
      </c>
      <c r="D18" s="100" t="s">
        <v>1959</v>
      </c>
      <c r="E18" s="98" t="s">
        <v>1960</v>
      </c>
      <c r="F18" s="1193" t="s">
        <v>160</v>
      </c>
      <c r="G18" s="100" t="s">
        <v>1941</v>
      </c>
      <c r="H18" s="1112"/>
      <c r="I18" s="990"/>
      <c r="J18" s="990"/>
      <c r="K18" s="991">
        <f t="shared" ref="K18:K32" si="2">I18*J18</f>
        <v>0</v>
      </c>
      <c r="L18" s="990"/>
      <c r="M18" s="990"/>
      <c r="N18" s="991"/>
      <c r="O18" s="992"/>
      <c r="P18" s="990"/>
      <c r="Q18" s="992"/>
      <c r="R18" s="102"/>
      <c r="S18" s="1194">
        <f t="shared" ref="S18:S32" si="3">IF(F18="NA","",H18*R18)</f>
        <v>0</v>
      </c>
      <c r="T18" s="884"/>
    </row>
    <row r="19" spans="2:20" ht="25.5" x14ac:dyDescent="0.25">
      <c r="B19" s="97"/>
      <c r="C19" s="98" t="s">
        <v>1935</v>
      </c>
      <c r="D19" s="100" t="s">
        <v>1961</v>
      </c>
      <c r="E19" s="98" t="s">
        <v>1962</v>
      </c>
      <c r="F19" s="1193" t="s">
        <v>160</v>
      </c>
      <c r="G19" s="100" t="s">
        <v>1941</v>
      </c>
      <c r="H19" s="1112"/>
      <c r="I19" s="990"/>
      <c r="J19" s="990"/>
      <c r="K19" s="991">
        <f t="shared" si="2"/>
        <v>0</v>
      </c>
      <c r="L19" s="990"/>
      <c r="M19" s="990"/>
      <c r="N19" s="991"/>
      <c r="O19" s="992"/>
      <c r="P19" s="990"/>
      <c r="Q19" s="992"/>
      <c r="R19" s="102"/>
      <c r="S19" s="1194">
        <f t="shared" si="3"/>
        <v>0</v>
      </c>
      <c r="T19" s="884"/>
    </row>
    <row r="20" spans="2:20" ht="25.5" x14ac:dyDescent="0.25">
      <c r="B20" s="97"/>
      <c r="C20" s="98" t="s">
        <v>1935</v>
      </c>
      <c r="D20" s="100" t="s">
        <v>1963</v>
      </c>
      <c r="E20" s="98" t="s">
        <v>1964</v>
      </c>
      <c r="F20" s="1193" t="s">
        <v>160</v>
      </c>
      <c r="G20" s="100" t="s">
        <v>1941</v>
      </c>
      <c r="H20" s="1112"/>
      <c r="I20" s="990"/>
      <c r="J20" s="990"/>
      <c r="K20" s="991">
        <f t="shared" si="2"/>
        <v>0</v>
      </c>
      <c r="L20" s="990"/>
      <c r="M20" s="990"/>
      <c r="N20" s="991"/>
      <c r="O20" s="992"/>
      <c r="P20" s="990"/>
      <c r="Q20" s="992"/>
      <c r="R20" s="102"/>
      <c r="S20" s="1194">
        <f t="shared" si="3"/>
        <v>0</v>
      </c>
      <c r="T20" s="884"/>
    </row>
    <row r="21" spans="2:20" ht="25.5" x14ac:dyDescent="0.25">
      <c r="B21" s="97"/>
      <c r="C21" s="98" t="s">
        <v>1935</v>
      </c>
      <c r="D21" s="100" t="s">
        <v>1965</v>
      </c>
      <c r="E21" s="98" t="s">
        <v>1966</v>
      </c>
      <c r="F21" s="1193" t="s">
        <v>160</v>
      </c>
      <c r="G21" s="100" t="s">
        <v>1941</v>
      </c>
      <c r="H21" s="1112"/>
      <c r="I21" s="990"/>
      <c r="J21" s="990"/>
      <c r="K21" s="991">
        <f t="shared" si="2"/>
        <v>0</v>
      </c>
      <c r="L21" s="990"/>
      <c r="M21" s="990"/>
      <c r="N21" s="991"/>
      <c r="O21" s="992"/>
      <c r="P21" s="990"/>
      <c r="Q21" s="992"/>
      <c r="R21" s="102"/>
      <c r="S21" s="1194">
        <f t="shared" si="3"/>
        <v>0</v>
      </c>
      <c r="T21" s="884"/>
    </row>
    <row r="22" spans="2:20" ht="25.5" x14ac:dyDescent="0.25">
      <c r="B22" s="97"/>
      <c r="C22" s="98" t="s">
        <v>1935</v>
      </c>
      <c r="D22" s="100" t="s">
        <v>1967</v>
      </c>
      <c r="E22" s="98" t="s">
        <v>1968</v>
      </c>
      <c r="F22" s="1193" t="s">
        <v>160</v>
      </c>
      <c r="G22" s="100" t="s">
        <v>1941</v>
      </c>
      <c r="H22" s="1112"/>
      <c r="I22" s="990"/>
      <c r="J22" s="990"/>
      <c r="K22" s="991">
        <f t="shared" si="2"/>
        <v>0</v>
      </c>
      <c r="L22" s="990"/>
      <c r="M22" s="990"/>
      <c r="N22" s="991"/>
      <c r="O22" s="992"/>
      <c r="P22" s="990"/>
      <c r="Q22" s="992"/>
      <c r="R22" s="102"/>
      <c r="S22" s="1194">
        <f t="shared" si="3"/>
        <v>0</v>
      </c>
      <c r="T22" s="884"/>
    </row>
    <row r="23" spans="2:20" ht="25.5" x14ac:dyDescent="0.25">
      <c r="B23" s="97"/>
      <c r="C23" s="98" t="s">
        <v>1935</v>
      </c>
      <c r="D23" s="100" t="s">
        <v>1969</v>
      </c>
      <c r="E23" s="98" t="s">
        <v>1970</v>
      </c>
      <c r="F23" s="1193" t="s">
        <v>160</v>
      </c>
      <c r="G23" s="100" t="s">
        <v>1941</v>
      </c>
      <c r="H23" s="1112"/>
      <c r="I23" s="990"/>
      <c r="J23" s="990"/>
      <c r="K23" s="991">
        <f t="shared" si="2"/>
        <v>0</v>
      </c>
      <c r="L23" s="990"/>
      <c r="M23" s="990"/>
      <c r="N23" s="991"/>
      <c r="O23" s="992"/>
      <c r="P23" s="990"/>
      <c r="Q23" s="992"/>
      <c r="R23" s="102"/>
      <c r="S23" s="1194">
        <f t="shared" si="3"/>
        <v>0</v>
      </c>
      <c r="T23" s="884"/>
    </row>
    <row r="24" spans="2:20" ht="25.5" x14ac:dyDescent="0.25">
      <c r="B24" s="97"/>
      <c r="C24" s="98" t="s">
        <v>1935</v>
      </c>
      <c r="D24" s="100" t="s">
        <v>1971</v>
      </c>
      <c r="E24" s="98" t="s">
        <v>1972</v>
      </c>
      <c r="F24" s="1193" t="s">
        <v>160</v>
      </c>
      <c r="G24" s="100" t="s">
        <v>1941</v>
      </c>
      <c r="H24" s="1112"/>
      <c r="I24" s="990"/>
      <c r="J24" s="990"/>
      <c r="K24" s="991">
        <f t="shared" si="2"/>
        <v>0</v>
      </c>
      <c r="L24" s="990"/>
      <c r="M24" s="990"/>
      <c r="N24" s="991"/>
      <c r="O24" s="992"/>
      <c r="P24" s="990"/>
      <c r="Q24" s="992"/>
      <c r="R24" s="102"/>
      <c r="S24" s="1194">
        <f t="shared" si="3"/>
        <v>0</v>
      </c>
      <c r="T24" s="884"/>
    </row>
    <row r="25" spans="2:20" ht="25.5" x14ac:dyDescent="0.25">
      <c r="B25" s="97"/>
      <c r="C25" s="98" t="s">
        <v>1935</v>
      </c>
      <c r="D25" s="100" t="s">
        <v>1973</v>
      </c>
      <c r="E25" s="98" t="s">
        <v>1974</v>
      </c>
      <c r="F25" s="1193" t="s">
        <v>160</v>
      </c>
      <c r="G25" s="100" t="s">
        <v>1941</v>
      </c>
      <c r="H25" s="1112"/>
      <c r="I25" s="990"/>
      <c r="J25" s="990"/>
      <c r="K25" s="991">
        <f t="shared" si="2"/>
        <v>0</v>
      </c>
      <c r="L25" s="990"/>
      <c r="M25" s="990"/>
      <c r="N25" s="991"/>
      <c r="O25" s="992"/>
      <c r="P25" s="990"/>
      <c r="Q25" s="992"/>
      <c r="R25" s="102"/>
      <c r="S25" s="1194">
        <f t="shared" si="3"/>
        <v>0</v>
      </c>
      <c r="T25" s="884"/>
    </row>
    <row r="26" spans="2:20" ht="25.5" x14ac:dyDescent="0.25">
      <c r="B26" s="97"/>
      <c r="C26" s="98" t="s">
        <v>1935</v>
      </c>
      <c r="D26" s="100" t="s">
        <v>1975</v>
      </c>
      <c r="E26" s="98" t="s">
        <v>1976</v>
      </c>
      <c r="F26" s="1193" t="s">
        <v>160</v>
      </c>
      <c r="G26" s="100" t="s">
        <v>1941</v>
      </c>
      <c r="H26" s="1112"/>
      <c r="I26" s="990"/>
      <c r="J26" s="990"/>
      <c r="K26" s="991">
        <f t="shared" si="2"/>
        <v>0</v>
      </c>
      <c r="L26" s="990"/>
      <c r="M26" s="990"/>
      <c r="N26" s="991"/>
      <c r="O26" s="992"/>
      <c r="P26" s="990"/>
      <c r="Q26" s="992"/>
      <c r="R26" s="102"/>
      <c r="S26" s="1194">
        <f t="shared" si="3"/>
        <v>0</v>
      </c>
      <c r="T26" s="884"/>
    </row>
    <row r="27" spans="2:20" ht="25.5" x14ac:dyDescent="0.25">
      <c r="B27" s="97"/>
      <c r="C27" s="98" t="s">
        <v>1935</v>
      </c>
      <c r="D27" s="100" t="s">
        <v>1977</v>
      </c>
      <c r="E27" s="98" t="s">
        <v>1978</v>
      </c>
      <c r="F27" s="1193" t="s">
        <v>160</v>
      </c>
      <c r="G27" s="100" t="s">
        <v>1941</v>
      </c>
      <c r="H27" s="1112"/>
      <c r="I27" s="990"/>
      <c r="J27" s="990"/>
      <c r="K27" s="991">
        <f t="shared" si="2"/>
        <v>0</v>
      </c>
      <c r="L27" s="990"/>
      <c r="M27" s="990"/>
      <c r="N27" s="991"/>
      <c r="O27" s="992"/>
      <c r="P27" s="990"/>
      <c r="Q27" s="992"/>
      <c r="R27" s="102"/>
      <c r="S27" s="1194">
        <f t="shared" si="3"/>
        <v>0</v>
      </c>
      <c r="T27" s="884"/>
    </row>
    <row r="28" spans="2:20" ht="25.5" x14ac:dyDescent="0.25">
      <c r="B28" s="97"/>
      <c r="C28" s="98" t="s">
        <v>1935</v>
      </c>
      <c r="D28" s="100" t="s">
        <v>1979</v>
      </c>
      <c r="E28" s="98" t="s">
        <v>1980</v>
      </c>
      <c r="F28" s="1193" t="s">
        <v>160</v>
      </c>
      <c r="G28" s="100" t="s">
        <v>1941</v>
      </c>
      <c r="H28" s="1112"/>
      <c r="I28" s="990"/>
      <c r="J28" s="990"/>
      <c r="K28" s="991">
        <f t="shared" si="2"/>
        <v>0</v>
      </c>
      <c r="L28" s="990"/>
      <c r="M28" s="990"/>
      <c r="N28" s="991"/>
      <c r="O28" s="992"/>
      <c r="P28" s="990"/>
      <c r="Q28" s="992"/>
      <c r="R28" s="102"/>
      <c r="S28" s="1194">
        <f t="shared" si="3"/>
        <v>0</v>
      </c>
      <c r="T28" s="884"/>
    </row>
    <row r="29" spans="2:20" ht="25.5" x14ac:dyDescent="0.25">
      <c r="B29" s="97"/>
      <c r="C29" s="98" t="s">
        <v>1935</v>
      </c>
      <c r="D29" s="100" t="s">
        <v>1981</v>
      </c>
      <c r="E29" s="98" t="s">
        <v>1982</v>
      </c>
      <c r="F29" s="1193" t="s">
        <v>160</v>
      </c>
      <c r="G29" s="100" t="s">
        <v>1941</v>
      </c>
      <c r="H29" s="1112"/>
      <c r="I29" s="990"/>
      <c r="J29" s="990"/>
      <c r="K29" s="991">
        <f t="shared" si="2"/>
        <v>0</v>
      </c>
      <c r="L29" s="990"/>
      <c r="M29" s="990"/>
      <c r="N29" s="991"/>
      <c r="O29" s="992"/>
      <c r="P29" s="990"/>
      <c r="Q29" s="992"/>
      <c r="R29" s="102"/>
      <c r="S29" s="1194">
        <f t="shared" si="3"/>
        <v>0</v>
      </c>
      <c r="T29" s="884"/>
    </row>
    <row r="30" spans="2:20" ht="25.5" x14ac:dyDescent="0.25">
      <c r="B30" s="97"/>
      <c r="C30" s="98" t="s">
        <v>1935</v>
      </c>
      <c r="D30" s="100" t="s">
        <v>1983</v>
      </c>
      <c r="E30" s="98" t="s">
        <v>1984</v>
      </c>
      <c r="F30" s="1193" t="s">
        <v>160</v>
      </c>
      <c r="G30" s="100" t="s">
        <v>1941</v>
      </c>
      <c r="H30" s="1112"/>
      <c r="I30" s="990"/>
      <c r="J30" s="990"/>
      <c r="K30" s="991">
        <f t="shared" si="2"/>
        <v>0</v>
      </c>
      <c r="L30" s="990"/>
      <c r="M30" s="990"/>
      <c r="N30" s="991"/>
      <c r="O30" s="992"/>
      <c r="P30" s="990"/>
      <c r="Q30" s="992"/>
      <c r="R30" s="102"/>
      <c r="S30" s="1194">
        <f t="shared" si="3"/>
        <v>0</v>
      </c>
      <c r="T30" s="884"/>
    </row>
    <row r="31" spans="2:20" ht="25.5" x14ac:dyDescent="0.25">
      <c r="B31" s="97"/>
      <c r="C31" s="98" t="s">
        <v>1935</v>
      </c>
      <c r="D31" s="100" t="s">
        <v>1985</v>
      </c>
      <c r="E31" s="98" t="s">
        <v>1986</v>
      </c>
      <c r="F31" s="1193" t="s">
        <v>160</v>
      </c>
      <c r="G31" s="100" t="s">
        <v>1941</v>
      </c>
      <c r="H31" s="1112"/>
      <c r="I31" s="990"/>
      <c r="J31" s="990"/>
      <c r="K31" s="991">
        <f t="shared" si="2"/>
        <v>0</v>
      </c>
      <c r="L31" s="990"/>
      <c r="M31" s="990"/>
      <c r="N31" s="991"/>
      <c r="O31" s="992"/>
      <c r="P31" s="990"/>
      <c r="Q31" s="992"/>
      <c r="R31" s="102"/>
      <c r="S31" s="1194">
        <f t="shared" si="3"/>
        <v>0</v>
      </c>
      <c r="T31" s="884"/>
    </row>
    <row r="32" spans="2:20" ht="25.5" x14ac:dyDescent="0.25">
      <c r="B32" s="97"/>
      <c r="C32" s="98" t="s">
        <v>1935</v>
      </c>
      <c r="D32" s="100" t="s">
        <v>1987</v>
      </c>
      <c r="E32" s="98" t="s">
        <v>1988</v>
      </c>
      <c r="F32" s="1193" t="s">
        <v>160</v>
      </c>
      <c r="G32" s="100" t="s">
        <v>1941</v>
      </c>
      <c r="H32" s="1112"/>
      <c r="I32" s="990"/>
      <c r="J32" s="990"/>
      <c r="K32" s="991">
        <f t="shared" si="2"/>
        <v>0</v>
      </c>
      <c r="L32" s="990"/>
      <c r="M32" s="990"/>
      <c r="N32" s="991"/>
      <c r="O32" s="992"/>
      <c r="P32" s="990"/>
      <c r="Q32" s="992"/>
      <c r="R32" s="102"/>
      <c r="S32" s="1194">
        <f t="shared" si="3"/>
        <v>0</v>
      </c>
      <c r="T32" s="884"/>
    </row>
    <row r="33" spans="2:20" s="1206" customFormat="1" ht="15" customHeight="1" x14ac:dyDescent="0.25">
      <c r="B33" s="1707"/>
      <c r="C33" s="1701" t="str">
        <f>C35</f>
        <v>GRE.EEC.S.25.XX.S.00000.15.001.00</v>
      </c>
      <c r="D33" s="1707" t="s">
        <v>1990</v>
      </c>
      <c r="E33" s="1707" t="s">
        <v>1991</v>
      </c>
      <c r="F33" s="1590" t="s">
        <v>154</v>
      </c>
      <c r="G33" s="1590"/>
      <c r="H33" s="1590"/>
      <c r="I33" s="1590"/>
      <c r="J33" s="1590"/>
      <c r="K33" s="1590"/>
      <c r="L33" s="1590"/>
      <c r="M33" s="1590"/>
      <c r="N33" s="1590"/>
      <c r="O33" s="1590"/>
      <c r="P33" s="1590"/>
      <c r="Q33" s="1590"/>
      <c r="R33" s="1590"/>
      <c r="S33" s="863">
        <f>SUMIF(F36:F80,"Mandatory",S36:S80)</f>
        <v>0</v>
      </c>
      <c r="T33" s="909"/>
    </row>
    <row r="34" spans="2:20" s="1206" customFormat="1" ht="15" customHeight="1" x14ac:dyDescent="0.25">
      <c r="B34" s="1707"/>
      <c r="C34" s="1708"/>
      <c r="D34" s="1707"/>
      <c r="E34" s="1707"/>
      <c r="F34" s="1590" t="s">
        <v>156</v>
      </c>
      <c r="G34" s="1590"/>
      <c r="H34" s="1590"/>
      <c r="I34" s="1590"/>
      <c r="J34" s="1590"/>
      <c r="K34" s="1590"/>
      <c r="L34" s="1590"/>
      <c r="M34" s="1590"/>
      <c r="N34" s="1590"/>
      <c r="O34" s="1590"/>
      <c r="P34" s="1590"/>
      <c r="Q34" s="1590"/>
      <c r="R34" s="1590"/>
      <c r="S34" s="863">
        <f>SUMIF(F36:F80,"Mandatory",S36:S80)</f>
        <v>0</v>
      </c>
      <c r="T34" s="909"/>
    </row>
    <row r="35" spans="2:20" ht="19.899999999999999" customHeight="1" x14ac:dyDescent="0.25">
      <c r="B35" s="1092"/>
      <c r="C35" s="1092" t="str">
        <f>'Reference documents'!B27</f>
        <v>GRE.EEC.S.25.XX.S.00000.15.001.00</v>
      </c>
      <c r="D35" s="1176" t="s">
        <v>1992</v>
      </c>
      <c r="E35" s="1208" t="s">
        <v>1993</v>
      </c>
      <c r="F35" s="1703"/>
      <c r="G35" s="1703"/>
      <c r="H35" s="1703"/>
      <c r="I35" s="1703"/>
      <c r="J35" s="1703"/>
      <c r="K35" s="1703"/>
      <c r="L35" s="1703"/>
      <c r="M35" s="1703"/>
      <c r="N35" s="1703"/>
      <c r="O35" s="1703"/>
      <c r="P35" s="1703"/>
      <c r="Q35" s="1703"/>
      <c r="R35" s="1703"/>
      <c r="S35" s="1703"/>
      <c r="T35" s="1704"/>
    </row>
    <row r="36" spans="2:20" ht="19.149999999999999" customHeight="1" x14ac:dyDescent="0.25">
      <c r="B36" s="97"/>
      <c r="C36" s="98" t="str">
        <f>'Reference documents'!B27</f>
        <v>GRE.EEC.S.25.XX.S.00000.15.001.00</v>
      </c>
      <c r="D36" s="100" t="s">
        <v>1994</v>
      </c>
      <c r="E36" s="98" t="s">
        <v>1995</v>
      </c>
      <c r="F36" s="1193" t="s">
        <v>160</v>
      </c>
      <c r="G36" s="100" t="s">
        <v>345</v>
      </c>
      <c r="H36" s="1112"/>
      <c r="I36" s="990"/>
      <c r="J36" s="990"/>
      <c r="K36" s="991">
        <f>I36*J36</f>
        <v>0</v>
      </c>
      <c r="L36" s="990"/>
      <c r="M36" s="990"/>
      <c r="N36" s="991"/>
      <c r="O36" s="992"/>
      <c r="P36" s="990"/>
      <c r="Q36" s="992"/>
      <c r="R36" s="102"/>
      <c r="S36" s="1194">
        <f>IF(F36="NA","",H36*R36)</f>
        <v>0</v>
      </c>
      <c r="T36" s="884"/>
    </row>
    <row r="37" spans="2:20" ht="19.149999999999999" customHeight="1" x14ac:dyDescent="0.25">
      <c r="B37" s="97"/>
      <c r="C37" s="98" t="str">
        <f>'Reference documents'!B27</f>
        <v>GRE.EEC.S.25.XX.S.00000.15.001.00</v>
      </c>
      <c r="D37" s="100" t="s">
        <v>1996</v>
      </c>
      <c r="E37" s="98" t="s">
        <v>1997</v>
      </c>
      <c r="F37" s="1193" t="s">
        <v>160</v>
      </c>
      <c r="G37" s="100" t="s">
        <v>345</v>
      </c>
      <c r="H37" s="1112"/>
      <c r="I37" s="990"/>
      <c r="J37" s="990"/>
      <c r="K37" s="991">
        <f>I37*J37</f>
        <v>0</v>
      </c>
      <c r="L37" s="990"/>
      <c r="M37" s="990"/>
      <c r="N37" s="991"/>
      <c r="O37" s="992"/>
      <c r="P37" s="990"/>
      <c r="Q37" s="992"/>
      <c r="R37" s="102"/>
      <c r="S37" s="1194">
        <f>IF(F37="NA","",H37*R37)</f>
        <v>0</v>
      </c>
      <c r="T37" s="884"/>
    </row>
    <row r="38" spans="2:20" ht="19.149999999999999" customHeight="1" x14ac:dyDescent="0.25">
      <c r="B38" s="97"/>
      <c r="C38" s="98" t="str">
        <f>'Reference documents'!B27</f>
        <v>GRE.EEC.S.25.XX.S.00000.15.001.00</v>
      </c>
      <c r="D38" s="100" t="s">
        <v>1998</v>
      </c>
      <c r="E38" s="98" t="s">
        <v>1999</v>
      </c>
      <c r="F38" s="1193" t="s">
        <v>160</v>
      </c>
      <c r="G38" s="100" t="s">
        <v>345</v>
      </c>
      <c r="H38" s="1112"/>
      <c r="I38" s="990"/>
      <c r="J38" s="990"/>
      <c r="K38" s="991">
        <f>I38*J38</f>
        <v>0</v>
      </c>
      <c r="L38" s="990"/>
      <c r="M38" s="990"/>
      <c r="N38" s="991"/>
      <c r="O38" s="992"/>
      <c r="P38" s="990"/>
      <c r="Q38" s="992"/>
      <c r="R38" s="102"/>
      <c r="S38" s="1194">
        <f>IF(F38="NA","",H38*R38)</f>
        <v>0</v>
      </c>
      <c r="T38" s="884"/>
    </row>
    <row r="39" spans="2:20" ht="19.149999999999999" customHeight="1" x14ac:dyDescent="0.25">
      <c r="B39" s="97"/>
      <c r="C39" s="98" t="str">
        <f>'Reference documents'!B27</f>
        <v>GRE.EEC.S.25.XX.S.00000.15.001.00</v>
      </c>
      <c r="D39" s="100" t="s">
        <v>2000</v>
      </c>
      <c r="E39" s="98" t="s">
        <v>2001</v>
      </c>
      <c r="F39" s="1193" t="s">
        <v>160</v>
      </c>
      <c r="G39" s="100" t="s">
        <v>345</v>
      </c>
      <c r="H39" s="1112"/>
      <c r="I39" s="990"/>
      <c r="J39" s="990"/>
      <c r="K39" s="991">
        <f>I39*J39</f>
        <v>0</v>
      </c>
      <c r="L39" s="990"/>
      <c r="M39" s="990"/>
      <c r="N39" s="991"/>
      <c r="O39" s="992"/>
      <c r="P39" s="990"/>
      <c r="Q39" s="992"/>
      <c r="R39" s="102"/>
      <c r="S39" s="1194">
        <f>IF(F39="NA","",H39*R39)</f>
        <v>0</v>
      </c>
      <c r="T39" s="884"/>
    </row>
    <row r="40" spans="2:20" ht="19.899999999999999" customHeight="1" x14ac:dyDescent="0.25">
      <c r="B40" s="1092"/>
      <c r="C40" s="1092" t="str">
        <f>'Reference documents'!B27</f>
        <v>GRE.EEC.S.25.XX.S.00000.15.001.00</v>
      </c>
      <c r="D40" s="1176" t="s">
        <v>2002</v>
      </c>
      <c r="E40" s="1208" t="s">
        <v>2003</v>
      </c>
      <c r="F40" s="1703"/>
      <c r="G40" s="1703"/>
      <c r="H40" s="1703"/>
      <c r="I40" s="1703"/>
      <c r="J40" s="1703"/>
      <c r="K40" s="1703"/>
      <c r="L40" s="1703"/>
      <c r="M40" s="1703"/>
      <c r="N40" s="1703"/>
      <c r="O40" s="1703"/>
      <c r="P40" s="1703"/>
      <c r="Q40" s="1703"/>
      <c r="R40" s="1703"/>
      <c r="S40" s="1703"/>
      <c r="T40" s="1704"/>
    </row>
    <row r="41" spans="2:20" ht="19.149999999999999" customHeight="1" x14ac:dyDescent="0.25">
      <c r="B41" s="97"/>
      <c r="C41" s="98" t="str">
        <f>'Reference documents'!B27</f>
        <v>GRE.EEC.S.25.XX.S.00000.15.001.00</v>
      </c>
      <c r="D41" s="100" t="s">
        <v>2004</v>
      </c>
      <c r="E41" s="98" t="s">
        <v>2005</v>
      </c>
      <c r="F41" s="1193" t="s">
        <v>160</v>
      </c>
      <c r="G41" s="100" t="s">
        <v>1504</v>
      </c>
      <c r="H41" s="1112"/>
      <c r="I41" s="990"/>
      <c r="J41" s="990"/>
      <c r="K41" s="991">
        <f>I41*J41</f>
        <v>0</v>
      </c>
      <c r="L41" s="990"/>
      <c r="M41" s="990"/>
      <c r="N41" s="991"/>
      <c r="O41" s="992"/>
      <c r="P41" s="990"/>
      <c r="Q41" s="992"/>
      <c r="R41" s="102"/>
      <c r="S41" s="1194">
        <f>IF(F41="NA","",H41*R41)</f>
        <v>0</v>
      </c>
      <c r="T41" s="884"/>
    </row>
    <row r="42" spans="2:20" ht="19.149999999999999" customHeight="1" x14ac:dyDescent="0.25">
      <c r="B42" s="97"/>
      <c r="C42" s="98" t="str">
        <f>'Reference documents'!B27</f>
        <v>GRE.EEC.S.25.XX.S.00000.15.001.00</v>
      </c>
      <c r="D42" s="100" t="s">
        <v>2006</v>
      </c>
      <c r="E42" s="98" t="s">
        <v>2007</v>
      </c>
      <c r="F42" s="1193" t="s">
        <v>160</v>
      </c>
      <c r="G42" s="100" t="s">
        <v>1504</v>
      </c>
      <c r="H42" s="1112"/>
      <c r="I42" s="990"/>
      <c r="J42" s="990"/>
      <c r="K42" s="991">
        <f>I42*J42</f>
        <v>0</v>
      </c>
      <c r="L42" s="990"/>
      <c r="M42" s="990"/>
      <c r="N42" s="991"/>
      <c r="O42" s="992"/>
      <c r="P42" s="990"/>
      <c r="Q42" s="992"/>
      <c r="R42" s="102"/>
      <c r="S42" s="1194">
        <f>IF(F42="NA","",H42*R42)</f>
        <v>0</v>
      </c>
      <c r="T42" s="884"/>
    </row>
    <row r="43" spans="2:20" ht="19.149999999999999" customHeight="1" x14ac:dyDescent="0.25">
      <c r="B43" s="97"/>
      <c r="C43" s="98" t="str">
        <f>'Reference documents'!B27</f>
        <v>GRE.EEC.S.25.XX.S.00000.15.001.00</v>
      </c>
      <c r="D43" s="100" t="s">
        <v>2008</v>
      </c>
      <c r="E43" s="98" t="s">
        <v>2009</v>
      </c>
      <c r="F43" s="1193" t="s">
        <v>160</v>
      </c>
      <c r="G43" s="100" t="s">
        <v>1504</v>
      </c>
      <c r="H43" s="1112"/>
      <c r="I43" s="990"/>
      <c r="J43" s="990"/>
      <c r="K43" s="991">
        <f>I43*J43</f>
        <v>0</v>
      </c>
      <c r="L43" s="990"/>
      <c r="M43" s="990"/>
      <c r="N43" s="991"/>
      <c r="O43" s="992"/>
      <c r="P43" s="990"/>
      <c r="Q43" s="992"/>
      <c r="R43" s="102"/>
      <c r="S43" s="1194">
        <f>IF(F43="NA","",H43*R43)</f>
        <v>0</v>
      </c>
      <c r="T43" s="884"/>
    </row>
    <row r="44" spans="2:20" ht="19.149999999999999" customHeight="1" x14ac:dyDescent="0.25">
      <c r="B44" s="97"/>
      <c r="C44" s="98" t="str">
        <f>'Reference documents'!B27</f>
        <v>GRE.EEC.S.25.XX.S.00000.15.001.00</v>
      </c>
      <c r="D44" s="100" t="s">
        <v>2010</v>
      </c>
      <c r="E44" s="98" t="s">
        <v>2011</v>
      </c>
      <c r="F44" s="1193" t="s">
        <v>160</v>
      </c>
      <c r="G44" s="100" t="s">
        <v>1504</v>
      </c>
      <c r="H44" s="1112"/>
      <c r="I44" s="990"/>
      <c r="J44" s="990"/>
      <c r="K44" s="991">
        <f>I44*J44</f>
        <v>0</v>
      </c>
      <c r="L44" s="990"/>
      <c r="M44" s="990"/>
      <c r="N44" s="991"/>
      <c r="O44" s="992"/>
      <c r="P44" s="990"/>
      <c r="Q44" s="992"/>
      <c r="R44" s="102"/>
      <c r="S44" s="1194">
        <f>IF(F44="NA","",H44*R44)</f>
        <v>0</v>
      </c>
      <c r="T44" s="884"/>
    </row>
    <row r="45" spans="2:20" ht="19.149999999999999" customHeight="1" x14ac:dyDescent="0.25">
      <c r="B45" s="97"/>
      <c r="C45" s="98" t="str">
        <f>'Reference documents'!B27</f>
        <v>GRE.EEC.S.25.XX.S.00000.15.001.00</v>
      </c>
      <c r="D45" s="100" t="s">
        <v>2012</v>
      </c>
      <c r="E45" s="98" t="s">
        <v>2013</v>
      </c>
      <c r="F45" s="1193" t="s">
        <v>160</v>
      </c>
      <c r="G45" s="100" t="s">
        <v>1504</v>
      </c>
      <c r="H45" s="1112"/>
      <c r="I45" s="990"/>
      <c r="J45" s="990"/>
      <c r="K45" s="991">
        <f>I45*J45</f>
        <v>0</v>
      </c>
      <c r="L45" s="990"/>
      <c r="M45" s="990"/>
      <c r="N45" s="991"/>
      <c r="O45" s="992"/>
      <c r="P45" s="990"/>
      <c r="Q45" s="992"/>
      <c r="R45" s="102"/>
      <c r="S45" s="1194">
        <f>IF(F45="NA","",H45*R45)</f>
        <v>0</v>
      </c>
      <c r="T45" s="884"/>
    </row>
    <row r="46" spans="2:20" ht="19.899999999999999" customHeight="1" x14ac:dyDescent="0.25">
      <c r="B46" s="1092"/>
      <c r="C46" s="1092" t="str">
        <f>'Reference documents'!B27</f>
        <v>GRE.EEC.S.25.XX.S.00000.15.001.00</v>
      </c>
      <c r="D46" s="1176" t="s">
        <v>2014</v>
      </c>
      <c r="E46" s="1208" t="s">
        <v>2015</v>
      </c>
      <c r="F46" s="1703"/>
      <c r="G46" s="1703"/>
      <c r="H46" s="1703"/>
      <c r="I46" s="1703"/>
      <c r="J46" s="1703"/>
      <c r="K46" s="1703"/>
      <c r="L46" s="1703"/>
      <c r="M46" s="1703"/>
      <c r="N46" s="1703"/>
      <c r="O46" s="1703"/>
      <c r="P46" s="1703"/>
      <c r="Q46" s="1703"/>
      <c r="R46" s="1703"/>
      <c r="S46" s="1703"/>
      <c r="T46" s="1704"/>
    </row>
    <row r="47" spans="2:20" ht="19.149999999999999" customHeight="1" x14ac:dyDescent="0.25">
      <c r="B47" s="97"/>
      <c r="C47" s="98" t="str">
        <f>'Reference documents'!B27</f>
        <v>GRE.EEC.S.25.XX.S.00000.15.001.00</v>
      </c>
      <c r="D47" s="100" t="s">
        <v>2016</v>
      </c>
      <c r="E47" s="98" t="s">
        <v>2017</v>
      </c>
      <c r="F47" s="1193" t="s">
        <v>160</v>
      </c>
      <c r="G47" s="100" t="s">
        <v>1504</v>
      </c>
      <c r="H47" s="1112"/>
      <c r="I47" s="990"/>
      <c r="J47" s="990"/>
      <c r="K47" s="991">
        <f>I47*J47</f>
        <v>0</v>
      </c>
      <c r="L47" s="990"/>
      <c r="M47" s="990"/>
      <c r="N47" s="991"/>
      <c r="O47" s="992"/>
      <c r="P47" s="990"/>
      <c r="Q47" s="992"/>
      <c r="R47" s="102"/>
      <c r="S47" s="1194">
        <f>IF(F47="NA","",H47*R47)</f>
        <v>0</v>
      </c>
      <c r="T47" s="884"/>
    </row>
    <row r="48" spans="2:20" ht="19.149999999999999" customHeight="1" x14ac:dyDescent="0.25">
      <c r="B48" s="97"/>
      <c r="C48" s="98" t="str">
        <f>'Reference documents'!B27</f>
        <v>GRE.EEC.S.25.XX.S.00000.15.001.00</v>
      </c>
      <c r="D48" s="100" t="s">
        <v>2018</v>
      </c>
      <c r="E48" s="98" t="s">
        <v>2019</v>
      </c>
      <c r="F48" s="1193" t="s">
        <v>160</v>
      </c>
      <c r="G48" s="100" t="s">
        <v>1504</v>
      </c>
      <c r="H48" s="1112"/>
      <c r="I48" s="990"/>
      <c r="J48" s="990"/>
      <c r="K48" s="991">
        <f>I48*J48</f>
        <v>0</v>
      </c>
      <c r="L48" s="990"/>
      <c r="M48" s="990"/>
      <c r="N48" s="991"/>
      <c r="O48" s="992"/>
      <c r="P48" s="990"/>
      <c r="Q48" s="992"/>
      <c r="R48" s="102"/>
      <c r="S48" s="1194">
        <f>IF(F48="NA","",H48*R48)</f>
        <v>0</v>
      </c>
      <c r="T48" s="884"/>
    </row>
    <row r="49" spans="2:20" ht="19.149999999999999" customHeight="1" x14ac:dyDescent="0.25">
      <c r="B49" s="97"/>
      <c r="C49" s="98" t="str">
        <f>'Reference documents'!B27</f>
        <v>GRE.EEC.S.25.XX.S.00000.15.001.00</v>
      </c>
      <c r="D49" s="100" t="s">
        <v>2020</v>
      </c>
      <c r="E49" s="98" t="s">
        <v>2021</v>
      </c>
      <c r="F49" s="1193" t="s">
        <v>160</v>
      </c>
      <c r="G49" s="100" t="s">
        <v>1504</v>
      </c>
      <c r="H49" s="1112"/>
      <c r="I49" s="990"/>
      <c r="J49" s="990"/>
      <c r="K49" s="991">
        <f>I49*J49</f>
        <v>0</v>
      </c>
      <c r="L49" s="990"/>
      <c r="M49" s="990"/>
      <c r="N49" s="991"/>
      <c r="O49" s="992"/>
      <c r="P49" s="990"/>
      <c r="Q49" s="992"/>
      <c r="R49" s="102"/>
      <c r="S49" s="1194">
        <f>IF(F49="NA","",H49*R49)</f>
        <v>0</v>
      </c>
      <c r="T49" s="884"/>
    </row>
    <row r="50" spans="2:20" ht="19.149999999999999" customHeight="1" x14ac:dyDescent="0.25">
      <c r="B50" s="97"/>
      <c r="C50" s="98" t="str">
        <f>'Reference documents'!B27</f>
        <v>GRE.EEC.S.25.XX.S.00000.15.001.00</v>
      </c>
      <c r="D50" s="100" t="s">
        <v>2022</v>
      </c>
      <c r="E50" s="98" t="s">
        <v>2023</v>
      </c>
      <c r="F50" s="1193" t="s">
        <v>160</v>
      </c>
      <c r="G50" s="100" t="s">
        <v>1504</v>
      </c>
      <c r="H50" s="1112"/>
      <c r="I50" s="990"/>
      <c r="J50" s="990"/>
      <c r="K50" s="991">
        <f>I50*J50</f>
        <v>0</v>
      </c>
      <c r="L50" s="990"/>
      <c r="M50" s="990"/>
      <c r="N50" s="991"/>
      <c r="O50" s="992"/>
      <c r="P50" s="990"/>
      <c r="Q50" s="992"/>
      <c r="R50" s="102"/>
      <c r="S50" s="1194">
        <f>IF(F50="NA","",H50*R50)</f>
        <v>0</v>
      </c>
      <c r="T50" s="884"/>
    </row>
    <row r="51" spans="2:20" ht="19.149999999999999" customHeight="1" x14ac:dyDescent="0.25">
      <c r="B51" s="97"/>
      <c r="C51" s="98" t="str">
        <f>'Reference documents'!B27</f>
        <v>GRE.EEC.S.25.XX.S.00000.15.001.00</v>
      </c>
      <c r="D51" s="100" t="s">
        <v>2024</v>
      </c>
      <c r="E51" s="98" t="s">
        <v>2025</v>
      </c>
      <c r="F51" s="1193" t="s">
        <v>160</v>
      </c>
      <c r="G51" s="100" t="s">
        <v>1504</v>
      </c>
      <c r="H51" s="1112"/>
      <c r="I51" s="990"/>
      <c r="J51" s="990"/>
      <c r="K51" s="991">
        <f>I51*J51</f>
        <v>0</v>
      </c>
      <c r="L51" s="990"/>
      <c r="M51" s="990"/>
      <c r="N51" s="991"/>
      <c r="O51" s="992"/>
      <c r="P51" s="990"/>
      <c r="Q51" s="992"/>
      <c r="R51" s="102"/>
      <c r="S51" s="1194">
        <f>IF(F51="NA","",H51*R51)</f>
        <v>0</v>
      </c>
      <c r="T51" s="884"/>
    </row>
    <row r="52" spans="2:20" ht="19.899999999999999" customHeight="1" x14ac:dyDescent="0.25">
      <c r="B52" s="1092"/>
      <c r="C52" s="1092" t="str">
        <f>'Reference documents'!B27</f>
        <v>GRE.EEC.S.25.XX.S.00000.15.001.00</v>
      </c>
      <c r="D52" s="1176" t="s">
        <v>2026</v>
      </c>
      <c r="E52" s="1208" t="s">
        <v>2027</v>
      </c>
      <c r="F52" s="1703"/>
      <c r="G52" s="1703"/>
      <c r="H52" s="1703"/>
      <c r="I52" s="1703"/>
      <c r="J52" s="1703"/>
      <c r="K52" s="1703"/>
      <c r="L52" s="1703"/>
      <c r="M52" s="1703"/>
      <c r="N52" s="1703"/>
      <c r="O52" s="1703"/>
      <c r="P52" s="1703"/>
      <c r="Q52" s="1703"/>
      <c r="R52" s="1703"/>
      <c r="S52" s="1703"/>
      <c r="T52" s="1704"/>
    </row>
    <row r="53" spans="2:20" ht="19.149999999999999" customHeight="1" x14ac:dyDescent="0.25">
      <c r="B53" s="97"/>
      <c r="C53" s="98" t="str">
        <f>'Reference documents'!B27</f>
        <v>GRE.EEC.S.25.XX.S.00000.15.001.00</v>
      </c>
      <c r="D53" s="100" t="s">
        <v>2028</v>
      </c>
      <c r="E53" s="98" t="s">
        <v>2029</v>
      </c>
      <c r="F53" s="1193" t="s">
        <v>160</v>
      </c>
      <c r="G53" s="100" t="s">
        <v>1504</v>
      </c>
      <c r="H53" s="1112"/>
      <c r="I53" s="990"/>
      <c r="J53" s="990"/>
      <c r="K53" s="991">
        <f>I53*J53</f>
        <v>0</v>
      </c>
      <c r="L53" s="990"/>
      <c r="M53" s="990"/>
      <c r="N53" s="991"/>
      <c r="O53" s="992"/>
      <c r="P53" s="990"/>
      <c r="Q53" s="992"/>
      <c r="R53" s="102"/>
      <c r="S53" s="1194">
        <f>IF(F53="NA","",H53*R53)</f>
        <v>0</v>
      </c>
      <c r="T53" s="884"/>
    </row>
    <row r="54" spans="2:20" ht="19.899999999999999" customHeight="1" x14ac:dyDescent="0.25">
      <c r="B54" s="1092"/>
      <c r="C54" s="1092" t="str">
        <f>'Reference documents'!B27</f>
        <v>GRE.EEC.S.25.XX.S.00000.15.001.00</v>
      </c>
      <c r="D54" s="1176" t="s">
        <v>2030</v>
      </c>
      <c r="E54" s="1208" t="s">
        <v>2031</v>
      </c>
      <c r="F54" s="1703"/>
      <c r="G54" s="1703"/>
      <c r="H54" s="1703"/>
      <c r="I54" s="1703"/>
      <c r="J54" s="1703"/>
      <c r="K54" s="1703"/>
      <c r="L54" s="1703"/>
      <c r="M54" s="1703"/>
      <c r="N54" s="1703"/>
      <c r="O54" s="1703"/>
      <c r="P54" s="1703"/>
      <c r="Q54" s="1703"/>
      <c r="R54" s="1703"/>
      <c r="S54" s="1703"/>
      <c r="T54" s="1704"/>
    </row>
    <row r="55" spans="2:20" ht="19.149999999999999" customHeight="1" x14ac:dyDescent="0.25">
      <c r="B55" s="97"/>
      <c r="C55" s="98" t="str">
        <f>'Reference documents'!B27</f>
        <v>GRE.EEC.S.25.XX.S.00000.15.001.00</v>
      </c>
      <c r="D55" s="100" t="s">
        <v>2032</v>
      </c>
      <c r="E55" s="98" t="s">
        <v>2033</v>
      </c>
      <c r="F55" s="1193" t="s">
        <v>160</v>
      </c>
      <c r="G55" s="100" t="s">
        <v>553</v>
      </c>
      <c r="H55" s="1112"/>
      <c r="I55" s="990"/>
      <c r="J55" s="990"/>
      <c r="K55" s="991">
        <f>I55*J55</f>
        <v>0</v>
      </c>
      <c r="L55" s="990"/>
      <c r="M55" s="990"/>
      <c r="N55" s="991"/>
      <c r="O55" s="992"/>
      <c r="P55" s="990"/>
      <c r="Q55" s="992"/>
      <c r="R55" s="102"/>
      <c r="S55" s="1194">
        <f>IF(F55="NA","",H55*R55)</f>
        <v>0</v>
      </c>
      <c r="T55" s="884"/>
    </row>
    <row r="56" spans="2:20" ht="19.149999999999999" customHeight="1" x14ac:dyDescent="0.25">
      <c r="B56" s="97"/>
      <c r="C56" s="98" t="str">
        <f>'Reference documents'!B27</f>
        <v>GRE.EEC.S.25.XX.S.00000.15.001.00</v>
      </c>
      <c r="D56" s="100" t="s">
        <v>2034</v>
      </c>
      <c r="E56" s="98" t="s">
        <v>2035</v>
      </c>
      <c r="F56" s="1193" t="s">
        <v>160</v>
      </c>
      <c r="G56" s="100" t="s">
        <v>553</v>
      </c>
      <c r="H56" s="1112"/>
      <c r="I56" s="990"/>
      <c r="J56" s="990"/>
      <c r="K56" s="991">
        <f>I56*J56</f>
        <v>0</v>
      </c>
      <c r="L56" s="990"/>
      <c r="M56" s="990"/>
      <c r="N56" s="991"/>
      <c r="O56" s="992"/>
      <c r="P56" s="990"/>
      <c r="Q56" s="992"/>
      <c r="R56" s="102"/>
      <c r="S56" s="1194">
        <f>IF(F56="NA","",H56*R56)</f>
        <v>0</v>
      </c>
      <c r="T56" s="884"/>
    </row>
    <row r="57" spans="2:20" ht="19.899999999999999" customHeight="1" x14ac:dyDescent="0.25">
      <c r="B57" s="1092"/>
      <c r="C57" s="1092" t="str">
        <f>'Reference documents'!B27</f>
        <v>GRE.EEC.S.25.XX.S.00000.15.001.00</v>
      </c>
      <c r="D57" s="1176" t="s">
        <v>2036</v>
      </c>
      <c r="E57" s="1208" t="s">
        <v>2037</v>
      </c>
      <c r="F57" s="1703"/>
      <c r="G57" s="1703"/>
      <c r="H57" s="1703"/>
      <c r="I57" s="1703"/>
      <c r="J57" s="1703"/>
      <c r="K57" s="1703"/>
      <c r="L57" s="1703"/>
      <c r="M57" s="1703"/>
      <c r="N57" s="1703"/>
      <c r="O57" s="1703"/>
      <c r="P57" s="1703"/>
      <c r="Q57" s="1703"/>
      <c r="R57" s="1703"/>
      <c r="S57" s="1703"/>
      <c r="T57" s="1704"/>
    </row>
    <row r="58" spans="2:20" ht="19.149999999999999" customHeight="1" x14ac:dyDescent="0.25">
      <c r="B58" s="97"/>
      <c r="C58" s="98" t="str">
        <f>'Reference documents'!B27</f>
        <v>GRE.EEC.S.25.XX.S.00000.15.001.00</v>
      </c>
      <c r="D58" s="100" t="s">
        <v>2038</v>
      </c>
      <c r="E58" s="98" t="s">
        <v>2039</v>
      </c>
      <c r="F58" s="1193" t="s">
        <v>160</v>
      </c>
      <c r="G58" s="100" t="s">
        <v>553</v>
      </c>
      <c r="H58" s="1112"/>
      <c r="I58" s="990"/>
      <c r="J58" s="990"/>
      <c r="K58" s="991">
        <f>I58*J58</f>
        <v>0</v>
      </c>
      <c r="L58" s="990"/>
      <c r="M58" s="990"/>
      <c r="N58" s="991"/>
      <c r="O58" s="992"/>
      <c r="P58" s="990"/>
      <c r="Q58" s="992"/>
      <c r="R58" s="102"/>
      <c r="S58" s="1194">
        <f>IF(F58="NA","",H58*R58)</f>
        <v>0</v>
      </c>
      <c r="T58" s="884"/>
    </row>
    <row r="59" spans="2:20" ht="19.149999999999999" customHeight="1" x14ac:dyDescent="0.25">
      <c r="B59" s="97"/>
      <c r="C59" s="98" t="str">
        <f>'Reference documents'!B27</f>
        <v>GRE.EEC.S.25.XX.S.00000.15.001.00</v>
      </c>
      <c r="D59" s="100" t="s">
        <v>2040</v>
      </c>
      <c r="E59" s="98" t="s">
        <v>2041</v>
      </c>
      <c r="F59" s="1193" t="s">
        <v>160</v>
      </c>
      <c r="G59" s="100" t="s">
        <v>553</v>
      </c>
      <c r="H59" s="1112"/>
      <c r="I59" s="990"/>
      <c r="J59" s="990"/>
      <c r="K59" s="991">
        <f>I59*J59</f>
        <v>0</v>
      </c>
      <c r="L59" s="990"/>
      <c r="M59" s="990"/>
      <c r="N59" s="991"/>
      <c r="O59" s="992"/>
      <c r="P59" s="990"/>
      <c r="Q59" s="992"/>
      <c r="R59" s="102"/>
      <c r="S59" s="1194">
        <f>IF(F59="NA","",H59*R59)</f>
        <v>0</v>
      </c>
      <c r="T59" s="884"/>
    </row>
    <row r="60" spans="2:20" ht="19.149999999999999" customHeight="1" x14ac:dyDescent="0.25">
      <c r="B60" s="97"/>
      <c r="C60" s="98" t="str">
        <f>'Reference documents'!B27</f>
        <v>GRE.EEC.S.25.XX.S.00000.15.001.00</v>
      </c>
      <c r="D60" s="100" t="s">
        <v>2042</v>
      </c>
      <c r="E60" s="98" t="s">
        <v>2043</v>
      </c>
      <c r="F60" s="1193" t="s">
        <v>160</v>
      </c>
      <c r="G60" s="100" t="s">
        <v>553</v>
      </c>
      <c r="H60" s="1112"/>
      <c r="I60" s="990"/>
      <c r="J60" s="990"/>
      <c r="K60" s="991">
        <f>I60*J60</f>
        <v>0</v>
      </c>
      <c r="L60" s="990"/>
      <c r="M60" s="990"/>
      <c r="N60" s="991"/>
      <c r="O60" s="992"/>
      <c r="P60" s="990"/>
      <c r="Q60" s="992"/>
      <c r="R60" s="102"/>
      <c r="S60" s="1194">
        <f>IF(F60="NA","",H60*R60)</f>
        <v>0</v>
      </c>
      <c r="T60" s="884"/>
    </row>
    <row r="61" spans="2:20" ht="19.899999999999999" customHeight="1" x14ac:dyDescent="0.25">
      <c r="B61" s="1092"/>
      <c r="C61" s="1092" t="str">
        <f>'Reference documents'!B27</f>
        <v>GRE.EEC.S.25.XX.S.00000.15.001.00</v>
      </c>
      <c r="D61" s="1176" t="s">
        <v>2044</v>
      </c>
      <c r="E61" s="1208" t="s">
        <v>2045</v>
      </c>
      <c r="F61" s="1703"/>
      <c r="G61" s="1703"/>
      <c r="H61" s="1703"/>
      <c r="I61" s="1703"/>
      <c r="J61" s="1703"/>
      <c r="K61" s="1703"/>
      <c r="L61" s="1703"/>
      <c r="M61" s="1703"/>
      <c r="N61" s="1703"/>
      <c r="O61" s="1703"/>
      <c r="P61" s="1703"/>
      <c r="Q61" s="1703"/>
      <c r="R61" s="1703"/>
      <c r="S61" s="1703"/>
      <c r="T61" s="1704"/>
    </row>
    <row r="62" spans="2:20" ht="19.149999999999999" customHeight="1" x14ac:dyDescent="0.25">
      <c r="B62" s="97"/>
      <c r="C62" s="98" t="str">
        <f>'Reference documents'!B27</f>
        <v>GRE.EEC.S.25.XX.S.00000.15.001.00</v>
      </c>
      <c r="D62" s="100" t="s">
        <v>2046</v>
      </c>
      <c r="E62" s="98" t="s">
        <v>2047</v>
      </c>
      <c r="F62" s="1193" t="s">
        <v>160</v>
      </c>
      <c r="G62" s="100" t="s">
        <v>345</v>
      </c>
      <c r="H62" s="1112"/>
      <c r="I62" s="990"/>
      <c r="J62" s="990"/>
      <c r="K62" s="991">
        <f>I62*J62</f>
        <v>0</v>
      </c>
      <c r="L62" s="990"/>
      <c r="M62" s="990"/>
      <c r="N62" s="991"/>
      <c r="O62" s="992"/>
      <c r="P62" s="990"/>
      <c r="Q62" s="992"/>
      <c r="R62" s="102"/>
      <c r="S62" s="1194">
        <f>IF(F62="NA","",H62*R62)</f>
        <v>0</v>
      </c>
      <c r="T62" s="884"/>
    </row>
    <row r="63" spans="2:20" ht="19.149999999999999" customHeight="1" x14ac:dyDescent="0.25">
      <c r="B63" s="97"/>
      <c r="C63" s="98" t="str">
        <f>'Reference documents'!B27</f>
        <v>GRE.EEC.S.25.XX.S.00000.15.001.00</v>
      </c>
      <c r="D63" s="100" t="s">
        <v>2048</v>
      </c>
      <c r="E63" s="98" t="s">
        <v>2049</v>
      </c>
      <c r="F63" s="1193" t="s">
        <v>160</v>
      </c>
      <c r="G63" s="100" t="s">
        <v>345</v>
      </c>
      <c r="H63" s="1112"/>
      <c r="I63" s="990"/>
      <c r="J63" s="990"/>
      <c r="K63" s="991">
        <f>I63*J63</f>
        <v>0</v>
      </c>
      <c r="L63" s="990"/>
      <c r="M63" s="990"/>
      <c r="N63" s="991"/>
      <c r="O63" s="992"/>
      <c r="P63" s="990"/>
      <c r="Q63" s="992"/>
      <c r="R63" s="102"/>
      <c r="S63" s="1194">
        <f>IF(F63="NA","",H63*R63)</f>
        <v>0</v>
      </c>
      <c r="T63" s="884"/>
    </row>
    <row r="64" spans="2:20" ht="19.149999999999999" customHeight="1" x14ac:dyDescent="0.25">
      <c r="B64" s="97"/>
      <c r="C64" s="98" t="str">
        <f>'Reference documents'!B27</f>
        <v>GRE.EEC.S.25.XX.S.00000.15.001.00</v>
      </c>
      <c r="D64" s="100" t="s">
        <v>2050</v>
      </c>
      <c r="E64" s="98" t="s">
        <v>2051</v>
      </c>
      <c r="F64" s="1193" t="s">
        <v>160</v>
      </c>
      <c r="G64" s="100" t="s">
        <v>345</v>
      </c>
      <c r="H64" s="1112"/>
      <c r="I64" s="990"/>
      <c r="J64" s="990"/>
      <c r="K64" s="991">
        <f>I64*J64</f>
        <v>0</v>
      </c>
      <c r="L64" s="990"/>
      <c r="M64" s="990"/>
      <c r="N64" s="991"/>
      <c r="O64" s="992"/>
      <c r="P64" s="990"/>
      <c r="Q64" s="992"/>
      <c r="R64" s="102"/>
      <c r="S64" s="1194">
        <f>IF(F64="NA","",H64*R64)</f>
        <v>0</v>
      </c>
      <c r="T64" s="884"/>
    </row>
    <row r="65" spans="2:20" ht="19.149999999999999" customHeight="1" x14ac:dyDescent="0.25">
      <c r="B65" s="97"/>
      <c r="C65" s="98" t="str">
        <f>'Reference documents'!B27</f>
        <v>GRE.EEC.S.25.XX.S.00000.15.001.00</v>
      </c>
      <c r="D65" s="100" t="s">
        <v>2052</v>
      </c>
      <c r="E65" s="98" t="s">
        <v>2053</v>
      </c>
      <c r="F65" s="1193" t="s">
        <v>160</v>
      </c>
      <c r="G65" s="100" t="s">
        <v>345</v>
      </c>
      <c r="H65" s="1112"/>
      <c r="I65" s="990"/>
      <c r="J65" s="990"/>
      <c r="K65" s="991">
        <f>I65*J65</f>
        <v>0</v>
      </c>
      <c r="L65" s="990"/>
      <c r="M65" s="990"/>
      <c r="N65" s="991"/>
      <c r="O65" s="992"/>
      <c r="P65" s="990"/>
      <c r="Q65" s="992"/>
      <c r="R65" s="102"/>
      <c r="S65" s="1194">
        <f>IF(F65="NA","",H65*R65)</f>
        <v>0</v>
      </c>
      <c r="T65" s="884"/>
    </row>
    <row r="66" spans="2:20" ht="19.899999999999999" customHeight="1" x14ac:dyDescent="0.25">
      <c r="B66" s="1092"/>
      <c r="C66" s="1092" t="str">
        <f>'Reference documents'!B27</f>
        <v>GRE.EEC.S.25.XX.S.00000.15.001.00</v>
      </c>
      <c r="D66" s="1176" t="s">
        <v>2054</v>
      </c>
      <c r="E66" s="1208" t="s">
        <v>2055</v>
      </c>
      <c r="F66" s="1703"/>
      <c r="G66" s="1703"/>
      <c r="H66" s="1703"/>
      <c r="I66" s="1703"/>
      <c r="J66" s="1703"/>
      <c r="K66" s="1703"/>
      <c r="L66" s="1703"/>
      <c r="M66" s="1703"/>
      <c r="N66" s="1703"/>
      <c r="O66" s="1703"/>
      <c r="P66" s="1703"/>
      <c r="Q66" s="1703"/>
      <c r="R66" s="1703"/>
      <c r="S66" s="1703"/>
      <c r="T66" s="1704"/>
    </row>
    <row r="67" spans="2:20" ht="19.149999999999999" customHeight="1" x14ac:dyDescent="0.25">
      <c r="B67" s="97"/>
      <c r="C67" s="98" t="str">
        <f>'Reference documents'!B27</f>
        <v>GRE.EEC.S.25.XX.S.00000.15.001.00</v>
      </c>
      <c r="D67" s="100" t="s">
        <v>2056</v>
      </c>
      <c r="E67" s="98" t="s">
        <v>2057</v>
      </c>
      <c r="F67" s="1193" t="s">
        <v>160</v>
      </c>
      <c r="G67" s="100" t="s">
        <v>1941</v>
      </c>
      <c r="H67" s="1112"/>
      <c r="I67" s="990"/>
      <c r="J67" s="990"/>
      <c r="K67" s="991">
        <f>I67*J67</f>
        <v>0</v>
      </c>
      <c r="L67" s="990"/>
      <c r="M67" s="990"/>
      <c r="N67" s="991"/>
      <c r="O67" s="992"/>
      <c r="P67" s="990"/>
      <c r="Q67" s="992"/>
      <c r="R67" s="102"/>
      <c r="S67" s="1194">
        <f>IF(F67="NA","",H67*R67)</f>
        <v>0</v>
      </c>
      <c r="T67" s="884"/>
    </row>
    <row r="68" spans="2:20" ht="19.149999999999999" customHeight="1" x14ac:dyDescent="0.25">
      <c r="B68" s="97"/>
      <c r="C68" s="98" t="str">
        <f>'Reference documents'!B27</f>
        <v>GRE.EEC.S.25.XX.S.00000.15.001.00</v>
      </c>
      <c r="D68" s="100" t="s">
        <v>2058</v>
      </c>
      <c r="E68" s="98" t="s">
        <v>2059</v>
      </c>
      <c r="F68" s="1193" t="s">
        <v>160</v>
      </c>
      <c r="G68" s="100" t="s">
        <v>1941</v>
      </c>
      <c r="H68" s="1112"/>
      <c r="I68" s="990"/>
      <c r="J68" s="990"/>
      <c r="K68" s="991">
        <f>I68*J68</f>
        <v>0</v>
      </c>
      <c r="L68" s="990"/>
      <c r="M68" s="990"/>
      <c r="N68" s="991"/>
      <c r="O68" s="992"/>
      <c r="P68" s="990"/>
      <c r="Q68" s="992"/>
      <c r="R68" s="102"/>
      <c r="S68" s="1194">
        <f>IF(F68="NA","",H68*R68)</f>
        <v>0</v>
      </c>
      <c r="T68" s="884"/>
    </row>
    <row r="69" spans="2:20" ht="19.149999999999999" customHeight="1" x14ac:dyDescent="0.25">
      <c r="B69" s="97"/>
      <c r="C69" s="98" t="str">
        <f>'Reference documents'!B27</f>
        <v>GRE.EEC.S.25.XX.S.00000.15.001.00</v>
      </c>
      <c r="D69" s="100" t="s">
        <v>2060</v>
      </c>
      <c r="E69" s="98" t="s">
        <v>2061</v>
      </c>
      <c r="F69" s="1193" t="s">
        <v>160</v>
      </c>
      <c r="G69" s="100" t="s">
        <v>1941</v>
      </c>
      <c r="H69" s="1112"/>
      <c r="I69" s="990"/>
      <c r="J69" s="990"/>
      <c r="K69" s="991">
        <f>I69*J69</f>
        <v>0</v>
      </c>
      <c r="L69" s="990"/>
      <c r="M69" s="990"/>
      <c r="N69" s="991"/>
      <c r="O69" s="992"/>
      <c r="P69" s="990"/>
      <c r="Q69" s="992"/>
      <c r="R69" s="102"/>
      <c r="S69" s="1194">
        <f>IF(F69="NA","",H69*R69)</f>
        <v>0</v>
      </c>
      <c r="T69" s="884"/>
    </row>
    <row r="70" spans="2:20" ht="19.149999999999999" customHeight="1" x14ac:dyDescent="0.25">
      <c r="B70" s="97"/>
      <c r="C70" s="98" t="str">
        <f>'Reference documents'!B27</f>
        <v>GRE.EEC.S.25.XX.S.00000.15.001.00</v>
      </c>
      <c r="D70" s="100" t="s">
        <v>2062</v>
      </c>
      <c r="E70" s="98" t="s">
        <v>2063</v>
      </c>
      <c r="F70" s="1193" t="s">
        <v>160</v>
      </c>
      <c r="G70" s="100" t="s">
        <v>1941</v>
      </c>
      <c r="H70" s="1112"/>
      <c r="I70" s="990"/>
      <c r="J70" s="990"/>
      <c r="K70" s="991">
        <f>I70*J70</f>
        <v>0</v>
      </c>
      <c r="L70" s="990"/>
      <c r="M70" s="990"/>
      <c r="N70" s="991"/>
      <c r="O70" s="992"/>
      <c r="P70" s="990"/>
      <c r="Q70" s="992"/>
      <c r="R70" s="102"/>
      <c r="S70" s="1194">
        <f>IF(F70="NA","",H70*R70)</f>
        <v>0</v>
      </c>
      <c r="T70" s="884"/>
    </row>
    <row r="71" spans="2:20" ht="19.149999999999999" customHeight="1" x14ac:dyDescent="0.25">
      <c r="B71" s="97"/>
      <c r="C71" s="98" t="str">
        <f>'Reference documents'!B27</f>
        <v>GRE.EEC.S.25.XX.S.00000.15.001.00</v>
      </c>
      <c r="D71" s="100" t="s">
        <v>2064</v>
      </c>
      <c r="E71" s="98" t="s">
        <v>2065</v>
      </c>
      <c r="F71" s="1193" t="s">
        <v>160</v>
      </c>
      <c r="G71" s="100" t="s">
        <v>1941</v>
      </c>
      <c r="H71" s="1112"/>
      <c r="I71" s="990"/>
      <c r="J71" s="990"/>
      <c r="K71" s="991">
        <f>I71*J71</f>
        <v>0</v>
      </c>
      <c r="L71" s="990"/>
      <c r="M71" s="990"/>
      <c r="N71" s="991"/>
      <c r="O71" s="992"/>
      <c r="P71" s="990"/>
      <c r="Q71" s="992"/>
      <c r="R71" s="102"/>
      <c r="S71" s="1194">
        <f>IF(F71="NA","",H71*R71)</f>
        <v>0</v>
      </c>
      <c r="T71" s="884"/>
    </row>
    <row r="72" spans="2:20" ht="19.899999999999999" customHeight="1" x14ac:dyDescent="0.25">
      <c r="B72" s="1092"/>
      <c r="C72" s="1092" t="str">
        <f>'Reference documents'!B27</f>
        <v>GRE.EEC.S.25.XX.S.00000.15.001.00</v>
      </c>
      <c r="D72" s="1176" t="s">
        <v>2066</v>
      </c>
      <c r="E72" s="1208" t="s">
        <v>2067</v>
      </c>
      <c r="F72" s="1703"/>
      <c r="G72" s="1703"/>
      <c r="H72" s="1703"/>
      <c r="I72" s="1703"/>
      <c r="J72" s="1703"/>
      <c r="K72" s="1703"/>
      <c r="L72" s="1703"/>
      <c r="M72" s="1703"/>
      <c r="N72" s="1703"/>
      <c r="O72" s="1703"/>
      <c r="P72" s="1703"/>
      <c r="Q72" s="1703"/>
      <c r="R72" s="1703"/>
      <c r="S72" s="1703"/>
      <c r="T72" s="1704"/>
    </row>
    <row r="73" spans="2:20" ht="19.149999999999999" customHeight="1" x14ac:dyDescent="0.25">
      <c r="B73" s="97"/>
      <c r="C73" s="98" t="str">
        <f>'Reference documents'!B27</f>
        <v>GRE.EEC.S.25.XX.S.00000.15.001.00</v>
      </c>
      <c r="D73" s="100" t="s">
        <v>2068</v>
      </c>
      <c r="E73" s="98" t="s">
        <v>2069</v>
      </c>
      <c r="F73" s="1193" t="s">
        <v>160</v>
      </c>
      <c r="G73" s="100" t="s">
        <v>1941</v>
      </c>
      <c r="H73" s="1112"/>
      <c r="I73" s="990"/>
      <c r="J73" s="990"/>
      <c r="K73" s="991">
        <f>I73*J73</f>
        <v>0</v>
      </c>
      <c r="L73" s="990"/>
      <c r="M73" s="990"/>
      <c r="N73" s="991"/>
      <c r="O73" s="992"/>
      <c r="P73" s="990"/>
      <c r="Q73" s="992"/>
      <c r="R73" s="102"/>
      <c r="S73" s="1194">
        <f>IF(F73="NA","",H73*R73)</f>
        <v>0</v>
      </c>
      <c r="T73" s="884"/>
    </row>
    <row r="74" spans="2:20" ht="19.149999999999999" customHeight="1" x14ac:dyDescent="0.25">
      <c r="B74" s="97"/>
      <c r="C74" s="98" t="str">
        <f>'Reference documents'!B27</f>
        <v>GRE.EEC.S.25.XX.S.00000.15.001.00</v>
      </c>
      <c r="D74" s="100" t="s">
        <v>2070</v>
      </c>
      <c r="E74" s="98" t="s">
        <v>2071</v>
      </c>
      <c r="F74" s="1193" t="s">
        <v>160</v>
      </c>
      <c r="G74" s="100" t="s">
        <v>1941</v>
      </c>
      <c r="H74" s="1112"/>
      <c r="I74" s="990"/>
      <c r="J74" s="990"/>
      <c r="K74" s="991">
        <f>I74*J74</f>
        <v>0</v>
      </c>
      <c r="L74" s="990"/>
      <c r="M74" s="990"/>
      <c r="N74" s="991"/>
      <c r="O74" s="992"/>
      <c r="P74" s="990"/>
      <c r="Q74" s="992"/>
      <c r="R74" s="102"/>
      <c r="S74" s="1194">
        <f>IF(F74="NA","",H74*R74)</f>
        <v>0</v>
      </c>
      <c r="T74" s="884"/>
    </row>
    <row r="75" spans="2:20" ht="19.149999999999999" customHeight="1" x14ac:dyDescent="0.25">
      <c r="B75" s="97"/>
      <c r="C75" s="98" t="str">
        <f>'Reference documents'!B27</f>
        <v>GRE.EEC.S.25.XX.S.00000.15.001.00</v>
      </c>
      <c r="D75" s="100" t="s">
        <v>2072</v>
      </c>
      <c r="E75" s="98" t="s">
        <v>2073</v>
      </c>
      <c r="F75" s="1193" t="s">
        <v>160</v>
      </c>
      <c r="G75" s="100" t="s">
        <v>1941</v>
      </c>
      <c r="H75" s="1112"/>
      <c r="I75" s="990"/>
      <c r="J75" s="990"/>
      <c r="K75" s="991">
        <f>I75*J75</f>
        <v>0</v>
      </c>
      <c r="L75" s="990"/>
      <c r="M75" s="990"/>
      <c r="N75" s="991"/>
      <c r="O75" s="992"/>
      <c r="P75" s="990"/>
      <c r="Q75" s="992"/>
      <c r="R75" s="102"/>
      <c r="S75" s="1194">
        <f>IF(F75="NA","",H75*R75)</f>
        <v>0</v>
      </c>
      <c r="T75" s="884"/>
    </row>
    <row r="76" spans="2:20" ht="19.149999999999999" customHeight="1" x14ac:dyDescent="0.25">
      <c r="B76" s="97"/>
      <c r="C76" s="98" t="str">
        <f>'Reference documents'!B27</f>
        <v>GRE.EEC.S.25.XX.S.00000.15.001.00</v>
      </c>
      <c r="D76" s="100" t="s">
        <v>2074</v>
      </c>
      <c r="E76" s="98" t="s">
        <v>2075</v>
      </c>
      <c r="F76" s="1193" t="s">
        <v>160</v>
      </c>
      <c r="G76" s="100" t="s">
        <v>1941</v>
      </c>
      <c r="H76" s="1112"/>
      <c r="I76" s="990"/>
      <c r="J76" s="990"/>
      <c r="K76" s="991">
        <f>I76*J76</f>
        <v>0</v>
      </c>
      <c r="L76" s="990"/>
      <c r="M76" s="990"/>
      <c r="N76" s="991"/>
      <c r="O76" s="992"/>
      <c r="P76" s="990"/>
      <c r="Q76" s="992"/>
      <c r="R76" s="102"/>
      <c r="S76" s="1194">
        <f>IF(F76="NA","",H76*R76)</f>
        <v>0</v>
      </c>
      <c r="T76" s="884"/>
    </row>
    <row r="77" spans="2:20" ht="19.899999999999999" customHeight="1" x14ac:dyDescent="0.25">
      <c r="B77" s="1092"/>
      <c r="C77" s="1092" t="str">
        <f>'Reference documents'!B27</f>
        <v>GRE.EEC.S.25.XX.S.00000.15.001.00</v>
      </c>
      <c r="D77" s="1176" t="s">
        <v>2076</v>
      </c>
      <c r="E77" s="1208" t="s">
        <v>2077</v>
      </c>
      <c r="F77" s="1703"/>
      <c r="G77" s="1703"/>
      <c r="H77" s="1703"/>
      <c r="I77" s="1703"/>
      <c r="J77" s="1703"/>
      <c r="K77" s="1703"/>
      <c r="L77" s="1703"/>
      <c r="M77" s="1703"/>
      <c r="N77" s="1703"/>
      <c r="O77" s="1703"/>
      <c r="P77" s="1703"/>
      <c r="Q77" s="1703"/>
      <c r="R77" s="1703"/>
      <c r="S77" s="1703"/>
      <c r="T77" s="1704"/>
    </row>
    <row r="78" spans="2:20" ht="19.149999999999999" customHeight="1" x14ac:dyDescent="0.25">
      <c r="B78" s="97"/>
      <c r="C78" s="98" t="str">
        <f>'Reference documents'!B27</f>
        <v>GRE.EEC.S.25.XX.S.00000.15.001.00</v>
      </c>
      <c r="D78" s="100" t="s">
        <v>2078</v>
      </c>
      <c r="E78" s="98" t="s">
        <v>2079</v>
      </c>
      <c r="F78" s="1193" t="s">
        <v>160</v>
      </c>
      <c r="G78" s="100" t="s">
        <v>1941</v>
      </c>
      <c r="H78" s="1112"/>
      <c r="I78" s="990"/>
      <c r="J78" s="990"/>
      <c r="K78" s="991">
        <f>I78*J78</f>
        <v>0</v>
      </c>
      <c r="L78" s="990"/>
      <c r="M78" s="990"/>
      <c r="N78" s="991"/>
      <c r="O78" s="992"/>
      <c r="P78" s="990"/>
      <c r="Q78" s="992"/>
      <c r="R78" s="102"/>
      <c r="S78" s="1194">
        <f>IF(F78="NA","",H78*R78)</f>
        <v>0</v>
      </c>
      <c r="T78" s="884"/>
    </row>
    <row r="79" spans="2:20" ht="19.149999999999999" customHeight="1" x14ac:dyDescent="0.25">
      <c r="B79" s="97"/>
      <c r="C79" s="98" t="str">
        <f>'Reference documents'!B27</f>
        <v>GRE.EEC.S.25.XX.S.00000.15.001.00</v>
      </c>
      <c r="D79" s="100" t="s">
        <v>2080</v>
      </c>
      <c r="E79" s="98" t="s">
        <v>2081</v>
      </c>
      <c r="F79" s="1193" t="s">
        <v>160</v>
      </c>
      <c r="G79" s="100" t="s">
        <v>1941</v>
      </c>
      <c r="H79" s="1112"/>
      <c r="I79" s="990"/>
      <c r="J79" s="990"/>
      <c r="K79" s="991">
        <f>I79*J79</f>
        <v>0</v>
      </c>
      <c r="L79" s="990"/>
      <c r="M79" s="990"/>
      <c r="N79" s="991"/>
      <c r="O79" s="992"/>
      <c r="P79" s="990"/>
      <c r="Q79" s="992"/>
      <c r="R79" s="102"/>
      <c r="S79" s="1194">
        <f>IF(F79="NA","",H79*R79)</f>
        <v>0</v>
      </c>
      <c r="T79" s="884"/>
    </row>
    <row r="80" spans="2:20" ht="19.149999999999999" customHeight="1" x14ac:dyDescent="0.25">
      <c r="B80" s="97"/>
      <c r="C80" s="98" t="str">
        <f>'Reference documents'!B27</f>
        <v>GRE.EEC.S.25.XX.S.00000.15.001.00</v>
      </c>
      <c r="D80" s="100" t="s">
        <v>2082</v>
      </c>
      <c r="E80" s="98" t="s">
        <v>2083</v>
      </c>
      <c r="F80" s="1193" t="s">
        <v>160</v>
      </c>
      <c r="G80" s="100" t="s">
        <v>1941</v>
      </c>
      <c r="H80" s="1112"/>
      <c r="I80" s="990"/>
      <c r="J80" s="990"/>
      <c r="K80" s="991">
        <f>I80*J80</f>
        <v>0</v>
      </c>
      <c r="L80" s="990"/>
      <c r="M80" s="990"/>
      <c r="N80" s="991"/>
      <c r="O80" s="992"/>
      <c r="P80" s="990"/>
      <c r="Q80" s="992"/>
      <c r="R80" s="102"/>
      <c r="S80" s="1194">
        <f>IF(F80="NA","",H80*R80)</f>
        <v>0</v>
      </c>
      <c r="T80" s="884"/>
    </row>
    <row r="81" spans="2:20" s="1206" customFormat="1" ht="15" customHeight="1" x14ac:dyDescent="0.25">
      <c r="B81" s="1542" t="s">
        <v>125</v>
      </c>
      <c r="C81" s="1543"/>
      <c r="D81" s="1543"/>
      <c r="E81" s="1548"/>
      <c r="F81" s="1590" t="s">
        <v>154</v>
      </c>
      <c r="G81" s="1590"/>
      <c r="H81" s="1590"/>
      <c r="I81" s="1590"/>
      <c r="J81" s="1590"/>
      <c r="K81" s="1590"/>
      <c r="L81" s="1590"/>
      <c r="M81" s="1590"/>
      <c r="N81" s="1590"/>
      <c r="O81" s="1590"/>
      <c r="P81" s="1590"/>
      <c r="Q81" s="1590"/>
      <c r="R81" s="1590"/>
      <c r="S81" s="863">
        <f>SUMIF(F85:F110,"Mandatory",S85:S110)</f>
        <v>0</v>
      </c>
      <c r="T81" s="909"/>
    </row>
    <row r="82" spans="2:20" s="1206" customFormat="1" ht="15" customHeight="1" x14ac:dyDescent="0.25">
      <c r="B82" s="1544"/>
      <c r="C82" s="1545"/>
      <c r="D82" s="1545"/>
      <c r="E82" s="1549"/>
      <c r="F82" s="1590" t="s">
        <v>156</v>
      </c>
      <c r="G82" s="1590"/>
      <c r="H82" s="1590"/>
      <c r="I82" s="1590"/>
      <c r="J82" s="1590"/>
      <c r="K82" s="1590"/>
      <c r="L82" s="1590"/>
      <c r="M82" s="1590"/>
      <c r="N82" s="1590"/>
      <c r="O82" s="1590"/>
      <c r="P82" s="1590"/>
      <c r="Q82" s="1590"/>
      <c r="R82" s="1590"/>
      <c r="S82" s="863">
        <f>SUMIF(F85:F110,"Mandatory",S85:S110)</f>
        <v>0</v>
      </c>
      <c r="T82" s="909"/>
    </row>
    <row r="83" spans="2:20" ht="19.899999999999999" customHeight="1" x14ac:dyDescent="0.25">
      <c r="B83" s="1092"/>
      <c r="C83" s="1092" t="str">
        <f>'Reference documents'!B27</f>
        <v>GRE.EEC.S.25.XX.S.00000.15.001.00</v>
      </c>
      <c r="D83" s="1176" t="s">
        <v>2084</v>
      </c>
      <c r="E83" s="1208" t="s">
        <v>125</v>
      </c>
      <c r="F83" s="1703"/>
      <c r="G83" s="1703"/>
      <c r="H83" s="1703"/>
      <c r="I83" s="1703"/>
      <c r="J83" s="1703"/>
      <c r="K83" s="1703"/>
      <c r="L83" s="1703"/>
      <c r="M83" s="1703"/>
      <c r="N83" s="1703"/>
      <c r="O83" s="1703"/>
      <c r="P83" s="1703"/>
      <c r="Q83" s="1703"/>
      <c r="R83" s="1703"/>
      <c r="S83" s="1703"/>
      <c r="T83" s="1704"/>
    </row>
    <row r="84" spans="2:20" ht="19.899999999999999" customHeight="1" x14ac:dyDescent="0.25">
      <c r="B84" s="1210"/>
      <c r="C84" s="1210" t="str">
        <f>'Reference documents'!B27</f>
        <v>GRE.EEC.S.25.XX.S.00000.15.001.00</v>
      </c>
      <c r="D84" s="1211" t="s">
        <v>2085</v>
      </c>
      <c r="E84" s="1212" t="s">
        <v>2086</v>
      </c>
      <c r="F84" s="1213"/>
      <c r="G84" s="1213"/>
      <c r="H84" s="1213"/>
      <c r="I84" s="1213"/>
      <c r="J84" s="1213"/>
      <c r="K84" s="1213"/>
      <c r="L84" s="1213"/>
      <c r="M84" s="1213"/>
      <c r="N84" s="1213"/>
      <c r="O84" s="1213"/>
      <c r="P84" s="1213"/>
      <c r="Q84" s="1213"/>
      <c r="R84" s="1213"/>
      <c r="S84" s="1213"/>
      <c r="T84" s="1214"/>
    </row>
    <row r="85" spans="2:20" ht="19.149999999999999" customHeight="1" x14ac:dyDescent="0.25">
      <c r="B85" s="97"/>
      <c r="C85" s="98" t="str">
        <f>'Reference documents'!B27</f>
        <v>GRE.EEC.S.25.XX.S.00000.15.001.00</v>
      </c>
      <c r="D85" s="100" t="s">
        <v>2087</v>
      </c>
      <c r="E85" s="98" t="s">
        <v>2088</v>
      </c>
      <c r="F85" s="1193" t="s">
        <v>160</v>
      </c>
      <c r="G85" s="100" t="s">
        <v>1941</v>
      </c>
      <c r="H85" s="1112"/>
      <c r="I85" s="990"/>
      <c r="J85" s="990"/>
      <c r="K85" s="991">
        <f>I85*J85</f>
        <v>0</v>
      </c>
      <c r="L85" s="990"/>
      <c r="M85" s="990"/>
      <c r="N85" s="991"/>
      <c r="O85" s="992"/>
      <c r="P85" s="990"/>
      <c r="Q85" s="992"/>
      <c r="R85" s="102"/>
      <c r="S85" s="1194">
        <f>IF(F85="NA","",H85*R85)</f>
        <v>0</v>
      </c>
      <c r="T85" s="884"/>
    </row>
    <row r="86" spans="2:20" ht="19.149999999999999" customHeight="1" x14ac:dyDescent="0.25">
      <c r="B86" s="97"/>
      <c r="C86" s="98" t="str">
        <f>'Reference documents'!B27</f>
        <v>GRE.EEC.S.25.XX.S.00000.15.001.00</v>
      </c>
      <c r="D86" s="100" t="s">
        <v>2089</v>
      </c>
      <c r="E86" s="98" t="s">
        <v>2090</v>
      </c>
      <c r="F86" s="1193" t="s">
        <v>160</v>
      </c>
      <c r="G86" s="100" t="s">
        <v>1941</v>
      </c>
      <c r="H86" s="1112"/>
      <c r="I86" s="990"/>
      <c r="J86" s="990"/>
      <c r="K86" s="991">
        <f>I86*J86</f>
        <v>0</v>
      </c>
      <c r="L86" s="990"/>
      <c r="M86" s="990"/>
      <c r="N86" s="991"/>
      <c r="O86" s="992"/>
      <c r="P86" s="990"/>
      <c r="Q86" s="992"/>
      <c r="R86" s="102"/>
      <c r="S86" s="1194">
        <f>IF(F86="NA","",H86*R86)</f>
        <v>0</v>
      </c>
      <c r="T86" s="884"/>
    </row>
    <row r="87" spans="2:20" ht="19.149999999999999" customHeight="1" x14ac:dyDescent="0.25">
      <c r="B87" s="97"/>
      <c r="C87" s="98" t="str">
        <f>'Reference documents'!B27</f>
        <v>GRE.EEC.S.25.XX.S.00000.15.001.00</v>
      </c>
      <c r="D87" s="100" t="s">
        <v>2091</v>
      </c>
      <c r="E87" s="98" t="s">
        <v>2092</v>
      </c>
      <c r="F87" s="1193" t="s">
        <v>160</v>
      </c>
      <c r="G87" s="100" t="s">
        <v>1941</v>
      </c>
      <c r="H87" s="1112"/>
      <c r="I87" s="990"/>
      <c r="J87" s="990"/>
      <c r="K87" s="991">
        <f>I87*J87</f>
        <v>0</v>
      </c>
      <c r="L87" s="990"/>
      <c r="M87" s="990"/>
      <c r="N87" s="991"/>
      <c r="O87" s="992"/>
      <c r="P87" s="990"/>
      <c r="Q87" s="992"/>
      <c r="R87" s="102"/>
      <c r="S87" s="1194">
        <f>IF(F87="NA","",H87*R87)</f>
        <v>0</v>
      </c>
      <c r="T87" s="884"/>
    </row>
    <row r="88" spans="2:20" ht="19.149999999999999" customHeight="1" x14ac:dyDescent="0.25">
      <c r="B88" s="97"/>
      <c r="C88" s="98" t="str">
        <f>'Reference documents'!B27</f>
        <v>GRE.EEC.S.25.XX.S.00000.15.001.00</v>
      </c>
      <c r="D88" s="100" t="s">
        <v>2093</v>
      </c>
      <c r="E88" s="98" t="s">
        <v>2094</v>
      </c>
      <c r="F88" s="1193" t="s">
        <v>160</v>
      </c>
      <c r="G88" s="100" t="s">
        <v>1941</v>
      </c>
      <c r="H88" s="1112"/>
      <c r="I88" s="990"/>
      <c r="J88" s="990"/>
      <c r="K88" s="991">
        <f>I88*J88</f>
        <v>0</v>
      </c>
      <c r="L88" s="990"/>
      <c r="M88" s="990"/>
      <c r="N88" s="991"/>
      <c r="O88" s="992"/>
      <c r="P88" s="990"/>
      <c r="Q88" s="992"/>
      <c r="R88" s="102"/>
      <c r="S88" s="1194">
        <f>IF(F88="NA","",H88*R88)</f>
        <v>0</v>
      </c>
      <c r="T88" s="884"/>
    </row>
    <row r="89" spans="2:20" ht="19.899999999999999" customHeight="1" x14ac:dyDescent="0.25">
      <c r="B89" s="1210"/>
      <c r="C89" s="1210" t="str">
        <f>'Reference documents'!B27</f>
        <v>GRE.EEC.S.25.XX.S.00000.15.001.00</v>
      </c>
      <c r="D89" s="1211" t="s">
        <v>2095</v>
      </c>
      <c r="E89" s="1212" t="s">
        <v>2096</v>
      </c>
      <c r="F89" s="1213"/>
      <c r="G89" s="1213"/>
      <c r="H89" s="1213"/>
      <c r="I89" s="1213"/>
      <c r="J89" s="1213"/>
      <c r="K89" s="1213"/>
      <c r="L89" s="1213"/>
      <c r="M89" s="1213"/>
      <c r="N89" s="1213"/>
      <c r="O89" s="1213"/>
      <c r="P89" s="1213"/>
      <c r="Q89" s="1213"/>
      <c r="R89" s="1213"/>
      <c r="S89" s="1213"/>
      <c r="T89" s="1214"/>
    </row>
    <row r="90" spans="2:20" ht="19.149999999999999" customHeight="1" x14ac:dyDescent="0.25">
      <c r="B90" s="97"/>
      <c r="C90" s="98" t="str">
        <f>'Reference documents'!B27</f>
        <v>GRE.EEC.S.25.XX.S.00000.15.001.00</v>
      </c>
      <c r="D90" s="100" t="s">
        <v>2097</v>
      </c>
      <c r="E90" s="98" t="s">
        <v>2098</v>
      </c>
      <c r="F90" s="1193" t="s">
        <v>160</v>
      </c>
      <c r="G90" s="100" t="s">
        <v>1941</v>
      </c>
      <c r="H90" s="1112"/>
      <c r="I90" s="990"/>
      <c r="J90" s="990"/>
      <c r="K90" s="991">
        <f>I90*J90</f>
        <v>0</v>
      </c>
      <c r="L90" s="990"/>
      <c r="M90" s="990"/>
      <c r="N90" s="991"/>
      <c r="O90" s="992"/>
      <c r="P90" s="990"/>
      <c r="Q90" s="992"/>
      <c r="R90" s="102"/>
      <c r="S90" s="1194">
        <f>IF(F90="NA","",H90*R90)</f>
        <v>0</v>
      </c>
      <c r="T90" s="884"/>
    </row>
    <row r="91" spans="2:20" ht="19.899999999999999" customHeight="1" x14ac:dyDescent="0.25">
      <c r="B91" s="1210"/>
      <c r="C91" s="1210" t="str">
        <f>'Reference documents'!B27</f>
        <v>GRE.EEC.S.25.XX.S.00000.15.001.00</v>
      </c>
      <c r="D91" s="1211" t="s">
        <v>2099</v>
      </c>
      <c r="E91" s="1212" t="s">
        <v>2100</v>
      </c>
      <c r="F91" s="1213"/>
      <c r="G91" s="1213"/>
      <c r="H91" s="1213"/>
      <c r="I91" s="1213"/>
      <c r="J91" s="1213"/>
      <c r="K91" s="1213"/>
      <c r="L91" s="1213"/>
      <c r="M91" s="1213"/>
      <c r="N91" s="1213"/>
      <c r="O91" s="1213"/>
      <c r="P91" s="1213"/>
      <c r="Q91" s="1213"/>
      <c r="R91" s="1213"/>
      <c r="S91" s="1213"/>
      <c r="T91" s="1214"/>
    </row>
    <row r="92" spans="2:20" ht="19.149999999999999" customHeight="1" x14ac:dyDescent="0.25">
      <c r="B92" s="97"/>
      <c r="C92" s="98" t="str">
        <f>'Reference documents'!B27</f>
        <v>GRE.EEC.S.25.XX.S.00000.15.001.00</v>
      </c>
      <c r="D92" s="100" t="s">
        <v>2101</v>
      </c>
      <c r="E92" s="98" t="s">
        <v>2102</v>
      </c>
      <c r="F92" s="1193" t="s">
        <v>160</v>
      </c>
      <c r="G92" s="100" t="s">
        <v>1941</v>
      </c>
      <c r="H92" s="1112"/>
      <c r="I92" s="990"/>
      <c r="J92" s="990"/>
      <c r="K92" s="991">
        <f>I92*J92</f>
        <v>0</v>
      </c>
      <c r="L92" s="990"/>
      <c r="M92" s="990"/>
      <c r="N92" s="991"/>
      <c r="O92" s="992"/>
      <c r="P92" s="990"/>
      <c r="Q92" s="992"/>
      <c r="R92" s="102"/>
      <c r="S92" s="1194">
        <f>IF(F92="NA","",H92*R92)</f>
        <v>0</v>
      </c>
      <c r="T92" s="884"/>
    </row>
    <row r="93" spans="2:20" ht="19.149999999999999" customHeight="1" x14ac:dyDescent="0.25">
      <c r="B93" s="97"/>
      <c r="C93" s="98" t="str">
        <f>'Reference documents'!B27</f>
        <v>GRE.EEC.S.25.XX.S.00000.15.001.00</v>
      </c>
      <c r="D93" s="100" t="s">
        <v>2103</v>
      </c>
      <c r="E93" s="98" t="s">
        <v>2104</v>
      </c>
      <c r="F93" s="1193" t="s">
        <v>160</v>
      </c>
      <c r="G93" s="100" t="s">
        <v>1941</v>
      </c>
      <c r="H93" s="1112"/>
      <c r="I93" s="990"/>
      <c r="J93" s="990"/>
      <c r="K93" s="991">
        <f>I93*J93</f>
        <v>0</v>
      </c>
      <c r="L93" s="990"/>
      <c r="M93" s="990"/>
      <c r="N93" s="991"/>
      <c r="O93" s="992"/>
      <c r="P93" s="990"/>
      <c r="Q93" s="992"/>
      <c r="R93" s="102"/>
      <c r="S93" s="1194">
        <f>IF(F93="NA","",H93*R93)</f>
        <v>0</v>
      </c>
      <c r="T93" s="884"/>
    </row>
    <row r="94" spans="2:20" ht="19.899999999999999" customHeight="1" x14ac:dyDescent="0.25">
      <c r="B94" s="1210"/>
      <c r="C94" s="1210" t="str">
        <f>'Reference documents'!B27</f>
        <v>GRE.EEC.S.25.XX.S.00000.15.001.00</v>
      </c>
      <c r="D94" s="1211" t="s">
        <v>2105</v>
      </c>
      <c r="E94" s="1212" t="s">
        <v>2106</v>
      </c>
      <c r="F94" s="1213"/>
      <c r="G94" s="1213"/>
      <c r="H94" s="1213"/>
      <c r="I94" s="1213"/>
      <c r="J94" s="1213"/>
      <c r="K94" s="1213"/>
      <c r="L94" s="1213"/>
      <c r="M94" s="1213"/>
      <c r="N94" s="1213"/>
      <c r="O94" s="1213"/>
      <c r="P94" s="1213"/>
      <c r="Q94" s="1213"/>
      <c r="R94" s="1213"/>
      <c r="S94" s="1213"/>
      <c r="T94" s="1214"/>
    </row>
    <row r="95" spans="2:20" ht="15" x14ac:dyDescent="0.25">
      <c r="B95" s="1215"/>
      <c r="C95" s="1090" t="str">
        <f>'Reference documents'!B27</f>
        <v>GRE.EEC.S.25.XX.S.00000.15.001.00</v>
      </c>
      <c r="D95" s="132" t="s">
        <v>2107</v>
      </c>
      <c r="E95" s="1216" t="s">
        <v>2108</v>
      </c>
      <c r="F95" s="1217" t="s">
        <v>160</v>
      </c>
      <c r="G95" s="1218" t="s">
        <v>1941</v>
      </c>
      <c r="H95" s="1095"/>
      <c r="I95" s="990"/>
      <c r="J95" s="990"/>
      <c r="K95" s="991">
        <f>I95*J95</f>
        <v>0</v>
      </c>
      <c r="L95" s="990"/>
      <c r="M95" s="990"/>
      <c r="N95" s="991"/>
      <c r="O95" s="992"/>
      <c r="P95" s="990"/>
      <c r="Q95" s="992"/>
      <c r="R95" s="915"/>
      <c r="S95" s="1034">
        <f>IF(F95="NA","",H95*R95)</f>
        <v>0</v>
      </c>
      <c r="T95" s="1219"/>
    </row>
    <row r="96" spans="2:20" ht="15" x14ac:dyDescent="0.25">
      <c r="B96" s="1215"/>
      <c r="C96" s="1090" t="str">
        <f>'Reference documents'!B27</f>
        <v>GRE.EEC.S.25.XX.S.00000.15.001.00</v>
      </c>
      <c r="D96" s="132" t="s">
        <v>2109</v>
      </c>
      <c r="E96" s="1216" t="s">
        <v>2110</v>
      </c>
      <c r="F96" s="1217" t="s">
        <v>160</v>
      </c>
      <c r="G96" s="1218" t="s">
        <v>1941</v>
      </c>
      <c r="H96" s="1095"/>
      <c r="I96" s="990"/>
      <c r="J96" s="990"/>
      <c r="K96" s="991">
        <f>I96*J96</f>
        <v>0</v>
      </c>
      <c r="L96" s="990"/>
      <c r="M96" s="990"/>
      <c r="N96" s="991"/>
      <c r="O96" s="992"/>
      <c r="P96" s="990"/>
      <c r="Q96" s="992"/>
      <c r="R96" s="915"/>
      <c r="S96" s="1034">
        <f>IF(F96="NA","",H96*R96)</f>
        <v>0</v>
      </c>
      <c r="T96" s="1219"/>
    </row>
    <row r="97" spans="2:20" ht="19.899999999999999" customHeight="1" x14ac:dyDescent="0.25">
      <c r="B97" s="1210"/>
      <c r="C97" s="1210" t="str">
        <f>'Reference documents'!B27</f>
        <v>GRE.EEC.S.25.XX.S.00000.15.001.00</v>
      </c>
      <c r="D97" s="1211" t="s">
        <v>2111</v>
      </c>
      <c r="E97" s="1212" t="s">
        <v>2112</v>
      </c>
      <c r="F97" s="1213"/>
      <c r="G97" s="1213"/>
      <c r="H97" s="1213"/>
      <c r="I97" s="1213"/>
      <c r="J97" s="1213"/>
      <c r="K97" s="1213"/>
      <c r="L97" s="1213"/>
      <c r="M97" s="1213"/>
      <c r="N97" s="1213"/>
      <c r="O97" s="1213"/>
      <c r="P97" s="1213"/>
      <c r="Q97" s="1213"/>
      <c r="R97" s="1213"/>
      <c r="S97" s="1213"/>
      <c r="T97" s="1214"/>
    </row>
    <row r="98" spans="2:20" ht="19.149999999999999" customHeight="1" x14ac:dyDescent="0.25">
      <c r="B98" s="97"/>
      <c r="C98" s="98" t="str">
        <f>'Reference documents'!B27</f>
        <v>GRE.EEC.S.25.XX.S.00000.15.001.00</v>
      </c>
      <c r="D98" s="100" t="s">
        <v>2113</v>
      </c>
      <c r="E98" s="98" t="s">
        <v>2114</v>
      </c>
      <c r="F98" s="1193" t="s">
        <v>160</v>
      </c>
      <c r="G98" s="100" t="s">
        <v>1941</v>
      </c>
      <c r="H98" s="1112"/>
      <c r="I98" s="990"/>
      <c r="J98" s="990"/>
      <c r="K98" s="991">
        <f>I98*J98</f>
        <v>0</v>
      </c>
      <c r="L98" s="990"/>
      <c r="M98" s="990"/>
      <c r="N98" s="991"/>
      <c r="O98" s="992"/>
      <c r="P98" s="990"/>
      <c r="Q98" s="992"/>
      <c r="R98" s="102"/>
      <c r="S98" s="1194">
        <f>IF(F98="NA","",H98*R98)</f>
        <v>0</v>
      </c>
      <c r="T98" s="884"/>
    </row>
    <row r="99" spans="2:20" ht="19.899999999999999" customHeight="1" x14ac:dyDescent="0.25">
      <c r="B99" s="1092"/>
      <c r="C99" s="1092" t="str">
        <f>'Reference documents'!B27</f>
        <v>GRE.EEC.S.25.XX.S.00000.15.001.00</v>
      </c>
      <c r="D99" s="1176" t="s">
        <v>2141</v>
      </c>
      <c r="E99" s="1208" t="s">
        <v>2142</v>
      </c>
      <c r="F99" s="1703"/>
      <c r="G99" s="1703"/>
      <c r="H99" s="1703"/>
      <c r="I99" s="1703"/>
      <c r="J99" s="1703"/>
      <c r="K99" s="1703"/>
      <c r="L99" s="1703"/>
      <c r="M99" s="1703"/>
      <c r="N99" s="1703"/>
      <c r="O99" s="1703"/>
      <c r="P99" s="1703"/>
      <c r="Q99" s="1703"/>
      <c r="R99" s="1703"/>
      <c r="S99" s="1703"/>
      <c r="T99" s="1704"/>
    </row>
    <row r="100" spans="2:20" ht="19.899999999999999" customHeight="1" x14ac:dyDescent="0.25">
      <c r="B100" s="1210"/>
      <c r="C100" s="1210" t="str">
        <f>'Reference documents'!B27</f>
        <v>GRE.EEC.S.25.XX.S.00000.15.001.00</v>
      </c>
      <c r="D100" s="1211" t="s">
        <v>2143</v>
      </c>
      <c r="E100" s="1212" t="s">
        <v>2144</v>
      </c>
      <c r="F100" s="1213"/>
      <c r="G100" s="1213"/>
      <c r="H100" s="1213"/>
      <c r="I100" s="1213"/>
      <c r="J100" s="1213"/>
      <c r="K100" s="1213"/>
      <c r="L100" s="1213"/>
      <c r="M100" s="1213"/>
      <c r="N100" s="1213"/>
      <c r="O100" s="1213"/>
      <c r="P100" s="1213"/>
      <c r="Q100" s="1213"/>
      <c r="R100" s="1213"/>
      <c r="S100" s="1213"/>
      <c r="T100" s="1214"/>
    </row>
    <row r="101" spans="2:20" ht="19.149999999999999" customHeight="1" x14ac:dyDescent="0.25">
      <c r="B101" s="97"/>
      <c r="C101" s="98" t="str">
        <f>'Reference documents'!B27</f>
        <v>GRE.EEC.S.25.XX.S.00000.15.001.00</v>
      </c>
      <c r="D101" s="100" t="s">
        <v>2145</v>
      </c>
      <c r="E101" s="98" t="s">
        <v>2146</v>
      </c>
      <c r="F101" s="1193" t="s">
        <v>160</v>
      </c>
      <c r="G101" s="100" t="s">
        <v>1941</v>
      </c>
      <c r="H101" s="1112"/>
      <c r="I101" s="990"/>
      <c r="J101" s="990"/>
      <c r="K101" s="991">
        <f>I101*J101</f>
        <v>0</v>
      </c>
      <c r="L101" s="990"/>
      <c r="M101" s="990"/>
      <c r="N101" s="991"/>
      <c r="O101" s="992"/>
      <c r="P101" s="990"/>
      <c r="Q101" s="992"/>
      <c r="R101" s="102"/>
      <c r="S101" s="1194">
        <f>IF(F101="NA","",H101*R101)</f>
        <v>0</v>
      </c>
      <c r="T101" s="884"/>
    </row>
    <row r="102" spans="2:20" ht="19.899999999999999" customHeight="1" x14ac:dyDescent="0.25">
      <c r="B102" s="1092"/>
      <c r="C102" s="1092" t="str">
        <f>'Reference documents'!B27</f>
        <v>GRE.EEC.S.25.XX.S.00000.15.001.00</v>
      </c>
      <c r="D102" s="1176" t="s">
        <v>2147</v>
      </c>
      <c r="E102" s="1208" t="s">
        <v>2148</v>
      </c>
      <c r="F102" s="1703"/>
      <c r="G102" s="1703"/>
      <c r="H102" s="1703"/>
      <c r="I102" s="1703"/>
      <c r="J102" s="1703"/>
      <c r="K102" s="1703"/>
      <c r="L102" s="1703"/>
      <c r="M102" s="1703"/>
      <c r="N102" s="1703"/>
      <c r="O102" s="1703"/>
      <c r="P102" s="1703"/>
      <c r="Q102" s="1703"/>
      <c r="R102" s="1703"/>
      <c r="S102" s="1703"/>
      <c r="T102" s="1704"/>
    </row>
    <row r="103" spans="2:20" ht="19.899999999999999" customHeight="1" x14ac:dyDescent="0.25">
      <c r="B103" s="1210"/>
      <c r="C103" s="1210" t="str">
        <f>'Reference documents'!B27</f>
        <v>GRE.EEC.S.25.XX.S.00000.15.001.00</v>
      </c>
      <c r="D103" s="1211" t="s">
        <v>2149</v>
      </c>
      <c r="E103" s="1212" t="s">
        <v>2150</v>
      </c>
      <c r="F103" s="1213"/>
      <c r="G103" s="1213"/>
      <c r="H103" s="1213"/>
      <c r="I103" s="1213"/>
      <c r="J103" s="1213"/>
      <c r="K103" s="1213"/>
      <c r="L103" s="1213"/>
      <c r="M103" s="1213"/>
      <c r="N103" s="1213"/>
      <c r="O103" s="1213"/>
      <c r="P103" s="1213"/>
      <c r="Q103" s="1213"/>
      <c r="R103" s="1213"/>
      <c r="S103" s="1213"/>
      <c r="T103" s="1214"/>
    </row>
    <row r="104" spans="2:20" ht="19.149999999999999" customHeight="1" x14ac:dyDescent="0.25">
      <c r="B104" s="97"/>
      <c r="C104" s="98" t="str">
        <f>'Reference documents'!B27</f>
        <v>GRE.EEC.S.25.XX.S.00000.15.001.00</v>
      </c>
      <c r="D104" s="100" t="s">
        <v>2151</v>
      </c>
      <c r="E104" s="98" t="s">
        <v>2152</v>
      </c>
      <c r="F104" s="1193" t="s">
        <v>160</v>
      </c>
      <c r="G104" s="100" t="s">
        <v>1941</v>
      </c>
      <c r="H104" s="1112"/>
      <c r="I104" s="990"/>
      <c r="J104" s="990"/>
      <c r="K104" s="991">
        <f>I104*J104</f>
        <v>0</v>
      </c>
      <c r="L104" s="990"/>
      <c r="M104" s="990"/>
      <c r="N104" s="991"/>
      <c r="O104" s="992"/>
      <c r="P104" s="990"/>
      <c r="Q104" s="992"/>
      <c r="R104" s="102"/>
      <c r="S104" s="1194">
        <f>IF(F104="NA","",H104*R104)</f>
        <v>0</v>
      </c>
      <c r="T104" s="884"/>
    </row>
    <row r="105" spans="2:20" ht="19.899999999999999" customHeight="1" x14ac:dyDescent="0.25">
      <c r="B105" s="1210"/>
      <c r="C105" s="1210" t="str">
        <f>'Reference documents'!B27</f>
        <v>GRE.EEC.S.25.XX.S.00000.15.001.00</v>
      </c>
      <c r="D105" s="1211" t="s">
        <v>2153</v>
      </c>
      <c r="E105" s="1212" t="s">
        <v>2154</v>
      </c>
      <c r="F105" s="1213"/>
      <c r="G105" s="1213"/>
      <c r="H105" s="1213"/>
      <c r="I105" s="1213"/>
      <c r="J105" s="1213"/>
      <c r="K105" s="1213"/>
      <c r="L105" s="1213"/>
      <c r="M105" s="1213"/>
      <c r="N105" s="1213"/>
      <c r="O105" s="1213"/>
      <c r="P105" s="1213"/>
      <c r="Q105" s="1213"/>
      <c r="R105" s="1213"/>
      <c r="S105" s="1213"/>
      <c r="T105" s="1214"/>
    </row>
    <row r="106" spans="2:20" ht="19.149999999999999" customHeight="1" x14ac:dyDescent="0.25">
      <c r="B106" s="97"/>
      <c r="C106" s="98" t="str">
        <f>'Reference documents'!B27</f>
        <v>GRE.EEC.S.25.XX.S.00000.15.001.00</v>
      </c>
      <c r="D106" s="100" t="s">
        <v>2155</v>
      </c>
      <c r="E106" s="98" t="s">
        <v>2156</v>
      </c>
      <c r="F106" s="1193" t="s">
        <v>160</v>
      </c>
      <c r="G106" s="100" t="s">
        <v>1941</v>
      </c>
      <c r="H106" s="1112"/>
      <c r="I106" s="990"/>
      <c r="J106" s="990"/>
      <c r="K106" s="991">
        <f>I106*J106</f>
        <v>0</v>
      </c>
      <c r="L106" s="990"/>
      <c r="M106" s="990"/>
      <c r="N106" s="991"/>
      <c r="O106" s="992"/>
      <c r="P106" s="990"/>
      <c r="Q106" s="992"/>
      <c r="R106" s="102"/>
      <c r="S106" s="1194">
        <f>IF(F106="NA","",H106*R106)</f>
        <v>0</v>
      </c>
      <c r="T106" s="884"/>
    </row>
    <row r="107" spans="2:20" ht="19.899999999999999" customHeight="1" x14ac:dyDescent="0.25">
      <c r="B107" s="1210"/>
      <c r="C107" s="1210" t="str">
        <f>'Reference documents'!B27</f>
        <v>GRE.EEC.S.25.XX.S.00000.15.001.00</v>
      </c>
      <c r="D107" s="1211" t="s">
        <v>2157</v>
      </c>
      <c r="E107" s="1212" t="s">
        <v>2158</v>
      </c>
      <c r="F107" s="1213"/>
      <c r="G107" s="1213"/>
      <c r="H107" s="1213"/>
      <c r="I107" s="1213"/>
      <c r="J107" s="1213"/>
      <c r="K107" s="1213"/>
      <c r="L107" s="1213"/>
      <c r="M107" s="1213"/>
      <c r="N107" s="1213"/>
      <c r="O107" s="1213"/>
      <c r="P107" s="1213"/>
      <c r="Q107" s="1213"/>
      <c r="R107" s="1213"/>
      <c r="S107" s="1213"/>
      <c r="T107" s="1214"/>
    </row>
    <row r="108" spans="2:20" ht="19.149999999999999" customHeight="1" x14ac:dyDescent="0.25">
      <c r="B108" s="97"/>
      <c r="C108" s="98" t="str">
        <f>'Reference documents'!B27</f>
        <v>GRE.EEC.S.25.XX.S.00000.15.001.00</v>
      </c>
      <c r="D108" s="100" t="s">
        <v>2159</v>
      </c>
      <c r="E108" s="98" t="s">
        <v>2160</v>
      </c>
      <c r="F108" s="1193" t="s">
        <v>160</v>
      </c>
      <c r="G108" s="100" t="s">
        <v>1941</v>
      </c>
      <c r="H108" s="1112"/>
      <c r="I108" s="990"/>
      <c r="J108" s="990"/>
      <c r="K108" s="991">
        <f>I108*J108</f>
        <v>0</v>
      </c>
      <c r="L108" s="990"/>
      <c r="M108" s="990"/>
      <c r="N108" s="991"/>
      <c r="O108" s="992"/>
      <c r="P108" s="990"/>
      <c r="Q108" s="992"/>
      <c r="R108" s="102"/>
      <c r="S108" s="1194">
        <f>IF(F108="NA","",H108*R108)</f>
        <v>0</v>
      </c>
      <c r="T108" s="884"/>
    </row>
    <row r="109" spans="2:20" ht="19.899999999999999" customHeight="1" x14ac:dyDescent="0.25">
      <c r="B109" s="1210"/>
      <c r="C109" s="1210" t="str">
        <f>'Reference documents'!B27</f>
        <v>GRE.EEC.S.25.XX.S.00000.15.001.00</v>
      </c>
      <c r="D109" s="1211" t="s">
        <v>2161</v>
      </c>
      <c r="E109" s="1212" t="s">
        <v>2162</v>
      </c>
      <c r="F109" s="1213"/>
      <c r="G109" s="1213"/>
      <c r="H109" s="1213"/>
      <c r="I109" s="1213"/>
      <c r="J109" s="1213"/>
      <c r="K109" s="1213"/>
      <c r="L109" s="1213"/>
      <c r="M109" s="1213"/>
      <c r="N109" s="1213"/>
      <c r="O109" s="1213"/>
      <c r="P109" s="1213"/>
      <c r="Q109" s="1213"/>
      <c r="R109" s="1213"/>
      <c r="S109" s="1213"/>
      <c r="T109" s="1214"/>
    </row>
    <row r="110" spans="2:20" ht="19.149999999999999" customHeight="1" x14ac:dyDescent="0.25">
      <c r="B110" s="97"/>
      <c r="C110" s="98" t="str">
        <f>'Reference documents'!B27</f>
        <v>GRE.EEC.S.25.XX.S.00000.15.001.00</v>
      </c>
      <c r="D110" s="100" t="s">
        <v>2163</v>
      </c>
      <c r="E110" s="98" t="s">
        <v>2164</v>
      </c>
      <c r="F110" s="1193" t="s">
        <v>160</v>
      </c>
      <c r="G110" s="100" t="s">
        <v>1941</v>
      </c>
      <c r="H110" s="1112"/>
      <c r="I110" s="990"/>
      <c r="J110" s="990"/>
      <c r="K110" s="991">
        <f>I110*J110</f>
        <v>0</v>
      </c>
      <c r="L110" s="990"/>
      <c r="M110" s="990"/>
      <c r="N110" s="991"/>
      <c r="O110" s="992"/>
      <c r="P110" s="990"/>
      <c r="Q110" s="992"/>
      <c r="R110" s="102"/>
      <c r="S110" s="1194">
        <f>IF(F110="NA","",H110*R110)</f>
        <v>0</v>
      </c>
      <c r="T110" s="884"/>
    </row>
    <row r="111" spans="2:20" s="1206" customFormat="1" ht="15" customHeight="1" x14ac:dyDescent="0.25">
      <c r="B111" s="1542" t="s">
        <v>126</v>
      </c>
      <c r="C111" s="1543"/>
      <c r="D111" s="1543"/>
      <c r="E111" s="1548"/>
      <c r="F111" s="1590" t="s">
        <v>154</v>
      </c>
      <c r="G111" s="1590"/>
      <c r="H111" s="1590"/>
      <c r="I111" s="1590"/>
      <c r="J111" s="1590"/>
      <c r="K111" s="1590"/>
      <c r="L111" s="1590"/>
      <c r="M111" s="1590"/>
      <c r="N111" s="1590"/>
      <c r="O111" s="1590"/>
      <c r="P111" s="1590"/>
      <c r="Q111" s="1590"/>
      <c r="R111" s="1590"/>
      <c r="S111" s="863">
        <f>SUMIF(F115:F126,"Mandatory",S115:S126)</f>
        <v>0</v>
      </c>
      <c r="T111" s="909"/>
    </row>
    <row r="112" spans="2:20" s="1206" customFormat="1" ht="15" customHeight="1" x14ac:dyDescent="0.25">
      <c r="B112" s="1544"/>
      <c r="C112" s="1545" t="s">
        <v>1989</v>
      </c>
      <c r="D112" s="1545" t="s">
        <v>2084</v>
      </c>
      <c r="E112" s="1549" t="s">
        <v>125</v>
      </c>
      <c r="F112" s="1590" t="s">
        <v>156</v>
      </c>
      <c r="G112" s="1590"/>
      <c r="H112" s="1590"/>
      <c r="I112" s="1590"/>
      <c r="J112" s="1590"/>
      <c r="K112" s="1590"/>
      <c r="L112" s="1590"/>
      <c r="M112" s="1590"/>
      <c r="N112" s="1590"/>
      <c r="O112" s="1590"/>
      <c r="P112" s="1590"/>
      <c r="Q112" s="1590"/>
      <c r="R112" s="1590"/>
      <c r="S112" s="863">
        <f>SUMIF(F115:F126,"Mandatory",S115:S126)</f>
        <v>0</v>
      </c>
      <c r="T112" s="909"/>
    </row>
    <row r="113" spans="2:20" ht="19.899999999999999" customHeight="1" x14ac:dyDescent="0.25">
      <c r="B113" s="1092"/>
      <c r="C113" s="1092" t="str">
        <f>'Reference documents'!B27</f>
        <v>GRE.EEC.S.25.XX.S.00000.15.001.00</v>
      </c>
      <c r="D113" s="1176" t="s">
        <v>2115</v>
      </c>
      <c r="E113" s="1208" t="s">
        <v>2116</v>
      </c>
      <c r="F113" s="1703"/>
      <c r="G113" s="1703"/>
      <c r="H113" s="1703"/>
      <c r="I113" s="1703"/>
      <c r="J113" s="1703"/>
      <c r="K113" s="1703"/>
      <c r="L113" s="1703"/>
      <c r="M113" s="1703"/>
      <c r="N113" s="1703"/>
      <c r="O113" s="1703"/>
      <c r="P113" s="1703"/>
      <c r="Q113" s="1703"/>
      <c r="R113" s="1703"/>
      <c r="S113" s="1703"/>
      <c r="T113" s="1704"/>
    </row>
    <row r="114" spans="2:20" ht="19.899999999999999" customHeight="1" x14ac:dyDescent="0.25">
      <c r="B114" s="1210"/>
      <c r="C114" s="1210" t="str">
        <f>'Reference documents'!B27</f>
        <v>GRE.EEC.S.25.XX.S.00000.15.001.00</v>
      </c>
      <c r="D114" s="1211" t="s">
        <v>2117</v>
      </c>
      <c r="E114" s="1212" t="s">
        <v>2118</v>
      </c>
      <c r="F114" s="1213"/>
      <c r="G114" s="1213"/>
      <c r="H114" s="1213"/>
      <c r="I114" s="1213"/>
      <c r="J114" s="1213"/>
      <c r="K114" s="1213"/>
      <c r="L114" s="1213"/>
      <c r="M114" s="1213"/>
      <c r="N114" s="1213"/>
      <c r="O114" s="1213"/>
      <c r="P114" s="1213"/>
      <c r="Q114" s="1213"/>
      <c r="R114" s="1213"/>
      <c r="S114" s="1213"/>
      <c r="T114" s="1214"/>
    </row>
    <row r="115" spans="2:20" ht="19.149999999999999" customHeight="1" x14ac:dyDescent="0.25">
      <c r="B115" s="97"/>
      <c r="C115" s="98" t="str">
        <f>'Reference documents'!B27</f>
        <v>GRE.EEC.S.25.XX.S.00000.15.001.00</v>
      </c>
      <c r="D115" s="100" t="s">
        <v>2119</v>
      </c>
      <c r="E115" s="98" t="s">
        <v>2120</v>
      </c>
      <c r="F115" s="1193" t="s">
        <v>160</v>
      </c>
      <c r="G115" s="100" t="s">
        <v>1941</v>
      </c>
      <c r="H115" s="1112"/>
      <c r="I115" s="990"/>
      <c r="J115" s="990"/>
      <c r="K115" s="991">
        <f>I115*J115</f>
        <v>0</v>
      </c>
      <c r="L115" s="990"/>
      <c r="M115" s="990"/>
      <c r="N115" s="991"/>
      <c r="O115" s="992"/>
      <c r="P115" s="990"/>
      <c r="Q115" s="992"/>
      <c r="R115" s="102"/>
      <c r="S115" s="1194">
        <f>IF(F115="NA","",H115*R115)</f>
        <v>0</v>
      </c>
      <c r="T115" s="884"/>
    </row>
    <row r="116" spans="2:20" ht="19.149999999999999" customHeight="1" x14ac:dyDescent="0.25">
      <c r="B116" s="97"/>
      <c r="C116" s="98" t="str">
        <f>'Reference documents'!B27</f>
        <v>GRE.EEC.S.25.XX.S.00000.15.001.00</v>
      </c>
      <c r="D116" s="100" t="s">
        <v>2119</v>
      </c>
      <c r="E116" s="98" t="s">
        <v>2121</v>
      </c>
      <c r="F116" s="1193" t="s">
        <v>160</v>
      </c>
      <c r="G116" s="100" t="s">
        <v>1941</v>
      </c>
      <c r="H116" s="1112"/>
      <c r="I116" s="990"/>
      <c r="J116" s="990"/>
      <c r="K116" s="991">
        <f>I116*J116</f>
        <v>0</v>
      </c>
      <c r="L116" s="990"/>
      <c r="M116" s="990"/>
      <c r="N116" s="991"/>
      <c r="O116" s="992"/>
      <c r="P116" s="990"/>
      <c r="Q116" s="992"/>
      <c r="R116" s="102"/>
      <c r="S116" s="1194">
        <f>IF(F116="NA","",H116*R116)</f>
        <v>0</v>
      </c>
      <c r="T116" s="884"/>
    </row>
    <row r="117" spans="2:20" ht="19.149999999999999" customHeight="1" x14ac:dyDescent="0.25">
      <c r="B117" s="97"/>
      <c r="C117" s="98" t="str">
        <f>'Reference documents'!B27</f>
        <v>GRE.EEC.S.25.XX.S.00000.15.001.00</v>
      </c>
      <c r="D117" s="100" t="s">
        <v>2119</v>
      </c>
      <c r="E117" s="98" t="s">
        <v>2122</v>
      </c>
      <c r="F117" s="1193" t="s">
        <v>160</v>
      </c>
      <c r="G117" s="100" t="s">
        <v>1941</v>
      </c>
      <c r="H117" s="1112"/>
      <c r="I117" s="990"/>
      <c r="J117" s="990"/>
      <c r="K117" s="991">
        <f>I117*J117</f>
        <v>0</v>
      </c>
      <c r="L117" s="990"/>
      <c r="M117" s="990"/>
      <c r="N117" s="991"/>
      <c r="O117" s="992"/>
      <c r="P117" s="990"/>
      <c r="Q117" s="992"/>
      <c r="R117" s="102"/>
      <c r="S117" s="1194">
        <f>IF(F117="NA","",H117*R117)</f>
        <v>0</v>
      </c>
      <c r="T117" s="884"/>
    </row>
    <row r="118" spans="2:20" ht="19.899999999999999" customHeight="1" x14ac:dyDescent="0.25">
      <c r="B118" s="1210"/>
      <c r="C118" s="1210" t="str">
        <f>'Reference documents'!B27</f>
        <v>GRE.EEC.S.25.XX.S.00000.15.001.00</v>
      </c>
      <c r="D118" s="1211" t="s">
        <v>2123</v>
      </c>
      <c r="E118" s="1212" t="s">
        <v>2124</v>
      </c>
      <c r="F118" s="1213"/>
      <c r="G118" s="1213"/>
      <c r="H118" s="1213"/>
      <c r="I118" s="1213"/>
      <c r="J118" s="1213"/>
      <c r="K118" s="1213"/>
      <c r="L118" s="1213"/>
      <c r="M118" s="1213"/>
      <c r="N118" s="1213"/>
      <c r="O118" s="1213"/>
      <c r="P118" s="1213"/>
      <c r="Q118" s="1213"/>
      <c r="R118" s="1213"/>
      <c r="S118" s="1213"/>
      <c r="T118" s="1214"/>
    </row>
    <row r="119" spans="2:20" ht="19.149999999999999" customHeight="1" x14ac:dyDescent="0.25">
      <c r="B119" s="97"/>
      <c r="C119" s="98" t="str">
        <f>'Reference documents'!B27</f>
        <v>GRE.EEC.S.25.XX.S.00000.15.001.00</v>
      </c>
      <c r="D119" s="100" t="s">
        <v>2125</v>
      </c>
      <c r="E119" s="98" t="s">
        <v>2126</v>
      </c>
      <c r="F119" s="1193" t="s">
        <v>160</v>
      </c>
      <c r="G119" s="100" t="s">
        <v>1941</v>
      </c>
      <c r="H119" s="1112"/>
      <c r="I119" s="990"/>
      <c r="J119" s="990"/>
      <c r="K119" s="991">
        <f>I119*J119</f>
        <v>0</v>
      </c>
      <c r="L119" s="990"/>
      <c r="M119" s="990"/>
      <c r="N119" s="991"/>
      <c r="O119" s="992"/>
      <c r="P119" s="990"/>
      <c r="Q119" s="992"/>
      <c r="R119" s="102"/>
      <c r="S119" s="1194">
        <f>IF(F119="NA","",H119*R119)</f>
        <v>0</v>
      </c>
      <c r="T119" s="884"/>
    </row>
    <row r="120" spans="2:20" ht="19.149999999999999" customHeight="1" x14ac:dyDescent="0.25">
      <c r="B120" s="97"/>
      <c r="C120" s="98" t="str">
        <f>'Reference documents'!B27</f>
        <v>GRE.EEC.S.25.XX.S.00000.15.001.00</v>
      </c>
      <c r="D120" s="100" t="s">
        <v>2127</v>
      </c>
      <c r="E120" s="98" t="s">
        <v>2392</v>
      </c>
      <c r="F120" s="1193" t="s">
        <v>160</v>
      </c>
      <c r="G120" s="100" t="s">
        <v>1941</v>
      </c>
      <c r="H120" s="1112"/>
      <c r="I120" s="990"/>
      <c r="J120" s="990"/>
      <c r="K120" s="991">
        <f>I120*J120</f>
        <v>0</v>
      </c>
      <c r="L120" s="990"/>
      <c r="M120" s="990"/>
      <c r="N120" s="991"/>
      <c r="O120" s="992"/>
      <c r="P120" s="990"/>
      <c r="Q120" s="992"/>
      <c r="R120" s="102"/>
      <c r="S120" s="1194">
        <f>IF(F120="NA","",H120*R120)</f>
        <v>0</v>
      </c>
      <c r="T120" s="884"/>
    </row>
    <row r="121" spans="2:20" ht="19.899999999999999" customHeight="1" x14ac:dyDescent="0.25">
      <c r="B121" s="1210"/>
      <c r="C121" s="1210" t="str">
        <f>'Reference documents'!B27</f>
        <v>GRE.EEC.S.25.XX.S.00000.15.001.00</v>
      </c>
      <c r="D121" s="1211" t="s">
        <v>2129</v>
      </c>
      <c r="E121" s="1212" t="s">
        <v>2130</v>
      </c>
      <c r="F121" s="1213"/>
      <c r="G121" s="1213"/>
      <c r="H121" s="1213"/>
      <c r="I121" s="1213"/>
      <c r="J121" s="1213"/>
      <c r="K121" s="1213"/>
      <c r="L121" s="1213"/>
      <c r="M121" s="1213"/>
      <c r="N121" s="1213"/>
      <c r="O121" s="1213"/>
      <c r="P121" s="1213"/>
      <c r="Q121" s="1213"/>
      <c r="R121" s="1213"/>
      <c r="S121" s="1213"/>
      <c r="T121" s="1214"/>
    </row>
    <row r="122" spans="2:20" ht="19.149999999999999" customHeight="1" x14ac:dyDescent="0.25">
      <c r="B122" s="97"/>
      <c r="C122" s="98" t="str">
        <f>'Reference documents'!B27</f>
        <v>GRE.EEC.S.25.XX.S.00000.15.001.00</v>
      </c>
      <c r="D122" s="100" t="s">
        <v>2131</v>
      </c>
      <c r="E122" s="98" t="s">
        <v>2132</v>
      </c>
      <c r="F122" s="1193" t="s">
        <v>160</v>
      </c>
      <c r="G122" s="100" t="s">
        <v>1941</v>
      </c>
      <c r="H122" s="1112"/>
      <c r="I122" s="990"/>
      <c r="J122" s="990"/>
      <c r="K122" s="991">
        <f>I122*J122</f>
        <v>0</v>
      </c>
      <c r="L122" s="990"/>
      <c r="M122" s="990"/>
      <c r="N122" s="991"/>
      <c r="O122" s="992"/>
      <c r="P122" s="990"/>
      <c r="Q122" s="992"/>
      <c r="R122" s="102"/>
      <c r="S122" s="1194">
        <f>IF(F122="NA","",H122*R122)</f>
        <v>0</v>
      </c>
      <c r="T122" s="884"/>
    </row>
    <row r="123" spans="2:20" ht="19.149999999999999" customHeight="1" x14ac:dyDescent="0.25">
      <c r="B123" s="97"/>
      <c r="C123" s="98" t="str">
        <f>'Reference documents'!B27</f>
        <v>GRE.EEC.S.25.XX.S.00000.15.001.00</v>
      </c>
      <c r="D123" s="100" t="s">
        <v>2133</v>
      </c>
      <c r="E123" s="98" t="s">
        <v>2134</v>
      </c>
      <c r="F123" s="1193" t="s">
        <v>160</v>
      </c>
      <c r="G123" s="100" t="s">
        <v>1941</v>
      </c>
      <c r="H123" s="1112"/>
      <c r="I123" s="990"/>
      <c r="J123" s="990"/>
      <c r="K123" s="991">
        <f>I123*J123</f>
        <v>0</v>
      </c>
      <c r="L123" s="990"/>
      <c r="M123" s="990"/>
      <c r="N123" s="991"/>
      <c r="O123" s="992"/>
      <c r="P123" s="990"/>
      <c r="Q123" s="992"/>
      <c r="R123" s="102"/>
      <c r="S123" s="1194">
        <f>IF(F123="NA","",H123*R123)</f>
        <v>0</v>
      </c>
      <c r="T123" s="884"/>
    </row>
    <row r="124" spans="2:20" ht="19.149999999999999" customHeight="1" x14ac:dyDescent="0.25">
      <c r="B124" s="97"/>
      <c r="C124" s="98" t="str">
        <f>'Reference documents'!B27</f>
        <v>GRE.EEC.S.25.XX.S.00000.15.001.00</v>
      </c>
      <c r="D124" s="100" t="s">
        <v>2135</v>
      </c>
      <c r="E124" s="98" t="s">
        <v>2136</v>
      </c>
      <c r="F124" s="1193" t="s">
        <v>160</v>
      </c>
      <c r="G124" s="100" t="s">
        <v>1941</v>
      </c>
      <c r="H124" s="1112"/>
      <c r="I124" s="990"/>
      <c r="J124" s="990"/>
      <c r="K124" s="991">
        <f>I124*J124</f>
        <v>0</v>
      </c>
      <c r="L124" s="990"/>
      <c r="M124" s="990"/>
      <c r="N124" s="991"/>
      <c r="O124" s="992"/>
      <c r="P124" s="990"/>
      <c r="Q124" s="992"/>
      <c r="R124" s="102"/>
      <c r="S124" s="1194">
        <f>IF(F124="NA","",H124*R124)</f>
        <v>0</v>
      </c>
      <c r="T124" s="884"/>
    </row>
    <row r="125" spans="2:20" ht="19.899999999999999" customHeight="1" x14ac:dyDescent="0.25">
      <c r="B125" s="1210"/>
      <c r="C125" s="1210" t="str">
        <f>'Reference documents'!B27</f>
        <v>GRE.EEC.S.25.XX.S.00000.15.001.00</v>
      </c>
      <c r="D125" s="1211" t="s">
        <v>2137</v>
      </c>
      <c r="E125" s="1212" t="s">
        <v>2138</v>
      </c>
      <c r="F125" s="1213"/>
      <c r="G125" s="1213"/>
      <c r="H125" s="1213"/>
      <c r="I125" s="1213"/>
      <c r="J125" s="1213"/>
      <c r="K125" s="1213"/>
      <c r="L125" s="1213"/>
      <c r="M125" s="1213"/>
      <c r="N125" s="1213"/>
      <c r="O125" s="1213"/>
      <c r="P125" s="1213"/>
      <c r="Q125" s="1213"/>
      <c r="R125" s="1213"/>
      <c r="S125" s="1213"/>
      <c r="T125" s="1214"/>
    </row>
    <row r="126" spans="2:20" ht="19.149999999999999" customHeight="1" x14ac:dyDescent="0.25">
      <c r="B126" s="97"/>
      <c r="C126" s="98" t="str">
        <f>'Reference documents'!B27</f>
        <v>GRE.EEC.S.25.XX.S.00000.15.001.00</v>
      </c>
      <c r="D126" s="100" t="s">
        <v>2139</v>
      </c>
      <c r="E126" s="98" t="s">
        <v>2140</v>
      </c>
      <c r="F126" s="1193" t="s">
        <v>160</v>
      </c>
      <c r="G126" s="100" t="s">
        <v>1941</v>
      </c>
      <c r="H126" s="1112"/>
      <c r="I126" s="990"/>
      <c r="J126" s="990"/>
      <c r="K126" s="991">
        <f>I126*J126</f>
        <v>0</v>
      </c>
      <c r="L126" s="990"/>
      <c r="M126" s="990"/>
      <c r="N126" s="991"/>
      <c r="O126" s="992"/>
      <c r="P126" s="990"/>
      <c r="Q126" s="992"/>
      <c r="R126" s="102"/>
      <c r="S126" s="1194">
        <f>IF(F126="NA","",H126*R126)</f>
        <v>0</v>
      </c>
      <c r="T126" s="884"/>
    </row>
    <row r="127" spans="2:20" s="1206" customFormat="1" ht="15" customHeight="1" x14ac:dyDescent="0.25">
      <c r="B127" s="1542" t="s">
        <v>127</v>
      </c>
      <c r="C127" s="1543"/>
      <c r="D127" s="1543"/>
      <c r="E127" s="1548"/>
      <c r="F127" s="1590" t="s">
        <v>154</v>
      </c>
      <c r="G127" s="1590"/>
      <c r="H127" s="1590"/>
      <c r="I127" s="1590"/>
      <c r="J127" s="1590"/>
      <c r="K127" s="1590"/>
      <c r="L127" s="1590"/>
      <c r="M127" s="1590"/>
      <c r="N127" s="1590"/>
      <c r="O127" s="1590"/>
      <c r="P127" s="1590"/>
      <c r="Q127" s="1590"/>
      <c r="R127" s="1590"/>
      <c r="S127" s="863">
        <f>SUMIF(F131:F169,"Mandatory",S131:S169)</f>
        <v>0</v>
      </c>
      <c r="T127" s="909"/>
    </row>
    <row r="128" spans="2:20" s="1206" customFormat="1" ht="15" customHeight="1" x14ac:dyDescent="0.25">
      <c r="B128" s="1544"/>
      <c r="C128" s="1545" t="s">
        <v>1989</v>
      </c>
      <c r="D128" s="1545" t="s">
        <v>2084</v>
      </c>
      <c r="E128" s="1549" t="s">
        <v>125</v>
      </c>
      <c r="F128" s="1590" t="s">
        <v>156</v>
      </c>
      <c r="G128" s="1590"/>
      <c r="H128" s="1590"/>
      <c r="I128" s="1590"/>
      <c r="J128" s="1590"/>
      <c r="K128" s="1590"/>
      <c r="L128" s="1590"/>
      <c r="M128" s="1590"/>
      <c r="N128" s="1590"/>
      <c r="O128" s="1590"/>
      <c r="P128" s="1590"/>
      <c r="Q128" s="1590"/>
      <c r="R128" s="1590"/>
      <c r="S128" s="863">
        <f>SUMIF(F131:F169,"Mandatory",S131:S169)</f>
        <v>0</v>
      </c>
      <c r="T128" s="909"/>
    </row>
    <row r="129" spans="2:20" ht="19.899999999999999" customHeight="1" x14ac:dyDescent="0.25">
      <c r="B129" s="1092"/>
      <c r="C129" s="1092" t="str">
        <f>'Reference documents'!B27</f>
        <v>GRE.EEC.S.25.XX.S.00000.15.001.00</v>
      </c>
      <c r="D129" s="1176" t="s">
        <v>2165</v>
      </c>
      <c r="E129" s="1208" t="s">
        <v>2166</v>
      </c>
      <c r="F129" s="1703"/>
      <c r="G129" s="1703"/>
      <c r="H129" s="1703"/>
      <c r="I129" s="1703"/>
      <c r="J129" s="1703"/>
      <c r="K129" s="1703"/>
      <c r="L129" s="1703"/>
      <c r="M129" s="1703"/>
      <c r="N129" s="1703"/>
      <c r="O129" s="1703"/>
      <c r="P129" s="1703"/>
      <c r="Q129" s="1703"/>
      <c r="R129" s="1703"/>
      <c r="S129" s="1703"/>
      <c r="T129" s="1704"/>
    </row>
    <row r="130" spans="2:20" ht="19.899999999999999" customHeight="1" x14ac:dyDescent="0.25">
      <c r="B130" s="1210"/>
      <c r="C130" s="1210" t="str">
        <f>'Reference documents'!B27</f>
        <v>GRE.EEC.S.25.XX.S.00000.15.001.00</v>
      </c>
      <c r="D130" s="1211" t="s">
        <v>2167</v>
      </c>
      <c r="E130" s="1212" t="s">
        <v>2168</v>
      </c>
      <c r="F130" s="1213"/>
      <c r="G130" s="1213"/>
      <c r="H130" s="1213"/>
      <c r="I130" s="1213"/>
      <c r="J130" s="1213"/>
      <c r="K130" s="1213"/>
      <c r="L130" s="1213"/>
      <c r="M130" s="1213"/>
      <c r="N130" s="1213"/>
      <c r="O130" s="1213"/>
      <c r="P130" s="1213"/>
      <c r="Q130" s="1213"/>
      <c r="R130" s="1213"/>
      <c r="S130" s="1213"/>
      <c r="T130" s="1214"/>
    </row>
    <row r="131" spans="2:20" ht="19.149999999999999" customHeight="1" x14ac:dyDescent="0.25">
      <c r="B131" s="97"/>
      <c r="C131" s="98" t="str">
        <f>'Reference documents'!B27</f>
        <v>GRE.EEC.S.25.XX.S.00000.15.001.00</v>
      </c>
      <c r="D131" s="100" t="s">
        <v>2169</v>
      </c>
      <c r="E131" s="98" t="s">
        <v>2170</v>
      </c>
      <c r="F131" s="1193" t="s">
        <v>160</v>
      </c>
      <c r="G131" s="100" t="s">
        <v>1941</v>
      </c>
      <c r="H131" s="1112"/>
      <c r="I131" s="990"/>
      <c r="J131" s="990"/>
      <c r="K131" s="991">
        <f t="shared" ref="K131:K136" si="4">I131*J131</f>
        <v>0</v>
      </c>
      <c r="L131" s="990"/>
      <c r="M131" s="990"/>
      <c r="N131" s="991"/>
      <c r="O131" s="992"/>
      <c r="P131" s="990"/>
      <c r="Q131" s="992"/>
      <c r="R131" s="102"/>
      <c r="S131" s="1194">
        <f t="shared" ref="S131:S136" si="5">IF(F131="NA","",H131*R131)</f>
        <v>0</v>
      </c>
      <c r="T131" s="884"/>
    </row>
    <row r="132" spans="2:20" ht="19.149999999999999" customHeight="1" x14ac:dyDescent="0.25">
      <c r="B132" s="97"/>
      <c r="C132" s="98" t="str">
        <f>'Reference documents'!B27</f>
        <v>GRE.EEC.S.25.XX.S.00000.15.001.00</v>
      </c>
      <c r="D132" s="100" t="s">
        <v>2171</v>
      </c>
      <c r="E132" s="98" t="s">
        <v>2172</v>
      </c>
      <c r="F132" s="1193" t="s">
        <v>160</v>
      </c>
      <c r="G132" s="100" t="s">
        <v>1941</v>
      </c>
      <c r="H132" s="1112"/>
      <c r="I132" s="990"/>
      <c r="J132" s="990"/>
      <c r="K132" s="991">
        <f t="shared" si="4"/>
        <v>0</v>
      </c>
      <c r="L132" s="990"/>
      <c r="M132" s="990"/>
      <c r="N132" s="991"/>
      <c r="O132" s="992"/>
      <c r="P132" s="990"/>
      <c r="Q132" s="992"/>
      <c r="R132" s="102"/>
      <c r="S132" s="1194">
        <f t="shared" si="5"/>
        <v>0</v>
      </c>
      <c r="T132" s="884"/>
    </row>
    <row r="133" spans="2:20" ht="19.149999999999999" customHeight="1" x14ac:dyDescent="0.25">
      <c r="B133" s="97"/>
      <c r="C133" s="98" t="str">
        <f>'Reference documents'!B27</f>
        <v>GRE.EEC.S.25.XX.S.00000.15.001.00</v>
      </c>
      <c r="D133" s="100" t="s">
        <v>2173</v>
      </c>
      <c r="E133" s="98" t="s">
        <v>2174</v>
      </c>
      <c r="F133" s="1193" t="s">
        <v>160</v>
      </c>
      <c r="G133" s="100" t="s">
        <v>1941</v>
      </c>
      <c r="H133" s="1112"/>
      <c r="I133" s="990"/>
      <c r="J133" s="990"/>
      <c r="K133" s="991">
        <f t="shared" si="4"/>
        <v>0</v>
      </c>
      <c r="L133" s="990"/>
      <c r="M133" s="990"/>
      <c r="N133" s="991"/>
      <c r="O133" s="992"/>
      <c r="P133" s="990"/>
      <c r="Q133" s="992"/>
      <c r="R133" s="102"/>
      <c r="S133" s="1194">
        <f t="shared" si="5"/>
        <v>0</v>
      </c>
      <c r="T133" s="884"/>
    </row>
    <row r="134" spans="2:20" ht="19.149999999999999" customHeight="1" x14ac:dyDescent="0.25">
      <c r="B134" s="97"/>
      <c r="C134" s="98" t="str">
        <f>'Reference documents'!B27</f>
        <v>GRE.EEC.S.25.XX.S.00000.15.001.00</v>
      </c>
      <c r="D134" s="100" t="s">
        <v>2175</v>
      </c>
      <c r="E134" s="98" t="s">
        <v>2176</v>
      </c>
      <c r="F134" s="1193" t="s">
        <v>160</v>
      </c>
      <c r="G134" s="100" t="s">
        <v>1941</v>
      </c>
      <c r="H134" s="1112"/>
      <c r="I134" s="990"/>
      <c r="J134" s="990"/>
      <c r="K134" s="991">
        <f t="shared" si="4"/>
        <v>0</v>
      </c>
      <c r="L134" s="990"/>
      <c r="M134" s="990"/>
      <c r="N134" s="991"/>
      <c r="O134" s="992"/>
      <c r="P134" s="990"/>
      <c r="Q134" s="992"/>
      <c r="R134" s="102"/>
      <c r="S134" s="1194">
        <f t="shared" si="5"/>
        <v>0</v>
      </c>
      <c r="T134" s="884"/>
    </row>
    <row r="135" spans="2:20" ht="19.149999999999999" customHeight="1" x14ac:dyDescent="0.25">
      <c r="B135" s="97"/>
      <c r="C135" s="98" t="str">
        <f>'Reference documents'!B27</f>
        <v>GRE.EEC.S.25.XX.S.00000.15.001.00</v>
      </c>
      <c r="D135" s="100" t="s">
        <v>2177</v>
      </c>
      <c r="E135" s="98" t="s">
        <v>2178</v>
      </c>
      <c r="F135" s="1193" t="s">
        <v>160</v>
      </c>
      <c r="G135" s="100" t="s">
        <v>1941</v>
      </c>
      <c r="H135" s="1112"/>
      <c r="I135" s="990"/>
      <c r="J135" s="990"/>
      <c r="K135" s="991">
        <f t="shared" si="4"/>
        <v>0</v>
      </c>
      <c r="L135" s="990"/>
      <c r="M135" s="990"/>
      <c r="N135" s="991"/>
      <c r="O135" s="992"/>
      <c r="P135" s="990"/>
      <c r="Q135" s="992"/>
      <c r="R135" s="102"/>
      <c r="S135" s="1194">
        <f t="shared" si="5"/>
        <v>0</v>
      </c>
      <c r="T135" s="884"/>
    </row>
    <row r="136" spans="2:20" ht="19.149999999999999" customHeight="1" x14ac:dyDescent="0.25">
      <c r="B136" s="97"/>
      <c r="C136" s="98" t="str">
        <f>'Reference documents'!B27</f>
        <v>GRE.EEC.S.25.XX.S.00000.15.001.00</v>
      </c>
      <c r="D136" s="100" t="s">
        <v>2179</v>
      </c>
      <c r="E136" s="98" t="s">
        <v>2180</v>
      </c>
      <c r="F136" s="1193" t="s">
        <v>160</v>
      </c>
      <c r="G136" s="100" t="s">
        <v>1941</v>
      </c>
      <c r="H136" s="1112"/>
      <c r="I136" s="990"/>
      <c r="J136" s="990"/>
      <c r="K136" s="991">
        <f t="shared" si="4"/>
        <v>0</v>
      </c>
      <c r="L136" s="990"/>
      <c r="M136" s="990"/>
      <c r="N136" s="991"/>
      <c r="O136" s="992"/>
      <c r="P136" s="990"/>
      <c r="Q136" s="992"/>
      <c r="R136" s="102"/>
      <c r="S136" s="1194">
        <f t="shared" si="5"/>
        <v>0</v>
      </c>
      <c r="T136" s="884"/>
    </row>
    <row r="137" spans="2:20" ht="19.899999999999999" customHeight="1" x14ac:dyDescent="0.25">
      <c r="B137" s="1210"/>
      <c r="C137" s="1210" t="str">
        <f>'Reference documents'!B27</f>
        <v>GRE.EEC.S.25.XX.S.00000.15.001.00</v>
      </c>
      <c r="D137" s="1211" t="s">
        <v>2181</v>
      </c>
      <c r="E137" s="1212" t="s">
        <v>2182</v>
      </c>
      <c r="F137" s="1213"/>
      <c r="G137" s="1213"/>
      <c r="H137" s="1213"/>
      <c r="I137" s="1213"/>
      <c r="J137" s="1213"/>
      <c r="K137" s="1213"/>
      <c r="L137" s="1213"/>
      <c r="M137" s="1213"/>
      <c r="N137" s="1213"/>
      <c r="O137" s="1213"/>
      <c r="P137" s="1213"/>
      <c r="Q137" s="1213"/>
      <c r="R137" s="1213"/>
      <c r="S137" s="1213"/>
      <c r="T137" s="1214"/>
    </row>
    <row r="138" spans="2:20" ht="19.149999999999999" customHeight="1" x14ac:dyDescent="0.25">
      <c r="B138" s="97"/>
      <c r="C138" s="98" t="str">
        <f>'Reference documents'!B27</f>
        <v>GRE.EEC.S.25.XX.S.00000.15.001.00</v>
      </c>
      <c r="D138" s="100" t="s">
        <v>2183</v>
      </c>
      <c r="E138" s="98" t="s">
        <v>2184</v>
      </c>
      <c r="F138" s="1193" t="s">
        <v>160</v>
      </c>
      <c r="G138" s="100" t="s">
        <v>1941</v>
      </c>
      <c r="H138" s="1112"/>
      <c r="I138" s="990"/>
      <c r="J138" s="990"/>
      <c r="K138" s="991">
        <f>I138*J138</f>
        <v>0</v>
      </c>
      <c r="L138" s="990"/>
      <c r="M138" s="990"/>
      <c r="N138" s="991"/>
      <c r="O138" s="992"/>
      <c r="P138" s="990"/>
      <c r="Q138" s="992"/>
      <c r="R138" s="102"/>
      <c r="S138" s="1194">
        <f>IF(F138="NA","",H138*R138)</f>
        <v>0</v>
      </c>
      <c r="T138" s="884"/>
    </row>
    <row r="139" spans="2:20" ht="19.899999999999999" customHeight="1" x14ac:dyDescent="0.25">
      <c r="B139" s="1210"/>
      <c r="C139" s="1210" t="str">
        <f>'Reference documents'!B27</f>
        <v>GRE.EEC.S.25.XX.S.00000.15.001.00</v>
      </c>
      <c r="D139" s="1211" t="s">
        <v>2185</v>
      </c>
      <c r="E139" s="1212" t="s">
        <v>2186</v>
      </c>
      <c r="F139" s="1213"/>
      <c r="G139" s="1213"/>
      <c r="H139" s="1213"/>
      <c r="I139" s="1213"/>
      <c r="J139" s="1213"/>
      <c r="K139" s="1213"/>
      <c r="L139" s="1213"/>
      <c r="M139" s="1213"/>
      <c r="N139" s="1213"/>
      <c r="O139" s="1213"/>
      <c r="P139" s="1213"/>
      <c r="Q139" s="1213"/>
      <c r="R139" s="1213"/>
      <c r="S139" s="1213"/>
      <c r="T139" s="1214"/>
    </row>
    <row r="140" spans="2:20" ht="19.149999999999999" customHeight="1" x14ac:dyDescent="0.25">
      <c r="B140" s="97"/>
      <c r="C140" s="98" t="str">
        <f>'Reference documents'!B27</f>
        <v>GRE.EEC.S.25.XX.S.00000.15.001.00</v>
      </c>
      <c r="D140" s="100" t="s">
        <v>2187</v>
      </c>
      <c r="E140" s="98" t="s">
        <v>2188</v>
      </c>
      <c r="F140" s="1193" t="s">
        <v>160</v>
      </c>
      <c r="G140" s="100" t="s">
        <v>1941</v>
      </c>
      <c r="H140" s="1112"/>
      <c r="I140" s="990"/>
      <c r="J140" s="990"/>
      <c r="K140" s="991">
        <f>I140*J140</f>
        <v>0</v>
      </c>
      <c r="L140" s="990"/>
      <c r="M140" s="990"/>
      <c r="N140" s="991"/>
      <c r="O140" s="992"/>
      <c r="P140" s="990"/>
      <c r="Q140" s="992"/>
      <c r="R140" s="102"/>
      <c r="S140" s="1194">
        <f>IF(F140="NA","",H140*R140)</f>
        <v>0</v>
      </c>
      <c r="T140" s="884"/>
    </row>
    <row r="141" spans="2:20" ht="19.899999999999999" customHeight="1" x14ac:dyDescent="0.25">
      <c r="B141" s="1210"/>
      <c r="C141" s="1210" t="str">
        <f>'Reference documents'!B27</f>
        <v>GRE.EEC.S.25.XX.S.00000.15.001.00</v>
      </c>
      <c r="D141" s="1211" t="s">
        <v>2189</v>
      </c>
      <c r="E141" s="1212" t="s">
        <v>2190</v>
      </c>
      <c r="F141" s="1213"/>
      <c r="G141" s="1213"/>
      <c r="H141" s="1213"/>
      <c r="I141" s="1213"/>
      <c r="J141" s="1213"/>
      <c r="K141" s="1213"/>
      <c r="L141" s="1213"/>
      <c r="M141" s="1213"/>
      <c r="N141" s="1213"/>
      <c r="O141" s="1213"/>
      <c r="P141" s="1213"/>
      <c r="Q141" s="1213"/>
      <c r="R141" s="1213"/>
      <c r="S141" s="1213"/>
      <c r="T141" s="1214"/>
    </row>
    <row r="142" spans="2:20" ht="19.149999999999999" customHeight="1" x14ac:dyDescent="0.25">
      <c r="B142" s="97"/>
      <c r="C142" s="98" t="str">
        <f>'Reference documents'!B27</f>
        <v>GRE.EEC.S.25.XX.S.00000.15.001.00</v>
      </c>
      <c r="D142" s="100" t="s">
        <v>2191</v>
      </c>
      <c r="E142" s="98" t="s">
        <v>2192</v>
      </c>
      <c r="F142" s="1193" t="s">
        <v>160</v>
      </c>
      <c r="G142" s="100" t="s">
        <v>1941</v>
      </c>
      <c r="H142" s="1112"/>
      <c r="I142" s="990"/>
      <c r="J142" s="990"/>
      <c r="K142" s="991">
        <f>I142*J142</f>
        <v>0</v>
      </c>
      <c r="L142" s="990"/>
      <c r="M142" s="990"/>
      <c r="N142" s="991"/>
      <c r="O142" s="992"/>
      <c r="P142" s="990"/>
      <c r="Q142" s="992"/>
      <c r="R142" s="102"/>
      <c r="S142" s="1194">
        <f>IF(F142="NA","",H142*R142)</f>
        <v>0</v>
      </c>
      <c r="T142" s="884"/>
    </row>
    <row r="143" spans="2:20" ht="19.899999999999999" customHeight="1" x14ac:dyDescent="0.25">
      <c r="B143" s="1210"/>
      <c r="C143" s="1210" t="str">
        <f>'Reference documents'!B27</f>
        <v>GRE.EEC.S.25.XX.S.00000.15.001.00</v>
      </c>
      <c r="D143" s="1211" t="s">
        <v>2193</v>
      </c>
      <c r="E143" s="1212" t="s">
        <v>2194</v>
      </c>
      <c r="F143" s="1213"/>
      <c r="G143" s="1213"/>
      <c r="H143" s="1213"/>
      <c r="I143" s="1213"/>
      <c r="J143" s="1213"/>
      <c r="K143" s="1213"/>
      <c r="L143" s="1213"/>
      <c r="M143" s="1213"/>
      <c r="N143" s="1213"/>
      <c r="O143" s="1213"/>
      <c r="P143" s="1213"/>
      <c r="Q143" s="1213"/>
      <c r="R143" s="1213"/>
      <c r="S143" s="1213"/>
      <c r="T143" s="1214"/>
    </row>
    <row r="144" spans="2:20" ht="19.149999999999999" customHeight="1" x14ac:dyDescent="0.25">
      <c r="B144" s="97"/>
      <c r="C144" s="98" t="str">
        <f>'Reference documents'!B27</f>
        <v>GRE.EEC.S.25.XX.S.00000.15.001.00</v>
      </c>
      <c r="D144" s="100" t="s">
        <v>2195</v>
      </c>
      <c r="E144" s="98" t="s">
        <v>2196</v>
      </c>
      <c r="F144" s="1193" t="s">
        <v>160</v>
      </c>
      <c r="G144" s="100" t="s">
        <v>1941</v>
      </c>
      <c r="H144" s="1112"/>
      <c r="I144" s="990"/>
      <c r="J144" s="990"/>
      <c r="K144" s="991">
        <f>I144*J144</f>
        <v>0</v>
      </c>
      <c r="L144" s="990"/>
      <c r="M144" s="990"/>
      <c r="N144" s="991"/>
      <c r="O144" s="992"/>
      <c r="P144" s="990"/>
      <c r="Q144" s="992"/>
      <c r="R144" s="102"/>
      <c r="S144" s="1194">
        <f>IF(F144="NA","",H144*R144)</f>
        <v>0</v>
      </c>
      <c r="T144" s="884"/>
    </row>
    <row r="145" spans="2:20" ht="19.899999999999999" customHeight="1" x14ac:dyDescent="0.25">
      <c r="B145" s="1210"/>
      <c r="C145" s="1210" t="str">
        <f>'Reference documents'!B27</f>
        <v>GRE.EEC.S.25.XX.S.00000.15.001.00</v>
      </c>
      <c r="D145" s="1211" t="s">
        <v>2197</v>
      </c>
      <c r="E145" s="1212" t="s">
        <v>2198</v>
      </c>
      <c r="F145" s="1213"/>
      <c r="G145" s="1213"/>
      <c r="H145" s="1213"/>
      <c r="I145" s="1213"/>
      <c r="J145" s="1213"/>
      <c r="K145" s="1213"/>
      <c r="L145" s="1213"/>
      <c r="M145" s="1213"/>
      <c r="N145" s="1213"/>
      <c r="O145" s="1213"/>
      <c r="P145" s="1213"/>
      <c r="Q145" s="1213"/>
      <c r="R145" s="1213"/>
      <c r="S145" s="1213"/>
      <c r="T145" s="1214"/>
    </row>
    <row r="146" spans="2:20" ht="19.149999999999999" customHeight="1" x14ac:dyDescent="0.25">
      <c r="B146" s="97"/>
      <c r="C146" s="98" t="str">
        <f>'Reference documents'!B27</f>
        <v>GRE.EEC.S.25.XX.S.00000.15.001.00</v>
      </c>
      <c r="D146" s="100" t="s">
        <v>2199</v>
      </c>
      <c r="E146" s="98" t="s">
        <v>2200</v>
      </c>
      <c r="F146" s="1193" t="s">
        <v>160</v>
      </c>
      <c r="G146" s="100" t="s">
        <v>1941</v>
      </c>
      <c r="H146" s="1112"/>
      <c r="I146" s="990"/>
      <c r="J146" s="990"/>
      <c r="K146" s="991">
        <f>I146*J146</f>
        <v>0</v>
      </c>
      <c r="L146" s="990"/>
      <c r="M146" s="990"/>
      <c r="N146" s="991"/>
      <c r="O146" s="992"/>
      <c r="P146" s="990"/>
      <c r="Q146" s="992"/>
      <c r="R146" s="102"/>
      <c r="S146" s="1194">
        <f>IF(F146="NA","",H146*R146)</f>
        <v>0</v>
      </c>
      <c r="T146" s="884"/>
    </row>
    <row r="147" spans="2:20" ht="19.899999999999999" customHeight="1" x14ac:dyDescent="0.25">
      <c r="B147" s="1210"/>
      <c r="C147" s="1210" t="str">
        <f>'Reference documents'!B27</f>
        <v>GRE.EEC.S.25.XX.S.00000.15.001.00</v>
      </c>
      <c r="D147" s="1211" t="s">
        <v>2201</v>
      </c>
      <c r="E147" s="1212" t="s">
        <v>2202</v>
      </c>
      <c r="F147" s="1213"/>
      <c r="G147" s="1213"/>
      <c r="H147" s="1213"/>
      <c r="I147" s="1213"/>
      <c r="J147" s="1213"/>
      <c r="K147" s="1213"/>
      <c r="L147" s="1213"/>
      <c r="M147" s="1213"/>
      <c r="N147" s="1213"/>
      <c r="O147" s="1213"/>
      <c r="P147" s="1213"/>
      <c r="Q147" s="1213"/>
      <c r="R147" s="1213"/>
      <c r="S147" s="1213"/>
      <c r="T147" s="1214"/>
    </row>
    <row r="148" spans="2:20" ht="19.149999999999999" customHeight="1" x14ac:dyDescent="0.25">
      <c r="B148" s="97"/>
      <c r="C148" s="98" t="str">
        <f>'Reference documents'!B27</f>
        <v>GRE.EEC.S.25.XX.S.00000.15.001.00</v>
      </c>
      <c r="D148" s="100" t="s">
        <v>2203</v>
      </c>
      <c r="E148" s="98" t="s">
        <v>2204</v>
      </c>
      <c r="F148" s="1193" t="s">
        <v>160</v>
      </c>
      <c r="G148" s="100" t="s">
        <v>1941</v>
      </c>
      <c r="H148" s="1112"/>
      <c r="I148" s="990"/>
      <c r="J148" s="990"/>
      <c r="K148" s="991">
        <f>I148*J148</f>
        <v>0</v>
      </c>
      <c r="L148" s="990"/>
      <c r="M148" s="990"/>
      <c r="N148" s="991"/>
      <c r="O148" s="992"/>
      <c r="P148" s="990"/>
      <c r="Q148" s="992"/>
      <c r="R148" s="102"/>
      <c r="S148" s="1194">
        <f>IF(F148="NA","",H148*R148)</f>
        <v>0</v>
      </c>
      <c r="T148" s="884"/>
    </row>
    <row r="149" spans="2:20" ht="19.149999999999999" customHeight="1" x14ac:dyDescent="0.25">
      <c r="B149" s="97"/>
      <c r="C149" s="98" t="str">
        <f>'Reference documents'!B27</f>
        <v>GRE.EEC.S.25.XX.S.00000.15.001.00</v>
      </c>
      <c r="D149" s="100" t="s">
        <v>2205</v>
      </c>
      <c r="E149" s="98" t="s">
        <v>2206</v>
      </c>
      <c r="F149" s="1193" t="s">
        <v>160</v>
      </c>
      <c r="G149" s="100" t="s">
        <v>1941</v>
      </c>
      <c r="H149" s="1112"/>
      <c r="I149" s="990"/>
      <c r="J149" s="990"/>
      <c r="K149" s="991">
        <f>I149*J149</f>
        <v>0</v>
      </c>
      <c r="L149" s="990"/>
      <c r="M149" s="990"/>
      <c r="N149" s="991"/>
      <c r="O149" s="992"/>
      <c r="P149" s="990"/>
      <c r="Q149" s="992"/>
      <c r="R149" s="102"/>
      <c r="S149" s="1194">
        <f>IF(F149="NA","",H149*R149)</f>
        <v>0</v>
      </c>
      <c r="T149" s="884"/>
    </row>
    <row r="150" spans="2:20" ht="19.149999999999999" customHeight="1" x14ac:dyDescent="0.25">
      <c r="B150" s="97"/>
      <c r="C150" s="98" t="str">
        <f>'Reference documents'!B27</f>
        <v>GRE.EEC.S.25.XX.S.00000.15.001.00</v>
      </c>
      <c r="D150" s="100" t="s">
        <v>2207</v>
      </c>
      <c r="E150" s="98" t="s">
        <v>2208</v>
      </c>
      <c r="F150" s="1193" t="s">
        <v>160</v>
      </c>
      <c r="G150" s="100" t="s">
        <v>1941</v>
      </c>
      <c r="H150" s="1112"/>
      <c r="I150" s="990"/>
      <c r="J150" s="990"/>
      <c r="K150" s="991">
        <f>I150*J150</f>
        <v>0</v>
      </c>
      <c r="L150" s="990"/>
      <c r="M150" s="990"/>
      <c r="N150" s="991"/>
      <c r="O150" s="992"/>
      <c r="P150" s="990"/>
      <c r="Q150" s="992"/>
      <c r="R150" s="102"/>
      <c r="S150" s="1194">
        <f>IF(F150="NA","",H150*R150)</f>
        <v>0</v>
      </c>
      <c r="T150" s="884"/>
    </row>
    <row r="151" spans="2:20" ht="19.899999999999999" customHeight="1" x14ac:dyDescent="0.25">
      <c r="B151" s="1210"/>
      <c r="C151" s="1210" t="str">
        <f>'Reference documents'!B27</f>
        <v>GRE.EEC.S.25.XX.S.00000.15.001.00</v>
      </c>
      <c r="D151" s="1211" t="s">
        <v>2209</v>
      </c>
      <c r="E151" s="1212" t="s">
        <v>2210</v>
      </c>
      <c r="F151" s="1213"/>
      <c r="G151" s="1213"/>
      <c r="H151" s="1213"/>
      <c r="I151" s="1213"/>
      <c r="J151" s="1213"/>
      <c r="K151" s="1213"/>
      <c r="L151" s="1213"/>
      <c r="M151" s="1213"/>
      <c r="N151" s="1213"/>
      <c r="O151" s="1213"/>
      <c r="P151" s="1213"/>
      <c r="Q151" s="1213"/>
      <c r="R151" s="1213"/>
      <c r="S151" s="1213"/>
      <c r="T151" s="1214"/>
    </row>
    <row r="152" spans="2:20" ht="19.149999999999999" customHeight="1" x14ac:dyDescent="0.25">
      <c r="B152" s="97"/>
      <c r="C152" s="98" t="str">
        <f>'Reference documents'!B27</f>
        <v>GRE.EEC.S.25.XX.S.00000.15.001.00</v>
      </c>
      <c r="D152" s="100" t="s">
        <v>2211</v>
      </c>
      <c r="E152" s="98" t="s">
        <v>2212</v>
      </c>
      <c r="F152" s="1193" t="s">
        <v>160</v>
      </c>
      <c r="G152" s="100" t="s">
        <v>1941</v>
      </c>
      <c r="H152" s="1112"/>
      <c r="I152" s="990"/>
      <c r="J152" s="990"/>
      <c r="K152" s="991">
        <f>I152*J152</f>
        <v>0</v>
      </c>
      <c r="L152" s="990"/>
      <c r="M152" s="990"/>
      <c r="N152" s="991"/>
      <c r="O152" s="992"/>
      <c r="P152" s="990"/>
      <c r="Q152" s="992"/>
      <c r="R152" s="102"/>
      <c r="S152" s="1194">
        <f>IF(F152="NA","",H152*R152)</f>
        <v>0</v>
      </c>
      <c r="T152" s="884"/>
    </row>
    <row r="153" spans="2:20" ht="19.149999999999999" customHeight="1" x14ac:dyDescent="0.25">
      <c r="B153" s="97"/>
      <c r="C153" s="98" t="str">
        <f>'Reference documents'!B27</f>
        <v>GRE.EEC.S.25.XX.S.00000.15.001.00</v>
      </c>
      <c r="D153" s="100" t="s">
        <v>2213</v>
      </c>
      <c r="E153" s="98" t="s">
        <v>2214</v>
      </c>
      <c r="F153" s="1193" t="s">
        <v>160</v>
      </c>
      <c r="G153" s="100" t="s">
        <v>1941</v>
      </c>
      <c r="H153" s="1112"/>
      <c r="I153" s="990"/>
      <c r="J153" s="990"/>
      <c r="K153" s="991">
        <f>I153*J153</f>
        <v>0</v>
      </c>
      <c r="L153" s="990"/>
      <c r="M153" s="990"/>
      <c r="N153" s="991"/>
      <c r="O153" s="992"/>
      <c r="P153" s="990"/>
      <c r="Q153" s="992"/>
      <c r="R153" s="102"/>
      <c r="S153" s="1194">
        <f>IF(F153="NA","",H153*R153)</f>
        <v>0</v>
      </c>
      <c r="T153" s="884"/>
    </row>
    <row r="154" spans="2:20" ht="19.899999999999999" customHeight="1" x14ac:dyDescent="0.25">
      <c r="B154" s="1210"/>
      <c r="C154" s="1210" t="str">
        <f>'Reference documents'!B27</f>
        <v>GRE.EEC.S.25.XX.S.00000.15.001.00</v>
      </c>
      <c r="D154" s="1211" t="s">
        <v>2215</v>
      </c>
      <c r="E154" s="1212" t="s">
        <v>2216</v>
      </c>
      <c r="F154" s="1213"/>
      <c r="G154" s="1213"/>
      <c r="H154" s="1213"/>
      <c r="I154" s="1213"/>
      <c r="J154" s="1213"/>
      <c r="K154" s="1213"/>
      <c r="L154" s="1213"/>
      <c r="M154" s="1213"/>
      <c r="N154" s="1213"/>
      <c r="O154" s="1213"/>
      <c r="P154" s="1213"/>
      <c r="Q154" s="1213"/>
      <c r="R154" s="1213"/>
      <c r="S154" s="1213"/>
      <c r="T154" s="1214"/>
    </row>
    <row r="155" spans="2:20" ht="19.149999999999999" customHeight="1" x14ac:dyDescent="0.25">
      <c r="B155" s="97"/>
      <c r="C155" s="98" t="str">
        <f>'Reference documents'!B27</f>
        <v>GRE.EEC.S.25.XX.S.00000.15.001.00</v>
      </c>
      <c r="D155" s="100" t="s">
        <v>2217</v>
      </c>
      <c r="E155" s="98" t="s">
        <v>2218</v>
      </c>
      <c r="F155" s="1193" t="s">
        <v>160</v>
      </c>
      <c r="G155" s="100" t="s">
        <v>1941</v>
      </c>
      <c r="H155" s="1112"/>
      <c r="I155" s="990"/>
      <c r="J155" s="990"/>
      <c r="K155" s="991">
        <f>I155*J155</f>
        <v>0</v>
      </c>
      <c r="L155" s="990"/>
      <c r="M155" s="990"/>
      <c r="N155" s="991"/>
      <c r="O155" s="992"/>
      <c r="P155" s="990"/>
      <c r="Q155" s="992"/>
      <c r="R155" s="102"/>
      <c r="S155" s="1194">
        <f>IF(F155="NA","",H155*R155)</f>
        <v>0</v>
      </c>
      <c r="T155" s="884"/>
    </row>
    <row r="156" spans="2:20" ht="19.149999999999999" customHeight="1" x14ac:dyDescent="0.25">
      <c r="B156" s="97"/>
      <c r="C156" s="98" t="str">
        <f>'Reference documents'!B27</f>
        <v>GRE.EEC.S.25.XX.S.00000.15.001.00</v>
      </c>
      <c r="D156" s="100" t="s">
        <v>2219</v>
      </c>
      <c r="E156" s="98" t="s">
        <v>2220</v>
      </c>
      <c r="F156" s="1193" t="s">
        <v>160</v>
      </c>
      <c r="G156" s="100" t="s">
        <v>1941</v>
      </c>
      <c r="H156" s="1112"/>
      <c r="I156" s="990"/>
      <c r="J156" s="990"/>
      <c r="K156" s="991">
        <f>I156*J156</f>
        <v>0</v>
      </c>
      <c r="L156" s="990"/>
      <c r="M156" s="990"/>
      <c r="N156" s="991"/>
      <c r="O156" s="992"/>
      <c r="P156" s="990"/>
      <c r="Q156" s="992"/>
      <c r="R156" s="102"/>
      <c r="S156" s="1194">
        <f>IF(F156="NA","",H156*R156)</f>
        <v>0</v>
      </c>
      <c r="T156" s="884"/>
    </row>
    <row r="157" spans="2:20" ht="19.149999999999999" customHeight="1" x14ac:dyDescent="0.25">
      <c r="B157" s="97"/>
      <c r="C157" s="98" t="str">
        <f>'Reference documents'!B27</f>
        <v>GRE.EEC.S.25.XX.S.00000.15.001.00</v>
      </c>
      <c r="D157" s="100" t="s">
        <v>2221</v>
      </c>
      <c r="E157" s="98" t="s">
        <v>2222</v>
      </c>
      <c r="F157" s="1193" t="s">
        <v>160</v>
      </c>
      <c r="G157" s="100" t="s">
        <v>1941</v>
      </c>
      <c r="H157" s="1112"/>
      <c r="I157" s="990"/>
      <c r="J157" s="990"/>
      <c r="K157" s="991">
        <f>I157*J157</f>
        <v>0</v>
      </c>
      <c r="L157" s="990"/>
      <c r="M157" s="990"/>
      <c r="N157" s="991"/>
      <c r="O157" s="992"/>
      <c r="P157" s="990"/>
      <c r="Q157" s="992"/>
      <c r="R157" s="102"/>
      <c r="S157" s="1194">
        <f>IF(F157="NA","",H157*R157)</f>
        <v>0</v>
      </c>
      <c r="T157" s="884"/>
    </row>
    <row r="158" spans="2:20" ht="19.149999999999999" customHeight="1" x14ac:dyDescent="0.25">
      <c r="B158" s="97"/>
      <c r="C158" s="98" t="str">
        <f>'Reference documents'!B27</f>
        <v>GRE.EEC.S.25.XX.S.00000.15.001.00</v>
      </c>
      <c r="D158" s="100" t="s">
        <v>2223</v>
      </c>
      <c r="E158" s="98" t="s">
        <v>2224</v>
      </c>
      <c r="F158" s="1193" t="s">
        <v>160</v>
      </c>
      <c r="G158" s="100" t="s">
        <v>1941</v>
      </c>
      <c r="H158" s="1112"/>
      <c r="I158" s="990"/>
      <c r="J158" s="990"/>
      <c r="K158" s="991">
        <f>I158*J158</f>
        <v>0</v>
      </c>
      <c r="L158" s="990"/>
      <c r="M158" s="990"/>
      <c r="N158" s="991"/>
      <c r="O158" s="992"/>
      <c r="P158" s="990"/>
      <c r="Q158" s="992"/>
      <c r="R158" s="102"/>
      <c r="S158" s="1194">
        <f>IF(F158="NA","",H158*R158)</f>
        <v>0</v>
      </c>
      <c r="T158" s="884"/>
    </row>
    <row r="159" spans="2:20" ht="19.899999999999999" customHeight="1" x14ac:dyDescent="0.25">
      <c r="B159" s="1092"/>
      <c r="C159" s="1092" t="str">
        <f>'Reference documents'!B27</f>
        <v>GRE.EEC.S.25.XX.S.00000.15.001.00</v>
      </c>
      <c r="D159" s="1176" t="s">
        <v>2225</v>
      </c>
      <c r="E159" s="1208" t="s">
        <v>2226</v>
      </c>
      <c r="F159" s="1703"/>
      <c r="G159" s="1703"/>
      <c r="H159" s="1703"/>
      <c r="I159" s="1703"/>
      <c r="J159" s="1703"/>
      <c r="K159" s="1703"/>
      <c r="L159" s="1703"/>
      <c r="M159" s="1703"/>
      <c r="N159" s="1703"/>
      <c r="O159" s="1703"/>
      <c r="P159" s="1703"/>
      <c r="Q159" s="1703"/>
      <c r="R159" s="1703"/>
      <c r="S159" s="1703"/>
      <c r="T159" s="1704"/>
    </row>
    <row r="160" spans="2:20" ht="19.899999999999999" customHeight="1" x14ac:dyDescent="0.25">
      <c r="B160" s="1210"/>
      <c r="C160" s="1210" t="str">
        <f>'Reference documents'!B27</f>
        <v>GRE.EEC.S.25.XX.S.00000.15.001.00</v>
      </c>
      <c r="D160" s="1211" t="s">
        <v>2227</v>
      </c>
      <c r="E160" s="1212" t="s">
        <v>2228</v>
      </c>
      <c r="F160" s="1213"/>
      <c r="G160" s="1213"/>
      <c r="H160" s="1213"/>
      <c r="I160" s="1213"/>
      <c r="J160" s="1213"/>
      <c r="K160" s="1213"/>
      <c r="L160" s="1213"/>
      <c r="M160" s="1213"/>
      <c r="N160" s="1213"/>
      <c r="O160" s="1213"/>
      <c r="P160" s="1213"/>
      <c r="Q160" s="1213"/>
      <c r="R160" s="1213"/>
      <c r="S160" s="1213"/>
      <c r="T160" s="1214"/>
    </row>
    <row r="161" spans="2:20" ht="19.149999999999999" customHeight="1" x14ac:dyDescent="0.25">
      <c r="B161" s="97"/>
      <c r="C161" s="98" t="str">
        <f>'Reference documents'!B27</f>
        <v>GRE.EEC.S.25.XX.S.00000.15.001.00</v>
      </c>
      <c r="D161" s="100" t="s">
        <v>2229</v>
      </c>
      <c r="E161" s="901" t="s">
        <v>2230</v>
      </c>
      <c r="F161" s="1209" t="s">
        <v>160</v>
      </c>
      <c r="G161" s="900" t="s">
        <v>345</v>
      </c>
      <c r="H161" s="1106"/>
      <c r="I161" s="990"/>
      <c r="J161" s="990"/>
      <c r="K161" s="991">
        <f>I161*J161</f>
        <v>0</v>
      </c>
      <c r="L161" s="990"/>
      <c r="M161" s="990"/>
      <c r="N161" s="991"/>
      <c r="O161" s="992"/>
      <c r="P161" s="990"/>
      <c r="Q161" s="992"/>
      <c r="R161" s="904"/>
      <c r="S161" s="1124">
        <f>IF(F161="NA","",H161*R161)</f>
        <v>0</v>
      </c>
      <c r="T161" s="906"/>
    </row>
    <row r="162" spans="2:20" ht="19.149999999999999" customHeight="1" x14ac:dyDescent="0.25">
      <c r="B162" s="97"/>
      <c r="C162" s="98" t="str">
        <f>'Reference documents'!B27</f>
        <v>GRE.EEC.S.25.XX.S.00000.15.001.00</v>
      </c>
      <c r="D162" s="100" t="s">
        <v>2231</v>
      </c>
      <c r="E162" s="98" t="s">
        <v>2232</v>
      </c>
      <c r="F162" s="1193" t="s">
        <v>160</v>
      </c>
      <c r="G162" s="100" t="s">
        <v>345</v>
      </c>
      <c r="H162" s="1112"/>
      <c r="I162" s="990"/>
      <c r="J162" s="990"/>
      <c r="K162" s="991">
        <f>I162*J162</f>
        <v>0</v>
      </c>
      <c r="L162" s="990"/>
      <c r="M162" s="990"/>
      <c r="N162" s="991"/>
      <c r="O162" s="992"/>
      <c r="P162" s="990"/>
      <c r="Q162" s="992"/>
      <c r="R162" s="102"/>
      <c r="S162" s="1194">
        <f>IF(F162="NA","",H162*R162)</f>
        <v>0</v>
      </c>
      <c r="T162" s="884"/>
    </row>
    <row r="163" spans="2:20" ht="19.899999999999999" customHeight="1" x14ac:dyDescent="0.25">
      <c r="B163" s="1210"/>
      <c r="C163" s="1210" t="str">
        <f>'Reference documents'!B27</f>
        <v>GRE.EEC.S.25.XX.S.00000.15.001.00</v>
      </c>
      <c r="D163" s="1211" t="s">
        <v>2233</v>
      </c>
      <c r="E163" s="1212" t="s">
        <v>2234</v>
      </c>
      <c r="F163" s="1213"/>
      <c r="G163" s="1213"/>
      <c r="H163" s="1213"/>
      <c r="I163" s="1213"/>
      <c r="J163" s="1213"/>
      <c r="K163" s="1213"/>
      <c r="L163" s="1213"/>
      <c r="M163" s="1213"/>
      <c r="N163" s="1213"/>
      <c r="O163" s="1213"/>
      <c r="P163" s="1213"/>
      <c r="Q163" s="1213"/>
      <c r="R163" s="1213"/>
      <c r="S163" s="1213"/>
      <c r="T163" s="1214"/>
    </row>
    <row r="164" spans="2:20" ht="19.149999999999999" customHeight="1" x14ac:dyDescent="0.25">
      <c r="B164" s="97"/>
      <c r="C164" s="98" t="str">
        <f>'Reference documents'!B27</f>
        <v>GRE.EEC.S.25.XX.S.00000.15.001.00</v>
      </c>
      <c r="D164" s="100" t="s">
        <v>2235</v>
      </c>
      <c r="E164" s="98" t="s">
        <v>2236</v>
      </c>
      <c r="F164" s="1193" t="s">
        <v>160</v>
      </c>
      <c r="G164" s="100" t="s">
        <v>345</v>
      </c>
      <c r="H164" s="1112"/>
      <c r="I164" s="990"/>
      <c r="J164" s="990"/>
      <c r="K164" s="991">
        <f>I164*J164</f>
        <v>0</v>
      </c>
      <c r="L164" s="990"/>
      <c r="M164" s="990"/>
      <c r="N164" s="991"/>
      <c r="O164" s="992"/>
      <c r="P164" s="990"/>
      <c r="Q164" s="992"/>
      <c r="R164" s="102"/>
      <c r="S164" s="1194">
        <f>IF(F164="NA","",H164*R164)</f>
        <v>0</v>
      </c>
      <c r="T164" s="884"/>
    </row>
    <row r="165" spans="2:20" ht="19.149999999999999" customHeight="1" x14ac:dyDescent="0.25">
      <c r="B165" s="97"/>
      <c r="C165" s="98" t="str">
        <f>'Reference documents'!B27</f>
        <v>GRE.EEC.S.25.XX.S.00000.15.001.00</v>
      </c>
      <c r="D165" s="100" t="s">
        <v>2237</v>
      </c>
      <c r="E165" s="98" t="s">
        <v>2238</v>
      </c>
      <c r="F165" s="1193" t="s">
        <v>160</v>
      </c>
      <c r="G165" s="100" t="s">
        <v>345</v>
      </c>
      <c r="H165" s="1112"/>
      <c r="I165" s="990"/>
      <c r="J165" s="990"/>
      <c r="K165" s="991">
        <f>I165*J165</f>
        <v>0</v>
      </c>
      <c r="L165" s="990"/>
      <c r="M165" s="990"/>
      <c r="N165" s="991"/>
      <c r="O165" s="992"/>
      <c r="P165" s="990"/>
      <c r="Q165" s="992"/>
      <c r="R165" s="102"/>
      <c r="S165" s="1194">
        <f>IF(F165="NA","",H165*R165)</f>
        <v>0</v>
      </c>
      <c r="T165" s="884"/>
    </row>
    <row r="166" spans="2:20" ht="19.149999999999999" customHeight="1" x14ac:dyDescent="0.25">
      <c r="B166" s="97"/>
      <c r="C166" s="98" t="str">
        <f>'Reference documents'!B27</f>
        <v>GRE.EEC.S.25.XX.S.00000.15.001.00</v>
      </c>
      <c r="D166" s="100" t="s">
        <v>2239</v>
      </c>
      <c r="E166" s="98" t="s">
        <v>2240</v>
      </c>
      <c r="F166" s="1193" t="s">
        <v>160</v>
      </c>
      <c r="G166" s="100" t="s">
        <v>345</v>
      </c>
      <c r="H166" s="1112"/>
      <c r="I166" s="990"/>
      <c r="J166" s="990"/>
      <c r="K166" s="991">
        <f>I166*J166</f>
        <v>0</v>
      </c>
      <c r="L166" s="990"/>
      <c r="M166" s="990"/>
      <c r="N166" s="991"/>
      <c r="O166" s="992"/>
      <c r="P166" s="990"/>
      <c r="Q166" s="992"/>
      <c r="R166" s="102"/>
      <c r="S166" s="1194">
        <f>IF(F166="NA","",H166*R166)</f>
        <v>0</v>
      </c>
      <c r="T166" s="884"/>
    </row>
    <row r="167" spans="2:20" ht="19.149999999999999" customHeight="1" x14ac:dyDescent="0.25">
      <c r="B167" s="97"/>
      <c r="C167" s="98" t="str">
        <f>'Reference documents'!B27</f>
        <v>GRE.EEC.S.25.XX.S.00000.15.001.00</v>
      </c>
      <c r="D167" s="100" t="s">
        <v>2241</v>
      </c>
      <c r="E167" s="98" t="s">
        <v>2242</v>
      </c>
      <c r="F167" s="1193" t="s">
        <v>160</v>
      </c>
      <c r="G167" s="100" t="s">
        <v>345</v>
      </c>
      <c r="H167" s="1112"/>
      <c r="I167" s="990"/>
      <c r="J167" s="990"/>
      <c r="K167" s="991">
        <f>I167*J167</f>
        <v>0</v>
      </c>
      <c r="L167" s="990"/>
      <c r="M167" s="990"/>
      <c r="N167" s="991"/>
      <c r="O167" s="992"/>
      <c r="P167" s="990"/>
      <c r="Q167" s="992"/>
      <c r="R167" s="102"/>
      <c r="S167" s="1194">
        <f>IF(F167="NA","",H167*R167)</f>
        <v>0</v>
      </c>
      <c r="T167" s="884"/>
    </row>
    <row r="168" spans="2:20" ht="19.899999999999999" customHeight="1" x14ac:dyDescent="0.25">
      <c r="B168" s="1210"/>
      <c r="C168" s="1210" t="str">
        <f>'Reference documents'!B27</f>
        <v>GRE.EEC.S.25.XX.S.00000.15.001.00</v>
      </c>
      <c r="D168" s="1211" t="s">
        <v>2243</v>
      </c>
      <c r="E168" s="1212" t="s">
        <v>2244</v>
      </c>
      <c r="F168" s="1213"/>
      <c r="G168" s="1213"/>
      <c r="H168" s="1213"/>
      <c r="I168" s="1213"/>
      <c r="J168" s="1213"/>
      <c r="K168" s="1213"/>
      <c r="L168" s="1213"/>
      <c r="M168" s="1213"/>
      <c r="N168" s="1213"/>
      <c r="O168" s="1213"/>
      <c r="P168" s="1213"/>
      <c r="Q168" s="1213"/>
      <c r="R168" s="1213"/>
      <c r="S168" s="1213"/>
      <c r="T168" s="1214"/>
    </row>
    <row r="169" spans="2:20" ht="19.149999999999999" customHeight="1" x14ac:dyDescent="0.25">
      <c r="B169" s="97"/>
      <c r="C169" s="98" t="str">
        <f>'Reference documents'!B27</f>
        <v>GRE.EEC.S.25.XX.S.00000.15.001.00</v>
      </c>
      <c r="D169" s="100" t="s">
        <v>2245</v>
      </c>
      <c r="E169" s="98" t="s">
        <v>2246</v>
      </c>
      <c r="F169" s="1193" t="s">
        <v>160</v>
      </c>
      <c r="G169" s="100" t="s">
        <v>345</v>
      </c>
      <c r="H169" s="1112"/>
      <c r="I169" s="990"/>
      <c r="J169" s="990"/>
      <c r="K169" s="991">
        <f>I169*J169</f>
        <v>0</v>
      </c>
      <c r="L169" s="990"/>
      <c r="M169" s="990"/>
      <c r="N169" s="991"/>
      <c r="O169" s="992"/>
      <c r="P169" s="990"/>
      <c r="Q169" s="992"/>
      <c r="R169" s="102"/>
      <c r="S169" s="1194">
        <f>IF(F169="NA","",H169*R169)</f>
        <v>0</v>
      </c>
      <c r="T169" s="884"/>
    </row>
    <row r="170" spans="2:20" ht="19.149999999999999" customHeight="1" x14ac:dyDescent="0.25">
      <c r="B170" s="1699"/>
      <c r="C170" s="1701"/>
      <c r="D170" s="1699"/>
      <c r="E170" s="1699" t="s">
        <v>2393</v>
      </c>
      <c r="F170" s="1502" t="s">
        <v>154</v>
      </c>
      <c r="G170" s="1503"/>
      <c r="H170" s="1503"/>
      <c r="I170" s="1503"/>
      <c r="J170" s="1503"/>
      <c r="K170" s="1503"/>
      <c r="L170" s="1503"/>
      <c r="M170" s="1503"/>
      <c r="N170" s="1503"/>
      <c r="O170" s="1503"/>
      <c r="P170" s="1503"/>
      <c r="Q170" s="1503"/>
      <c r="R170" s="1504"/>
      <c r="S170" s="863">
        <f>SUMIF(F172:F185,"Mandatory",S172:S185)</f>
        <v>0</v>
      </c>
      <c r="T170" s="909"/>
    </row>
    <row r="171" spans="2:20" ht="19.149999999999999" customHeight="1" x14ac:dyDescent="0.25">
      <c r="B171" s="1700"/>
      <c r="C171" s="1702"/>
      <c r="D171" s="1700"/>
      <c r="E171" s="1700"/>
      <c r="F171" s="1502" t="s">
        <v>156</v>
      </c>
      <c r="G171" s="1503"/>
      <c r="H171" s="1503"/>
      <c r="I171" s="1503"/>
      <c r="J171" s="1503"/>
      <c r="K171" s="1503"/>
      <c r="L171" s="1503"/>
      <c r="M171" s="1503"/>
      <c r="N171" s="1503"/>
      <c r="O171" s="1503"/>
      <c r="P171" s="1503"/>
      <c r="Q171" s="1503"/>
      <c r="R171" s="1504"/>
      <c r="S171" s="863">
        <f>SUMIF(F172:F185,"optional",S172:S185)</f>
        <v>0</v>
      </c>
      <c r="T171" s="909"/>
    </row>
    <row r="172" spans="2:20" ht="25.5" x14ac:dyDescent="0.25">
      <c r="B172" s="97"/>
      <c r="C172" s="98"/>
      <c r="D172" s="100"/>
      <c r="E172" s="1220" t="s">
        <v>2394</v>
      </c>
      <c r="F172" s="1193" t="s">
        <v>191</v>
      </c>
      <c r="G172" s="100" t="s">
        <v>1941</v>
      </c>
      <c r="H172" s="1112"/>
      <c r="I172" s="990"/>
      <c r="J172" s="990"/>
      <c r="K172" s="991">
        <f t="shared" ref="K172:K185" si="6">I172*J172</f>
        <v>0</v>
      </c>
      <c r="L172" s="990"/>
      <c r="M172" s="990"/>
      <c r="N172" s="991"/>
      <c r="O172" s="992"/>
      <c r="P172" s="990"/>
      <c r="Q172" s="992"/>
      <c r="R172" s="102"/>
      <c r="S172" s="1194" t="str">
        <f t="shared" ref="S172:S185" si="7">IF(F172="NA","",H172*R172)</f>
        <v/>
      </c>
      <c r="T172" s="884"/>
    </row>
    <row r="173" spans="2:20" x14ac:dyDescent="0.25">
      <c r="B173" s="97"/>
      <c r="C173" s="98"/>
      <c r="D173" s="100"/>
      <c r="E173" s="1220" t="s">
        <v>2395</v>
      </c>
      <c r="F173" s="1193" t="s">
        <v>191</v>
      </c>
      <c r="G173" s="100" t="s">
        <v>1941</v>
      </c>
      <c r="H173" s="1112"/>
      <c r="I173" s="990"/>
      <c r="J173" s="990"/>
      <c r="K173" s="991">
        <f t="shared" si="6"/>
        <v>0</v>
      </c>
      <c r="L173" s="990"/>
      <c r="M173" s="990"/>
      <c r="N173" s="991"/>
      <c r="O173" s="992"/>
      <c r="P173" s="990"/>
      <c r="Q173" s="992"/>
      <c r="R173" s="102"/>
      <c r="S173" s="1194" t="str">
        <f t="shared" si="7"/>
        <v/>
      </c>
      <c r="T173" s="884"/>
    </row>
    <row r="174" spans="2:20" x14ac:dyDescent="0.25">
      <c r="B174" s="97"/>
      <c r="C174" s="98"/>
      <c r="D174" s="100"/>
      <c r="E174" s="1220" t="s">
        <v>2396</v>
      </c>
      <c r="F174" s="1193" t="s">
        <v>191</v>
      </c>
      <c r="G174" s="100" t="s">
        <v>1941</v>
      </c>
      <c r="H174" s="1112"/>
      <c r="I174" s="990"/>
      <c r="J174" s="990"/>
      <c r="K174" s="991">
        <f t="shared" si="6"/>
        <v>0</v>
      </c>
      <c r="L174" s="990"/>
      <c r="M174" s="990"/>
      <c r="N174" s="991"/>
      <c r="O174" s="992"/>
      <c r="P174" s="990"/>
      <c r="Q174" s="992"/>
      <c r="R174" s="102"/>
      <c r="S174" s="1194" t="str">
        <f t="shared" si="7"/>
        <v/>
      </c>
      <c r="T174" s="884"/>
    </row>
    <row r="175" spans="2:20" x14ac:dyDescent="0.25">
      <c r="B175" s="97"/>
      <c r="C175" s="98"/>
      <c r="D175" s="100"/>
      <c r="E175" s="1220" t="s">
        <v>2397</v>
      </c>
      <c r="F175" s="1193" t="s">
        <v>191</v>
      </c>
      <c r="G175" s="100" t="s">
        <v>1941</v>
      </c>
      <c r="H175" s="1112"/>
      <c r="I175" s="990"/>
      <c r="J175" s="990"/>
      <c r="K175" s="991">
        <f t="shared" si="6"/>
        <v>0</v>
      </c>
      <c r="L175" s="990"/>
      <c r="M175" s="990"/>
      <c r="N175" s="991"/>
      <c r="O175" s="992"/>
      <c r="P175" s="990"/>
      <c r="Q175" s="992"/>
      <c r="R175" s="102"/>
      <c r="S175" s="1194" t="str">
        <f t="shared" si="7"/>
        <v/>
      </c>
      <c r="T175" s="884"/>
    </row>
    <row r="176" spans="2:20" x14ac:dyDescent="0.25">
      <c r="B176" s="97"/>
      <c r="C176" s="98"/>
      <c r="D176" s="100"/>
      <c r="E176" s="1220" t="s">
        <v>2398</v>
      </c>
      <c r="F176" s="1193" t="s">
        <v>191</v>
      </c>
      <c r="G176" s="100" t="s">
        <v>1941</v>
      </c>
      <c r="H176" s="1112"/>
      <c r="I176" s="990"/>
      <c r="J176" s="990"/>
      <c r="K176" s="991">
        <f t="shared" si="6"/>
        <v>0</v>
      </c>
      <c r="L176" s="990"/>
      <c r="M176" s="990"/>
      <c r="N176" s="991"/>
      <c r="O176" s="992"/>
      <c r="P176" s="990"/>
      <c r="Q176" s="992"/>
      <c r="R176" s="102"/>
      <c r="S176" s="1194" t="str">
        <f t="shared" si="7"/>
        <v/>
      </c>
      <c r="T176" s="884"/>
    </row>
    <row r="177" spans="2:20" ht="25.5" x14ac:dyDescent="0.25">
      <c r="B177" s="97"/>
      <c r="C177" s="98"/>
      <c r="D177" s="100"/>
      <c r="E177" s="1220" t="s">
        <v>2399</v>
      </c>
      <c r="F177" s="1193" t="s">
        <v>191</v>
      </c>
      <c r="G177" s="100" t="s">
        <v>1941</v>
      </c>
      <c r="H177" s="1112"/>
      <c r="I177" s="990"/>
      <c r="J177" s="990"/>
      <c r="K177" s="991">
        <f t="shared" si="6"/>
        <v>0</v>
      </c>
      <c r="L177" s="990"/>
      <c r="M177" s="990"/>
      <c r="N177" s="991"/>
      <c r="O177" s="992"/>
      <c r="P177" s="990"/>
      <c r="Q177" s="992"/>
      <c r="R177" s="102"/>
      <c r="S177" s="1194" t="str">
        <f t="shared" si="7"/>
        <v/>
      </c>
      <c r="T177" s="884"/>
    </row>
    <row r="178" spans="2:20" ht="25.5" x14ac:dyDescent="0.25">
      <c r="B178" s="97"/>
      <c r="C178" s="98"/>
      <c r="D178" s="100"/>
      <c r="E178" s="1220" t="s">
        <v>2400</v>
      </c>
      <c r="F178" s="1193" t="s">
        <v>191</v>
      </c>
      <c r="G178" s="100" t="s">
        <v>1941</v>
      </c>
      <c r="H178" s="1112"/>
      <c r="I178" s="990"/>
      <c r="J178" s="990"/>
      <c r="K178" s="991">
        <f t="shared" si="6"/>
        <v>0</v>
      </c>
      <c r="L178" s="990"/>
      <c r="M178" s="990"/>
      <c r="N178" s="991"/>
      <c r="O178" s="992"/>
      <c r="P178" s="990"/>
      <c r="Q178" s="992"/>
      <c r="R178" s="102"/>
      <c r="S178" s="1194" t="str">
        <f t="shared" si="7"/>
        <v/>
      </c>
      <c r="T178" s="884"/>
    </row>
    <row r="179" spans="2:20" x14ac:dyDescent="0.25">
      <c r="B179" s="97"/>
      <c r="C179" s="98"/>
      <c r="D179" s="100"/>
      <c r="E179" s="1220" t="s">
        <v>2401</v>
      </c>
      <c r="F179" s="1193" t="s">
        <v>191</v>
      </c>
      <c r="G179" s="100" t="s">
        <v>1941</v>
      </c>
      <c r="H179" s="1112"/>
      <c r="I179" s="990"/>
      <c r="J179" s="990"/>
      <c r="K179" s="991">
        <f t="shared" si="6"/>
        <v>0</v>
      </c>
      <c r="L179" s="990"/>
      <c r="M179" s="990"/>
      <c r="N179" s="991"/>
      <c r="O179" s="992"/>
      <c r="P179" s="990"/>
      <c r="Q179" s="992"/>
      <c r="R179" s="102"/>
      <c r="S179" s="1194" t="str">
        <f t="shared" si="7"/>
        <v/>
      </c>
      <c r="T179" s="884"/>
    </row>
    <row r="180" spans="2:20" ht="25.5" x14ac:dyDescent="0.25">
      <c r="B180" s="97"/>
      <c r="C180" s="98"/>
      <c r="D180" s="100"/>
      <c r="E180" s="1220" t="s">
        <v>2402</v>
      </c>
      <c r="F180" s="1193" t="s">
        <v>191</v>
      </c>
      <c r="G180" s="100" t="s">
        <v>1941</v>
      </c>
      <c r="H180" s="1112"/>
      <c r="I180" s="990"/>
      <c r="J180" s="990"/>
      <c r="K180" s="991">
        <f t="shared" si="6"/>
        <v>0</v>
      </c>
      <c r="L180" s="990"/>
      <c r="M180" s="990"/>
      <c r="N180" s="991"/>
      <c r="O180" s="992"/>
      <c r="P180" s="990"/>
      <c r="Q180" s="992"/>
      <c r="R180" s="102"/>
      <c r="S180" s="1194" t="str">
        <f t="shared" si="7"/>
        <v/>
      </c>
      <c r="T180" s="884"/>
    </row>
    <row r="181" spans="2:20" ht="25.5" x14ac:dyDescent="0.25">
      <c r="B181" s="97"/>
      <c r="C181" s="98"/>
      <c r="D181" s="100"/>
      <c r="E181" s="1220" t="s">
        <v>2403</v>
      </c>
      <c r="F181" s="1193" t="s">
        <v>191</v>
      </c>
      <c r="G181" s="100" t="s">
        <v>345</v>
      </c>
      <c r="H181" s="1112"/>
      <c r="I181" s="990"/>
      <c r="J181" s="990"/>
      <c r="K181" s="991">
        <f t="shared" si="6"/>
        <v>0</v>
      </c>
      <c r="L181" s="990"/>
      <c r="M181" s="990"/>
      <c r="N181" s="991"/>
      <c r="O181" s="992"/>
      <c r="P181" s="990"/>
      <c r="Q181" s="992"/>
      <c r="R181" s="102"/>
      <c r="S181" s="1194" t="str">
        <f t="shared" si="7"/>
        <v/>
      </c>
      <c r="T181" s="884"/>
    </row>
    <row r="182" spans="2:20" ht="25.5" x14ac:dyDescent="0.25">
      <c r="B182" s="97"/>
      <c r="C182" s="98"/>
      <c r="D182" s="100"/>
      <c r="E182" s="1220" t="s">
        <v>2404</v>
      </c>
      <c r="F182" s="1193" t="s">
        <v>191</v>
      </c>
      <c r="G182" s="100" t="s">
        <v>345</v>
      </c>
      <c r="H182" s="1112"/>
      <c r="I182" s="990"/>
      <c r="J182" s="990"/>
      <c r="K182" s="991">
        <f t="shared" si="6"/>
        <v>0</v>
      </c>
      <c r="L182" s="990"/>
      <c r="M182" s="990"/>
      <c r="N182" s="991"/>
      <c r="O182" s="992"/>
      <c r="P182" s="990"/>
      <c r="Q182" s="992"/>
      <c r="R182" s="102"/>
      <c r="S182" s="1194" t="str">
        <f t="shared" si="7"/>
        <v/>
      </c>
      <c r="T182" s="884"/>
    </row>
    <row r="183" spans="2:20" x14ac:dyDescent="0.25">
      <c r="B183" s="97"/>
      <c r="C183" s="98"/>
      <c r="D183" s="100"/>
      <c r="E183" s="1220" t="s">
        <v>2405</v>
      </c>
      <c r="F183" s="1193" t="s">
        <v>191</v>
      </c>
      <c r="G183" s="100" t="s">
        <v>1941</v>
      </c>
      <c r="H183" s="1112"/>
      <c r="I183" s="990"/>
      <c r="J183" s="990"/>
      <c r="K183" s="991">
        <f t="shared" si="6"/>
        <v>0</v>
      </c>
      <c r="L183" s="990"/>
      <c r="M183" s="990"/>
      <c r="N183" s="991"/>
      <c r="O183" s="992"/>
      <c r="P183" s="990"/>
      <c r="Q183" s="992"/>
      <c r="R183" s="102"/>
      <c r="S183" s="1194" t="str">
        <f t="shared" si="7"/>
        <v/>
      </c>
      <c r="T183" s="884"/>
    </row>
    <row r="184" spans="2:20" ht="25.5" x14ac:dyDescent="0.25">
      <c r="B184" s="97"/>
      <c r="C184" s="98"/>
      <c r="D184" s="100"/>
      <c r="E184" s="1220" t="s">
        <v>2406</v>
      </c>
      <c r="F184" s="1193" t="s">
        <v>191</v>
      </c>
      <c r="G184" s="100" t="s">
        <v>345</v>
      </c>
      <c r="H184" s="1112"/>
      <c r="I184" s="990"/>
      <c r="J184" s="990"/>
      <c r="K184" s="991">
        <f t="shared" si="6"/>
        <v>0</v>
      </c>
      <c r="L184" s="990"/>
      <c r="M184" s="990"/>
      <c r="N184" s="991"/>
      <c r="O184" s="992"/>
      <c r="P184" s="990"/>
      <c r="Q184" s="992"/>
      <c r="R184" s="102"/>
      <c r="S184" s="1194" t="str">
        <f t="shared" si="7"/>
        <v/>
      </c>
      <c r="T184" s="884"/>
    </row>
    <row r="185" spans="2:20" x14ac:dyDescent="0.25">
      <c r="B185" s="97"/>
      <c r="C185" s="98"/>
      <c r="D185" s="100"/>
      <c r="E185" s="1220" t="s">
        <v>2407</v>
      </c>
      <c r="F185" s="1193" t="s">
        <v>191</v>
      </c>
      <c r="G185" s="100" t="s">
        <v>345</v>
      </c>
      <c r="H185" s="1112"/>
      <c r="I185" s="990"/>
      <c r="J185" s="990"/>
      <c r="K185" s="991">
        <f t="shared" si="6"/>
        <v>0</v>
      </c>
      <c r="L185" s="990"/>
      <c r="M185" s="990"/>
      <c r="N185" s="991"/>
      <c r="O185" s="992"/>
      <c r="P185" s="990"/>
      <c r="Q185" s="992"/>
      <c r="R185" s="102"/>
      <c r="S185" s="1194" t="str">
        <f t="shared" si="7"/>
        <v/>
      </c>
      <c r="T185" s="884"/>
    </row>
    <row r="186" spans="2:20" ht="19.149999999999999" customHeight="1" x14ac:dyDescent="0.25">
      <c r="B186" s="1699"/>
      <c r="C186" s="1701"/>
      <c r="D186" s="1699"/>
      <c r="E186" s="1699" t="s">
        <v>2408</v>
      </c>
      <c r="F186" s="1502" t="s">
        <v>154</v>
      </c>
      <c r="G186" s="1503"/>
      <c r="H186" s="1503"/>
      <c r="I186" s="1503"/>
      <c r="J186" s="1503"/>
      <c r="K186" s="1503"/>
      <c r="L186" s="1503"/>
      <c r="M186" s="1503"/>
      <c r="N186" s="1503"/>
      <c r="O186" s="1503"/>
      <c r="P186" s="1503"/>
      <c r="Q186" s="1503"/>
      <c r="R186" s="1504"/>
      <c r="S186" s="863">
        <f>SUMIF(F188:F193,"Mandatory",S188:S193)</f>
        <v>0</v>
      </c>
      <c r="T186" s="909"/>
    </row>
    <row r="187" spans="2:20" ht="19.149999999999999" customHeight="1" x14ac:dyDescent="0.25">
      <c r="B187" s="1700"/>
      <c r="C187" s="1702"/>
      <c r="D187" s="1700"/>
      <c r="E187" s="1700"/>
      <c r="F187" s="1502" t="s">
        <v>156</v>
      </c>
      <c r="G187" s="1503"/>
      <c r="H187" s="1503"/>
      <c r="I187" s="1503"/>
      <c r="J187" s="1503"/>
      <c r="K187" s="1503"/>
      <c r="L187" s="1503"/>
      <c r="M187" s="1503"/>
      <c r="N187" s="1503"/>
      <c r="O187" s="1503"/>
      <c r="P187" s="1503"/>
      <c r="Q187" s="1503"/>
      <c r="R187" s="1504"/>
      <c r="S187" s="863">
        <f>SUMIF(F188:F193,"optional",S188:S193)</f>
        <v>0</v>
      </c>
      <c r="T187" s="909"/>
    </row>
    <row r="188" spans="2:20" ht="25.5" x14ac:dyDescent="0.25">
      <c r="B188" s="97"/>
      <c r="C188" s="98"/>
      <c r="D188" s="100"/>
      <c r="E188" s="98" t="s">
        <v>2409</v>
      </c>
      <c r="F188" s="1193" t="s">
        <v>167</v>
      </c>
      <c r="G188" s="100" t="s">
        <v>1941</v>
      </c>
      <c r="H188" s="1112"/>
      <c r="I188" s="990"/>
      <c r="J188" s="990"/>
      <c r="K188" s="991">
        <f t="shared" ref="K188:K193" si="8">I188*J188</f>
        <v>0</v>
      </c>
      <c r="L188" s="990"/>
      <c r="M188" s="990"/>
      <c r="N188" s="991"/>
      <c r="O188" s="992"/>
      <c r="P188" s="990"/>
      <c r="Q188" s="992"/>
      <c r="R188" s="102"/>
      <c r="S188" s="1194">
        <f t="shared" ref="S188:S193" si="9">IF(F188="NA","",H188*R188)</f>
        <v>0</v>
      </c>
      <c r="T188" s="884"/>
    </row>
    <row r="189" spans="2:20" ht="25.5" x14ac:dyDescent="0.25">
      <c r="B189" s="97"/>
      <c r="C189" s="98"/>
      <c r="D189" s="100"/>
      <c r="E189" s="98" t="s">
        <v>2399</v>
      </c>
      <c r="F189" s="1193" t="s">
        <v>167</v>
      </c>
      <c r="G189" s="100" t="s">
        <v>1941</v>
      </c>
      <c r="H189" s="1112"/>
      <c r="I189" s="990"/>
      <c r="J189" s="990"/>
      <c r="K189" s="991">
        <f t="shared" si="8"/>
        <v>0</v>
      </c>
      <c r="L189" s="990"/>
      <c r="M189" s="990"/>
      <c r="N189" s="991"/>
      <c r="O189" s="992"/>
      <c r="P189" s="990"/>
      <c r="Q189" s="992"/>
      <c r="R189" s="102"/>
      <c r="S189" s="1194">
        <f t="shared" si="9"/>
        <v>0</v>
      </c>
      <c r="T189" s="884"/>
    </row>
    <row r="190" spans="2:20" x14ac:dyDescent="0.25">
      <c r="B190" s="97"/>
      <c r="C190" s="98"/>
      <c r="D190" s="100"/>
      <c r="E190" s="98" t="s">
        <v>2410</v>
      </c>
      <c r="F190" s="1193" t="s">
        <v>167</v>
      </c>
      <c r="G190" s="100" t="s">
        <v>1941</v>
      </c>
      <c r="H190" s="1112"/>
      <c r="I190" s="990"/>
      <c r="J190" s="990"/>
      <c r="K190" s="991">
        <f t="shared" si="8"/>
        <v>0</v>
      </c>
      <c r="L190" s="990"/>
      <c r="M190" s="990"/>
      <c r="N190" s="991"/>
      <c r="O190" s="992"/>
      <c r="P190" s="990"/>
      <c r="Q190" s="992"/>
      <c r="R190" s="102"/>
      <c r="S190" s="1194">
        <f t="shared" si="9"/>
        <v>0</v>
      </c>
      <c r="T190" s="884"/>
    </row>
    <row r="191" spans="2:20" ht="25.5" x14ac:dyDescent="0.25">
      <c r="B191" s="97"/>
      <c r="C191" s="98"/>
      <c r="D191" s="100"/>
      <c r="E191" s="98" t="s">
        <v>2411</v>
      </c>
      <c r="F191" s="1193" t="s">
        <v>167</v>
      </c>
      <c r="G191" s="100" t="s">
        <v>345</v>
      </c>
      <c r="H191" s="1112"/>
      <c r="I191" s="990"/>
      <c r="J191" s="990"/>
      <c r="K191" s="991">
        <f t="shared" si="8"/>
        <v>0</v>
      </c>
      <c r="L191" s="990"/>
      <c r="M191" s="990"/>
      <c r="N191" s="991"/>
      <c r="O191" s="992"/>
      <c r="P191" s="990"/>
      <c r="Q191" s="992"/>
      <c r="R191" s="102"/>
      <c r="S191" s="1194">
        <f t="shared" si="9"/>
        <v>0</v>
      </c>
      <c r="T191" s="884"/>
    </row>
    <row r="192" spans="2:20" x14ac:dyDescent="0.25">
      <c r="B192" s="97"/>
      <c r="C192" s="98"/>
      <c r="D192" s="100"/>
      <c r="E192" s="98" t="s">
        <v>2412</v>
      </c>
      <c r="F192" s="1193" t="s">
        <v>167</v>
      </c>
      <c r="G192" s="100" t="s">
        <v>345</v>
      </c>
      <c r="H192" s="1112"/>
      <c r="I192" s="990"/>
      <c r="J192" s="990"/>
      <c r="K192" s="991">
        <f t="shared" si="8"/>
        <v>0</v>
      </c>
      <c r="L192" s="990"/>
      <c r="M192" s="990"/>
      <c r="N192" s="991"/>
      <c r="O192" s="992"/>
      <c r="P192" s="990"/>
      <c r="Q192" s="992"/>
      <c r="R192" s="102"/>
      <c r="S192" s="1194">
        <f t="shared" si="9"/>
        <v>0</v>
      </c>
      <c r="T192" s="884"/>
    </row>
    <row r="193" spans="2:20" x14ac:dyDescent="0.25">
      <c r="B193" s="97"/>
      <c r="C193" s="98"/>
      <c r="D193" s="100"/>
      <c r="E193" s="98" t="s">
        <v>2413</v>
      </c>
      <c r="F193" s="1193" t="s">
        <v>167</v>
      </c>
      <c r="G193" s="100" t="s">
        <v>464</v>
      </c>
      <c r="H193" s="1112"/>
      <c r="I193" s="990"/>
      <c r="J193" s="990"/>
      <c r="K193" s="991">
        <f t="shared" si="8"/>
        <v>0</v>
      </c>
      <c r="L193" s="990"/>
      <c r="M193" s="990"/>
      <c r="N193" s="991"/>
      <c r="O193" s="992"/>
      <c r="P193" s="990"/>
      <c r="Q193" s="992"/>
      <c r="R193" s="102"/>
      <c r="S193" s="1194">
        <f t="shared" si="9"/>
        <v>0</v>
      </c>
      <c r="T193" s="884"/>
    </row>
    <row r="194" spans="2:20" s="1206" customFormat="1" ht="15" customHeight="1" x14ac:dyDescent="0.25">
      <c r="B194" s="1699"/>
      <c r="C194" s="1701" t="str">
        <f>'Reference documents'!B27</f>
        <v>GRE.EEC.S.25.XX.S.00000.15.001.00</v>
      </c>
      <c r="D194" s="1699" t="s">
        <v>2247</v>
      </c>
      <c r="E194" s="1699" t="s">
        <v>128</v>
      </c>
      <c r="F194" s="1502" t="s">
        <v>154</v>
      </c>
      <c r="G194" s="1503"/>
      <c r="H194" s="1503"/>
      <c r="I194" s="1503"/>
      <c r="J194" s="1503"/>
      <c r="K194" s="1503"/>
      <c r="L194" s="1503"/>
      <c r="M194" s="1503"/>
      <c r="N194" s="1503"/>
      <c r="O194" s="1503"/>
      <c r="P194" s="1503"/>
      <c r="Q194" s="1503"/>
      <c r="R194" s="1504"/>
      <c r="S194" s="863">
        <f>SUMIF(F198:F267,"Mandatory",S198:S267)</f>
        <v>0</v>
      </c>
      <c r="T194" s="909"/>
    </row>
    <row r="195" spans="2:20" s="1206" customFormat="1" ht="15" customHeight="1" x14ac:dyDescent="0.25">
      <c r="B195" s="1700"/>
      <c r="C195" s="1702"/>
      <c r="D195" s="1700"/>
      <c r="E195" s="1700"/>
      <c r="F195" s="1502" t="s">
        <v>156</v>
      </c>
      <c r="G195" s="1503"/>
      <c r="H195" s="1503"/>
      <c r="I195" s="1503"/>
      <c r="J195" s="1503"/>
      <c r="K195" s="1503"/>
      <c r="L195" s="1503"/>
      <c r="M195" s="1503"/>
      <c r="N195" s="1503"/>
      <c r="O195" s="1503"/>
      <c r="P195" s="1503"/>
      <c r="Q195" s="1503"/>
      <c r="R195" s="1504"/>
      <c r="S195" s="863">
        <f>SUMIF(F198:F267,"optional",S198:S267)</f>
        <v>0</v>
      </c>
      <c r="T195" s="909"/>
    </row>
    <row r="196" spans="2:20" ht="19.899999999999999" customHeight="1" x14ac:dyDescent="0.25">
      <c r="B196" s="1092"/>
      <c r="C196" s="1092" t="str">
        <f>'Reference documents'!B27</f>
        <v>GRE.EEC.S.25.XX.S.00000.15.001.00</v>
      </c>
      <c r="D196" s="1176" t="s">
        <v>2248</v>
      </c>
      <c r="E196" s="1208" t="s">
        <v>2249</v>
      </c>
      <c r="F196" s="1703"/>
      <c r="G196" s="1703"/>
      <c r="H196" s="1703"/>
      <c r="I196" s="1703"/>
      <c r="J196" s="1703"/>
      <c r="K196" s="1703"/>
      <c r="L196" s="1703"/>
      <c r="M196" s="1703"/>
      <c r="N196" s="1703"/>
      <c r="O196" s="1703"/>
      <c r="P196" s="1703"/>
      <c r="Q196" s="1703"/>
      <c r="R196" s="1703"/>
      <c r="S196" s="1703"/>
      <c r="T196" s="1704"/>
    </row>
    <row r="197" spans="2:20" ht="19.899999999999999" customHeight="1" x14ac:dyDescent="0.25">
      <c r="B197" s="1210"/>
      <c r="C197" s="1210" t="str">
        <f>'Reference documents'!B27</f>
        <v>GRE.EEC.S.25.XX.S.00000.15.001.00</v>
      </c>
      <c r="D197" s="1211" t="s">
        <v>2250</v>
      </c>
      <c r="E197" s="1212" t="s">
        <v>2251</v>
      </c>
      <c r="F197" s="1213"/>
      <c r="G197" s="1213"/>
      <c r="H197" s="1213"/>
      <c r="I197" s="1213"/>
      <c r="J197" s="1213"/>
      <c r="K197" s="1213"/>
      <c r="L197" s="1213"/>
      <c r="M197" s="1213"/>
      <c r="N197" s="1213"/>
      <c r="O197" s="1213"/>
      <c r="P197" s="1213"/>
      <c r="Q197" s="1213"/>
      <c r="R197" s="1213"/>
      <c r="S197" s="1213"/>
      <c r="T197" s="1214"/>
    </row>
    <row r="198" spans="2:20" ht="19.149999999999999" customHeight="1" x14ac:dyDescent="0.25">
      <c r="B198" s="97"/>
      <c r="C198" s="98" t="str">
        <f>'Reference documents'!B27</f>
        <v>GRE.EEC.S.25.XX.S.00000.15.001.00</v>
      </c>
      <c r="D198" s="100" t="s">
        <v>2252</v>
      </c>
      <c r="E198" s="98" t="s">
        <v>2414</v>
      </c>
      <c r="F198" s="1193" t="s">
        <v>160</v>
      </c>
      <c r="G198" s="100" t="s">
        <v>1941</v>
      </c>
      <c r="H198" s="1112"/>
      <c r="I198" s="990"/>
      <c r="J198" s="990"/>
      <c r="K198" s="991">
        <f t="shared" ref="K198:K218" si="10">I198*J198</f>
        <v>0</v>
      </c>
      <c r="L198" s="990"/>
      <c r="M198" s="990"/>
      <c r="N198" s="991"/>
      <c r="O198" s="992"/>
      <c r="P198" s="990"/>
      <c r="Q198" s="992"/>
      <c r="R198" s="102"/>
      <c r="S198" s="1194">
        <f t="shared" ref="S198:S218" si="11">IF(F198="NA","",H198*R198)</f>
        <v>0</v>
      </c>
      <c r="T198" s="884"/>
    </row>
    <row r="199" spans="2:20" ht="19.149999999999999" customHeight="1" x14ac:dyDescent="0.25">
      <c r="B199" s="97"/>
      <c r="C199" s="98" t="str">
        <f>'Reference documents'!B27</f>
        <v>GRE.EEC.S.25.XX.S.00000.15.001.00</v>
      </c>
      <c r="D199" s="100" t="s">
        <v>2254</v>
      </c>
      <c r="E199" s="98" t="s">
        <v>2415</v>
      </c>
      <c r="F199" s="1193" t="s">
        <v>160</v>
      </c>
      <c r="G199" s="100" t="s">
        <v>1941</v>
      </c>
      <c r="H199" s="1112"/>
      <c r="I199" s="990"/>
      <c r="J199" s="990"/>
      <c r="K199" s="991">
        <f t="shared" si="10"/>
        <v>0</v>
      </c>
      <c r="L199" s="990"/>
      <c r="M199" s="990"/>
      <c r="N199" s="991"/>
      <c r="O199" s="992"/>
      <c r="P199" s="990"/>
      <c r="Q199" s="992"/>
      <c r="R199" s="102"/>
      <c r="S199" s="1194">
        <f t="shared" si="11"/>
        <v>0</v>
      </c>
      <c r="T199" s="884"/>
    </row>
    <row r="200" spans="2:20" ht="19.149999999999999" customHeight="1" x14ac:dyDescent="0.25">
      <c r="B200" s="97"/>
      <c r="C200" s="98" t="str">
        <f>'Reference documents'!B27</f>
        <v>GRE.EEC.S.25.XX.S.00000.15.001.00</v>
      </c>
      <c r="D200" s="100" t="s">
        <v>2256</v>
      </c>
      <c r="E200" s="98" t="s">
        <v>2416</v>
      </c>
      <c r="F200" s="1193" t="s">
        <v>160</v>
      </c>
      <c r="G200" s="100" t="s">
        <v>1941</v>
      </c>
      <c r="H200" s="1112"/>
      <c r="I200" s="990"/>
      <c r="J200" s="990"/>
      <c r="K200" s="991">
        <f t="shared" si="10"/>
        <v>0</v>
      </c>
      <c r="L200" s="990"/>
      <c r="M200" s="990"/>
      <c r="N200" s="991"/>
      <c r="O200" s="992"/>
      <c r="P200" s="990"/>
      <c r="Q200" s="992"/>
      <c r="R200" s="102"/>
      <c r="S200" s="1194">
        <f t="shared" si="11"/>
        <v>0</v>
      </c>
      <c r="T200" s="884"/>
    </row>
    <row r="201" spans="2:20" ht="19.149999999999999" customHeight="1" x14ac:dyDescent="0.25">
      <c r="B201" s="97"/>
      <c r="C201" s="98" t="str">
        <f>'Reference documents'!B27</f>
        <v>GRE.EEC.S.25.XX.S.00000.15.001.00</v>
      </c>
      <c r="D201" s="100" t="s">
        <v>2258</v>
      </c>
      <c r="E201" s="98" t="s">
        <v>2417</v>
      </c>
      <c r="F201" s="1193" t="s">
        <v>160</v>
      </c>
      <c r="G201" s="100" t="s">
        <v>1941</v>
      </c>
      <c r="H201" s="1112"/>
      <c r="I201" s="990"/>
      <c r="J201" s="990"/>
      <c r="K201" s="991">
        <f t="shared" si="10"/>
        <v>0</v>
      </c>
      <c r="L201" s="990"/>
      <c r="M201" s="990"/>
      <c r="N201" s="991"/>
      <c r="O201" s="992"/>
      <c r="P201" s="990"/>
      <c r="Q201" s="992"/>
      <c r="R201" s="102"/>
      <c r="S201" s="1194">
        <f t="shared" si="11"/>
        <v>0</v>
      </c>
      <c r="T201" s="884"/>
    </row>
    <row r="202" spans="2:20" ht="19.149999999999999" customHeight="1" x14ac:dyDescent="0.25">
      <c r="B202" s="97"/>
      <c r="C202" s="98" t="str">
        <f>'Reference documents'!B27</f>
        <v>GRE.EEC.S.25.XX.S.00000.15.001.00</v>
      </c>
      <c r="D202" s="100" t="s">
        <v>2260</v>
      </c>
      <c r="E202" s="98" t="s">
        <v>2418</v>
      </c>
      <c r="F202" s="1193" t="s">
        <v>160</v>
      </c>
      <c r="G202" s="100" t="s">
        <v>1941</v>
      </c>
      <c r="H202" s="1112"/>
      <c r="I202" s="990"/>
      <c r="J202" s="990"/>
      <c r="K202" s="991">
        <f t="shared" si="10"/>
        <v>0</v>
      </c>
      <c r="L202" s="990"/>
      <c r="M202" s="990"/>
      <c r="N202" s="991"/>
      <c r="O202" s="992"/>
      <c r="P202" s="990"/>
      <c r="Q202" s="992"/>
      <c r="R202" s="102"/>
      <c r="S202" s="1194">
        <f t="shared" si="11"/>
        <v>0</v>
      </c>
      <c r="T202" s="884"/>
    </row>
    <row r="203" spans="2:20" ht="19.149999999999999" customHeight="1" x14ac:dyDescent="0.25">
      <c r="B203" s="97"/>
      <c r="C203" s="98" t="str">
        <f>'Reference documents'!B27</f>
        <v>GRE.EEC.S.25.XX.S.00000.15.001.00</v>
      </c>
      <c r="D203" s="100" t="s">
        <v>2262</v>
      </c>
      <c r="E203" s="98" t="s">
        <v>2419</v>
      </c>
      <c r="F203" s="1193" t="s">
        <v>160</v>
      </c>
      <c r="G203" s="100" t="s">
        <v>1941</v>
      </c>
      <c r="H203" s="1112"/>
      <c r="I203" s="990"/>
      <c r="J203" s="990"/>
      <c r="K203" s="991">
        <f t="shared" si="10"/>
        <v>0</v>
      </c>
      <c r="L203" s="990"/>
      <c r="M203" s="990"/>
      <c r="N203" s="991"/>
      <c r="O203" s="992"/>
      <c r="P203" s="990"/>
      <c r="Q203" s="992"/>
      <c r="R203" s="102"/>
      <c r="S203" s="1194">
        <f t="shared" si="11"/>
        <v>0</v>
      </c>
      <c r="T203" s="884"/>
    </row>
    <row r="204" spans="2:20" ht="19.149999999999999" customHeight="1" x14ac:dyDescent="0.25">
      <c r="B204" s="97"/>
      <c r="C204" s="98" t="str">
        <f>'Reference documents'!B27</f>
        <v>GRE.EEC.S.25.XX.S.00000.15.001.00</v>
      </c>
      <c r="D204" s="100" t="s">
        <v>2264</v>
      </c>
      <c r="E204" s="98" t="s">
        <v>2420</v>
      </c>
      <c r="F204" s="1193" t="s">
        <v>160</v>
      </c>
      <c r="G204" s="100" t="s">
        <v>1941</v>
      </c>
      <c r="H204" s="1112"/>
      <c r="I204" s="990"/>
      <c r="J204" s="990"/>
      <c r="K204" s="991">
        <f t="shared" si="10"/>
        <v>0</v>
      </c>
      <c r="L204" s="990"/>
      <c r="M204" s="990"/>
      <c r="N204" s="991"/>
      <c r="O204" s="992"/>
      <c r="P204" s="990"/>
      <c r="Q204" s="992"/>
      <c r="R204" s="102"/>
      <c r="S204" s="1194">
        <f t="shared" si="11"/>
        <v>0</v>
      </c>
      <c r="T204" s="884"/>
    </row>
    <row r="205" spans="2:20" ht="19.149999999999999" customHeight="1" x14ac:dyDescent="0.25">
      <c r="B205" s="97"/>
      <c r="C205" s="98" t="str">
        <f>'Reference documents'!B27</f>
        <v>GRE.EEC.S.25.XX.S.00000.15.001.00</v>
      </c>
      <c r="D205" s="100" t="s">
        <v>2266</v>
      </c>
      <c r="E205" s="98" t="s">
        <v>2421</v>
      </c>
      <c r="F205" s="1193" t="s">
        <v>160</v>
      </c>
      <c r="G205" s="100" t="s">
        <v>1941</v>
      </c>
      <c r="H205" s="1112"/>
      <c r="I205" s="990"/>
      <c r="J205" s="990"/>
      <c r="K205" s="991">
        <f t="shared" si="10"/>
        <v>0</v>
      </c>
      <c r="L205" s="990"/>
      <c r="M205" s="990"/>
      <c r="N205" s="991"/>
      <c r="O205" s="992"/>
      <c r="P205" s="990"/>
      <c r="Q205" s="992"/>
      <c r="R205" s="102"/>
      <c r="S205" s="1194">
        <f t="shared" si="11"/>
        <v>0</v>
      </c>
      <c r="T205" s="884"/>
    </row>
    <row r="206" spans="2:20" ht="19.149999999999999" customHeight="1" x14ac:dyDescent="0.25">
      <c r="B206" s="97"/>
      <c r="C206" s="98" t="str">
        <f>'Reference documents'!B27</f>
        <v>GRE.EEC.S.25.XX.S.00000.15.001.00</v>
      </c>
      <c r="D206" s="100" t="s">
        <v>2268</v>
      </c>
      <c r="E206" s="98" t="s">
        <v>2422</v>
      </c>
      <c r="F206" s="1193" t="s">
        <v>160</v>
      </c>
      <c r="G206" s="100" t="s">
        <v>1941</v>
      </c>
      <c r="H206" s="1112"/>
      <c r="I206" s="990"/>
      <c r="J206" s="990"/>
      <c r="K206" s="991">
        <f t="shared" si="10"/>
        <v>0</v>
      </c>
      <c r="L206" s="990"/>
      <c r="M206" s="990"/>
      <c r="N206" s="991"/>
      <c r="O206" s="992"/>
      <c r="P206" s="990"/>
      <c r="Q206" s="992"/>
      <c r="R206" s="102"/>
      <c r="S206" s="1194">
        <f t="shared" si="11"/>
        <v>0</v>
      </c>
      <c r="T206" s="884"/>
    </row>
    <row r="207" spans="2:20" ht="19.149999999999999" customHeight="1" x14ac:dyDescent="0.25">
      <c r="B207" s="97"/>
      <c r="C207" s="98" t="str">
        <f>'Reference documents'!B27</f>
        <v>GRE.EEC.S.25.XX.S.00000.15.001.00</v>
      </c>
      <c r="D207" s="100" t="s">
        <v>2270</v>
      </c>
      <c r="E207" s="98" t="s">
        <v>2423</v>
      </c>
      <c r="F207" s="1193" t="s">
        <v>160</v>
      </c>
      <c r="G207" s="100" t="s">
        <v>1941</v>
      </c>
      <c r="H207" s="1112"/>
      <c r="I207" s="990"/>
      <c r="J207" s="990"/>
      <c r="K207" s="991">
        <f t="shared" si="10"/>
        <v>0</v>
      </c>
      <c r="L207" s="990"/>
      <c r="M207" s="990"/>
      <c r="N207" s="991"/>
      <c r="O207" s="992"/>
      <c r="P207" s="990"/>
      <c r="Q207" s="992"/>
      <c r="R207" s="102"/>
      <c r="S207" s="1194">
        <f t="shared" si="11"/>
        <v>0</v>
      </c>
      <c r="T207" s="884"/>
    </row>
    <row r="208" spans="2:20" ht="19.149999999999999" customHeight="1" x14ac:dyDescent="0.25">
      <c r="B208" s="97"/>
      <c r="C208" s="98" t="str">
        <f>'Reference documents'!B27</f>
        <v>GRE.EEC.S.25.XX.S.00000.15.001.00</v>
      </c>
      <c r="D208" s="100" t="s">
        <v>2272</v>
      </c>
      <c r="E208" s="98" t="s">
        <v>2424</v>
      </c>
      <c r="F208" s="1193" t="s">
        <v>160</v>
      </c>
      <c r="G208" s="100" t="s">
        <v>1941</v>
      </c>
      <c r="H208" s="1112"/>
      <c r="I208" s="990"/>
      <c r="J208" s="990"/>
      <c r="K208" s="991">
        <f t="shared" si="10"/>
        <v>0</v>
      </c>
      <c r="L208" s="990"/>
      <c r="M208" s="990"/>
      <c r="N208" s="991"/>
      <c r="O208" s="992"/>
      <c r="P208" s="990"/>
      <c r="Q208" s="992"/>
      <c r="R208" s="102"/>
      <c r="S208" s="1194">
        <f t="shared" si="11"/>
        <v>0</v>
      </c>
      <c r="T208" s="884"/>
    </row>
    <row r="209" spans="2:20" ht="19.149999999999999" customHeight="1" x14ac:dyDescent="0.25">
      <c r="B209" s="97"/>
      <c r="C209" s="98" t="str">
        <f>'Reference documents'!B27</f>
        <v>GRE.EEC.S.25.XX.S.00000.15.001.00</v>
      </c>
      <c r="D209" s="100" t="s">
        <v>2274</v>
      </c>
      <c r="E209" s="98" t="s">
        <v>2425</v>
      </c>
      <c r="F209" s="1193" t="s">
        <v>160</v>
      </c>
      <c r="G209" s="100" t="s">
        <v>1941</v>
      </c>
      <c r="H209" s="1112"/>
      <c r="I209" s="990"/>
      <c r="J209" s="990"/>
      <c r="K209" s="991">
        <f t="shared" si="10"/>
        <v>0</v>
      </c>
      <c r="L209" s="990"/>
      <c r="M209" s="990"/>
      <c r="N209" s="991"/>
      <c r="O209" s="992"/>
      <c r="P209" s="990"/>
      <c r="Q209" s="992"/>
      <c r="R209" s="102"/>
      <c r="S209" s="1194">
        <f t="shared" si="11"/>
        <v>0</v>
      </c>
      <c r="T209" s="884"/>
    </row>
    <row r="210" spans="2:20" ht="19.149999999999999" customHeight="1" x14ac:dyDescent="0.25">
      <c r="B210" s="97"/>
      <c r="C210" s="98" t="str">
        <f>'Reference documents'!B27</f>
        <v>GRE.EEC.S.25.XX.S.00000.15.001.00</v>
      </c>
      <c r="D210" s="100" t="s">
        <v>2276</v>
      </c>
      <c r="E210" s="98" t="s">
        <v>2426</v>
      </c>
      <c r="F210" s="1193" t="s">
        <v>160</v>
      </c>
      <c r="G210" s="100" t="s">
        <v>1941</v>
      </c>
      <c r="H210" s="1112"/>
      <c r="I210" s="990"/>
      <c r="J210" s="990"/>
      <c r="K210" s="991">
        <f t="shared" si="10"/>
        <v>0</v>
      </c>
      <c r="L210" s="990"/>
      <c r="M210" s="990"/>
      <c r="N210" s="991"/>
      <c r="O210" s="992"/>
      <c r="P210" s="990"/>
      <c r="Q210" s="992"/>
      <c r="R210" s="102"/>
      <c r="S210" s="1194">
        <f t="shared" si="11"/>
        <v>0</v>
      </c>
      <c r="T210" s="884"/>
    </row>
    <row r="211" spans="2:20" ht="19.149999999999999" customHeight="1" x14ac:dyDescent="0.25">
      <c r="B211" s="97"/>
      <c r="C211" s="98" t="str">
        <f>'Reference documents'!B27</f>
        <v>GRE.EEC.S.25.XX.S.00000.15.001.00</v>
      </c>
      <c r="D211" s="100" t="s">
        <v>2278</v>
      </c>
      <c r="E211" s="98" t="s">
        <v>2427</v>
      </c>
      <c r="F211" s="1193" t="s">
        <v>160</v>
      </c>
      <c r="G211" s="100" t="s">
        <v>1941</v>
      </c>
      <c r="H211" s="1112"/>
      <c r="I211" s="990"/>
      <c r="J211" s="990"/>
      <c r="K211" s="991">
        <f t="shared" si="10"/>
        <v>0</v>
      </c>
      <c r="L211" s="990"/>
      <c r="M211" s="990"/>
      <c r="N211" s="991"/>
      <c r="O211" s="992"/>
      <c r="P211" s="990"/>
      <c r="Q211" s="992"/>
      <c r="R211" s="102"/>
      <c r="S211" s="1194">
        <f t="shared" si="11"/>
        <v>0</v>
      </c>
      <c r="T211" s="884"/>
    </row>
    <row r="212" spans="2:20" ht="19.149999999999999" customHeight="1" x14ac:dyDescent="0.25">
      <c r="B212" s="97"/>
      <c r="C212" s="98" t="str">
        <f>'Reference documents'!B27</f>
        <v>GRE.EEC.S.25.XX.S.00000.15.001.00</v>
      </c>
      <c r="D212" s="100" t="s">
        <v>2280</v>
      </c>
      <c r="E212" s="98" t="s">
        <v>2428</v>
      </c>
      <c r="F212" s="1193" t="s">
        <v>160</v>
      </c>
      <c r="G212" s="100" t="s">
        <v>1941</v>
      </c>
      <c r="H212" s="1112"/>
      <c r="I212" s="990"/>
      <c r="J212" s="990"/>
      <c r="K212" s="991">
        <f t="shared" si="10"/>
        <v>0</v>
      </c>
      <c r="L212" s="990"/>
      <c r="M212" s="990"/>
      <c r="N212" s="991"/>
      <c r="O212" s="992"/>
      <c r="P212" s="990"/>
      <c r="Q212" s="992"/>
      <c r="R212" s="102"/>
      <c r="S212" s="1194">
        <f t="shared" si="11"/>
        <v>0</v>
      </c>
      <c r="T212" s="884"/>
    </row>
    <row r="213" spans="2:20" ht="19.149999999999999" customHeight="1" x14ac:dyDescent="0.25">
      <c r="B213" s="97"/>
      <c r="C213" s="98" t="str">
        <f>'Reference documents'!B27</f>
        <v>GRE.EEC.S.25.XX.S.00000.15.001.00</v>
      </c>
      <c r="D213" s="100" t="s">
        <v>2282</v>
      </c>
      <c r="E213" s="98" t="s">
        <v>2429</v>
      </c>
      <c r="F213" s="1193" t="s">
        <v>160</v>
      </c>
      <c r="G213" s="100" t="s">
        <v>1941</v>
      </c>
      <c r="H213" s="1112"/>
      <c r="I213" s="990"/>
      <c r="J213" s="990"/>
      <c r="K213" s="991">
        <f t="shared" si="10"/>
        <v>0</v>
      </c>
      <c r="L213" s="990"/>
      <c r="M213" s="990"/>
      <c r="N213" s="991"/>
      <c r="O213" s="992"/>
      <c r="P213" s="990"/>
      <c r="Q213" s="992"/>
      <c r="R213" s="102"/>
      <c r="S213" s="1194">
        <f t="shared" si="11"/>
        <v>0</v>
      </c>
      <c r="T213" s="884"/>
    </row>
    <row r="214" spans="2:20" ht="19.149999999999999" customHeight="1" x14ac:dyDescent="0.25">
      <c r="B214" s="97"/>
      <c r="C214" s="98" t="str">
        <f>'Reference documents'!B27</f>
        <v>GRE.EEC.S.25.XX.S.00000.15.001.00</v>
      </c>
      <c r="D214" s="100" t="s">
        <v>2284</v>
      </c>
      <c r="E214" s="98" t="s">
        <v>2430</v>
      </c>
      <c r="F214" s="1193" t="s">
        <v>160</v>
      </c>
      <c r="G214" s="100" t="s">
        <v>1941</v>
      </c>
      <c r="H214" s="1112"/>
      <c r="I214" s="990"/>
      <c r="J214" s="990"/>
      <c r="K214" s="991">
        <f t="shared" si="10"/>
        <v>0</v>
      </c>
      <c r="L214" s="990"/>
      <c r="M214" s="990"/>
      <c r="N214" s="991"/>
      <c r="O214" s="992"/>
      <c r="P214" s="990"/>
      <c r="Q214" s="992"/>
      <c r="R214" s="102"/>
      <c r="S214" s="1194">
        <f t="shared" si="11"/>
        <v>0</v>
      </c>
      <c r="T214" s="884"/>
    </row>
    <row r="215" spans="2:20" ht="19.149999999999999" customHeight="1" x14ac:dyDescent="0.25">
      <c r="B215" s="97"/>
      <c r="C215" s="98" t="str">
        <f>'Reference documents'!B27</f>
        <v>GRE.EEC.S.25.XX.S.00000.15.001.00</v>
      </c>
      <c r="D215" s="100" t="s">
        <v>2286</v>
      </c>
      <c r="E215" s="98" t="s">
        <v>2431</v>
      </c>
      <c r="F215" s="1193" t="s">
        <v>160</v>
      </c>
      <c r="G215" s="100" t="s">
        <v>1941</v>
      </c>
      <c r="H215" s="1112"/>
      <c r="I215" s="990"/>
      <c r="J215" s="990"/>
      <c r="K215" s="991">
        <f t="shared" si="10"/>
        <v>0</v>
      </c>
      <c r="L215" s="990"/>
      <c r="M215" s="990"/>
      <c r="N215" s="991"/>
      <c r="O215" s="992"/>
      <c r="P215" s="990"/>
      <c r="Q215" s="992"/>
      <c r="R215" s="102"/>
      <c r="S215" s="1194">
        <f t="shared" si="11"/>
        <v>0</v>
      </c>
      <c r="T215" s="884"/>
    </row>
    <row r="216" spans="2:20" ht="19.149999999999999" customHeight="1" x14ac:dyDescent="0.25">
      <c r="B216" s="97"/>
      <c r="C216" s="98" t="str">
        <f>'Reference documents'!B27</f>
        <v>GRE.EEC.S.25.XX.S.00000.15.001.00</v>
      </c>
      <c r="D216" s="100" t="s">
        <v>2288</v>
      </c>
      <c r="E216" s="98" t="s">
        <v>2432</v>
      </c>
      <c r="F216" s="1193" t="s">
        <v>160</v>
      </c>
      <c r="G216" s="100" t="s">
        <v>1941</v>
      </c>
      <c r="H216" s="1112"/>
      <c r="I216" s="990"/>
      <c r="J216" s="990"/>
      <c r="K216" s="991">
        <f t="shared" si="10"/>
        <v>0</v>
      </c>
      <c r="L216" s="990"/>
      <c r="M216" s="990"/>
      <c r="N216" s="991"/>
      <c r="O216" s="992"/>
      <c r="P216" s="990"/>
      <c r="Q216" s="992"/>
      <c r="R216" s="102"/>
      <c r="S216" s="1194">
        <f t="shared" si="11"/>
        <v>0</v>
      </c>
      <c r="T216" s="884"/>
    </row>
    <row r="217" spans="2:20" ht="19.149999999999999" customHeight="1" x14ac:dyDescent="0.25">
      <c r="B217" s="97"/>
      <c r="C217" s="98" t="str">
        <f>'Reference documents'!B27</f>
        <v>GRE.EEC.S.25.XX.S.00000.15.001.00</v>
      </c>
      <c r="D217" s="100" t="s">
        <v>2290</v>
      </c>
      <c r="E217" s="98" t="s">
        <v>2433</v>
      </c>
      <c r="F217" s="1193" t="s">
        <v>160</v>
      </c>
      <c r="G217" s="100" t="s">
        <v>1941</v>
      </c>
      <c r="H217" s="1112"/>
      <c r="I217" s="990"/>
      <c r="J217" s="990"/>
      <c r="K217" s="991">
        <f t="shared" si="10"/>
        <v>0</v>
      </c>
      <c r="L217" s="990"/>
      <c r="M217" s="990"/>
      <c r="N217" s="991"/>
      <c r="O217" s="992"/>
      <c r="P217" s="990"/>
      <c r="Q217" s="992"/>
      <c r="R217" s="102"/>
      <c r="S217" s="1194">
        <f t="shared" si="11"/>
        <v>0</v>
      </c>
      <c r="T217" s="884"/>
    </row>
    <row r="218" spans="2:20" ht="19.149999999999999" customHeight="1" x14ac:dyDescent="0.25">
      <c r="B218" s="97"/>
      <c r="C218" s="98" t="str">
        <f>'Reference documents'!B27</f>
        <v>GRE.EEC.S.25.XX.S.00000.15.001.00</v>
      </c>
      <c r="D218" s="100" t="s">
        <v>2292</v>
      </c>
      <c r="E218" s="98" t="s">
        <v>2434</v>
      </c>
      <c r="F218" s="1193" t="s">
        <v>160</v>
      </c>
      <c r="G218" s="100" t="s">
        <v>1941</v>
      </c>
      <c r="H218" s="1112"/>
      <c r="I218" s="990"/>
      <c r="J218" s="990"/>
      <c r="K218" s="991">
        <f t="shared" si="10"/>
        <v>0</v>
      </c>
      <c r="L218" s="990"/>
      <c r="M218" s="990"/>
      <c r="N218" s="991"/>
      <c r="O218" s="992"/>
      <c r="P218" s="990"/>
      <c r="Q218" s="992"/>
      <c r="R218" s="102"/>
      <c r="S218" s="1194">
        <f t="shared" si="11"/>
        <v>0</v>
      </c>
      <c r="T218" s="884"/>
    </row>
    <row r="219" spans="2:20" ht="19.899999999999999" customHeight="1" x14ac:dyDescent="0.25">
      <c r="B219" s="1210"/>
      <c r="C219" s="1210" t="str">
        <f>'Reference documents'!B27</f>
        <v>GRE.EEC.S.25.XX.S.00000.15.001.00</v>
      </c>
      <c r="D219" s="1211" t="s">
        <v>2294</v>
      </c>
      <c r="E219" s="1212" t="s">
        <v>2295</v>
      </c>
      <c r="F219" s="1213"/>
      <c r="G219" s="1213"/>
      <c r="H219" s="1213"/>
      <c r="I219" s="1213"/>
      <c r="J219" s="1213"/>
      <c r="K219" s="1213"/>
      <c r="L219" s="1213"/>
      <c r="M219" s="1213"/>
      <c r="N219" s="1213"/>
      <c r="O219" s="1213"/>
      <c r="P219" s="1213"/>
      <c r="Q219" s="1213"/>
      <c r="R219" s="1213"/>
      <c r="S219" s="1213"/>
      <c r="T219" s="1214"/>
    </row>
    <row r="220" spans="2:20" ht="19.149999999999999" customHeight="1" x14ac:dyDescent="0.25">
      <c r="B220" s="97"/>
      <c r="C220" s="98" t="str">
        <f>'Reference documents'!B27</f>
        <v>GRE.EEC.S.25.XX.S.00000.15.001.00</v>
      </c>
      <c r="D220" s="100" t="s">
        <v>2296</v>
      </c>
      <c r="E220" s="98" t="s">
        <v>2435</v>
      </c>
      <c r="F220" s="1193" t="s">
        <v>160</v>
      </c>
      <c r="G220" s="100" t="s">
        <v>1941</v>
      </c>
      <c r="H220" s="1112"/>
      <c r="I220" s="990"/>
      <c r="J220" s="990"/>
      <c r="K220" s="991">
        <f t="shared" ref="K220:K240" si="12">I220*J220</f>
        <v>0</v>
      </c>
      <c r="L220" s="990"/>
      <c r="M220" s="990"/>
      <c r="N220" s="991"/>
      <c r="O220" s="992"/>
      <c r="P220" s="990"/>
      <c r="Q220" s="992"/>
      <c r="R220" s="102"/>
      <c r="S220" s="1194">
        <f t="shared" ref="S220:S240" si="13">IF(F220="NA","",H220*R220)</f>
        <v>0</v>
      </c>
      <c r="T220" s="884"/>
    </row>
    <row r="221" spans="2:20" ht="19.149999999999999" customHeight="1" x14ac:dyDescent="0.25">
      <c r="B221" s="97"/>
      <c r="C221" s="98" t="str">
        <f>'Reference documents'!B27</f>
        <v>GRE.EEC.S.25.XX.S.00000.15.001.00</v>
      </c>
      <c r="D221" s="100" t="s">
        <v>2298</v>
      </c>
      <c r="E221" s="98" t="s">
        <v>2436</v>
      </c>
      <c r="F221" s="1193" t="s">
        <v>160</v>
      </c>
      <c r="G221" s="100" t="s">
        <v>1941</v>
      </c>
      <c r="H221" s="1112"/>
      <c r="I221" s="990"/>
      <c r="J221" s="990"/>
      <c r="K221" s="991">
        <f t="shared" si="12"/>
        <v>0</v>
      </c>
      <c r="L221" s="990"/>
      <c r="M221" s="990"/>
      <c r="N221" s="991"/>
      <c r="O221" s="992"/>
      <c r="P221" s="990"/>
      <c r="Q221" s="992"/>
      <c r="R221" s="102"/>
      <c r="S221" s="1194">
        <f t="shared" si="13"/>
        <v>0</v>
      </c>
      <c r="T221" s="884"/>
    </row>
    <row r="222" spans="2:20" ht="19.149999999999999" customHeight="1" x14ac:dyDescent="0.25">
      <c r="B222" s="97"/>
      <c r="C222" s="98" t="str">
        <f>'Reference documents'!B27</f>
        <v>GRE.EEC.S.25.XX.S.00000.15.001.00</v>
      </c>
      <c r="D222" s="100" t="s">
        <v>2300</v>
      </c>
      <c r="E222" s="98" t="s">
        <v>2437</v>
      </c>
      <c r="F222" s="1193" t="s">
        <v>160</v>
      </c>
      <c r="G222" s="100" t="s">
        <v>1941</v>
      </c>
      <c r="H222" s="1112"/>
      <c r="I222" s="990"/>
      <c r="J222" s="990"/>
      <c r="K222" s="991">
        <f t="shared" si="12"/>
        <v>0</v>
      </c>
      <c r="L222" s="990"/>
      <c r="M222" s="990"/>
      <c r="N222" s="991"/>
      <c r="O222" s="992"/>
      <c r="P222" s="990"/>
      <c r="Q222" s="992"/>
      <c r="R222" s="102"/>
      <c r="S222" s="1194">
        <f t="shared" si="13"/>
        <v>0</v>
      </c>
      <c r="T222" s="884"/>
    </row>
    <row r="223" spans="2:20" ht="19.149999999999999" customHeight="1" x14ac:dyDescent="0.25">
      <c r="B223" s="97"/>
      <c r="C223" s="98" t="str">
        <f>'Reference documents'!B27</f>
        <v>GRE.EEC.S.25.XX.S.00000.15.001.00</v>
      </c>
      <c r="D223" s="100" t="s">
        <v>2302</v>
      </c>
      <c r="E223" s="98" t="s">
        <v>2438</v>
      </c>
      <c r="F223" s="1193" t="s">
        <v>160</v>
      </c>
      <c r="G223" s="100" t="s">
        <v>1941</v>
      </c>
      <c r="H223" s="1112"/>
      <c r="I223" s="990"/>
      <c r="J223" s="990"/>
      <c r="K223" s="991">
        <f t="shared" si="12"/>
        <v>0</v>
      </c>
      <c r="L223" s="990"/>
      <c r="M223" s="990"/>
      <c r="N223" s="991"/>
      <c r="O223" s="992"/>
      <c r="P223" s="990"/>
      <c r="Q223" s="992"/>
      <c r="R223" s="102"/>
      <c r="S223" s="1194">
        <f t="shared" si="13"/>
        <v>0</v>
      </c>
      <c r="T223" s="884"/>
    </row>
    <row r="224" spans="2:20" ht="19.149999999999999" customHeight="1" x14ac:dyDescent="0.25">
      <c r="B224" s="97"/>
      <c r="C224" s="98" t="str">
        <f>'Reference documents'!B27</f>
        <v>GRE.EEC.S.25.XX.S.00000.15.001.00</v>
      </c>
      <c r="D224" s="100" t="s">
        <v>2304</v>
      </c>
      <c r="E224" s="98" t="s">
        <v>2439</v>
      </c>
      <c r="F224" s="1193" t="s">
        <v>160</v>
      </c>
      <c r="G224" s="100" t="s">
        <v>1941</v>
      </c>
      <c r="H224" s="1112"/>
      <c r="I224" s="990"/>
      <c r="J224" s="990"/>
      <c r="K224" s="991">
        <f t="shared" si="12"/>
        <v>0</v>
      </c>
      <c r="L224" s="990"/>
      <c r="M224" s="990"/>
      <c r="N224" s="991"/>
      <c r="O224" s="992"/>
      <c r="P224" s="990"/>
      <c r="Q224" s="992"/>
      <c r="R224" s="102"/>
      <c r="S224" s="1194">
        <f t="shared" si="13"/>
        <v>0</v>
      </c>
      <c r="T224" s="884"/>
    </row>
    <row r="225" spans="2:20" ht="19.149999999999999" customHeight="1" x14ac:dyDescent="0.25">
      <c r="B225" s="97"/>
      <c r="C225" s="98" t="str">
        <f>'Reference documents'!B27</f>
        <v>GRE.EEC.S.25.XX.S.00000.15.001.00</v>
      </c>
      <c r="D225" s="100" t="s">
        <v>2306</v>
      </c>
      <c r="E225" s="98" t="s">
        <v>2440</v>
      </c>
      <c r="F225" s="1193" t="s">
        <v>160</v>
      </c>
      <c r="G225" s="100" t="s">
        <v>1941</v>
      </c>
      <c r="H225" s="1112"/>
      <c r="I225" s="990"/>
      <c r="J225" s="990"/>
      <c r="K225" s="991">
        <f t="shared" si="12"/>
        <v>0</v>
      </c>
      <c r="L225" s="990"/>
      <c r="M225" s="990"/>
      <c r="N225" s="991"/>
      <c r="O225" s="992"/>
      <c r="P225" s="990"/>
      <c r="Q225" s="992"/>
      <c r="R225" s="102"/>
      <c r="S225" s="1194">
        <f t="shared" si="13"/>
        <v>0</v>
      </c>
      <c r="T225" s="884"/>
    </row>
    <row r="226" spans="2:20" ht="19.149999999999999" customHeight="1" x14ac:dyDescent="0.25">
      <c r="B226" s="97"/>
      <c r="C226" s="98" t="str">
        <f>'Reference documents'!B27</f>
        <v>GRE.EEC.S.25.XX.S.00000.15.001.00</v>
      </c>
      <c r="D226" s="100" t="s">
        <v>2308</v>
      </c>
      <c r="E226" s="98" t="s">
        <v>2441</v>
      </c>
      <c r="F226" s="1193" t="s">
        <v>160</v>
      </c>
      <c r="G226" s="100" t="s">
        <v>1941</v>
      </c>
      <c r="H226" s="1112"/>
      <c r="I226" s="990"/>
      <c r="J226" s="990"/>
      <c r="K226" s="991">
        <f t="shared" si="12"/>
        <v>0</v>
      </c>
      <c r="L226" s="990"/>
      <c r="M226" s="990"/>
      <c r="N226" s="991"/>
      <c r="O226" s="992"/>
      <c r="P226" s="990"/>
      <c r="Q226" s="992"/>
      <c r="R226" s="102"/>
      <c r="S226" s="1194">
        <f t="shared" si="13"/>
        <v>0</v>
      </c>
      <c r="T226" s="884"/>
    </row>
    <row r="227" spans="2:20" ht="19.149999999999999" customHeight="1" x14ac:dyDescent="0.25">
      <c r="B227" s="97"/>
      <c r="C227" s="98" t="str">
        <f>'Reference documents'!B27</f>
        <v>GRE.EEC.S.25.XX.S.00000.15.001.00</v>
      </c>
      <c r="D227" s="100" t="s">
        <v>2310</v>
      </c>
      <c r="E227" s="98" t="s">
        <v>2442</v>
      </c>
      <c r="F227" s="1193" t="s">
        <v>160</v>
      </c>
      <c r="G227" s="100" t="s">
        <v>1941</v>
      </c>
      <c r="H227" s="1112"/>
      <c r="I227" s="990"/>
      <c r="J227" s="990"/>
      <c r="K227" s="991">
        <f t="shared" si="12"/>
        <v>0</v>
      </c>
      <c r="L227" s="990"/>
      <c r="M227" s="990"/>
      <c r="N227" s="991"/>
      <c r="O227" s="992"/>
      <c r="P227" s="990"/>
      <c r="Q227" s="992"/>
      <c r="R227" s="102"/>
      <c r="S227" s="1194">
        <f t="shared" si="13"/>
        <v>0</v>
      </c>
      <c r="T227" s="884"/>
    </row>
    <row r="228" spans="2:20" ht="19.149999999999999" customHeight="1" x14ac:dyDescent="0.25">
      <c r="B228" s="97"/>
      <c r="C228" s="98" t="str">
        <f>'Reference documents'!B27</f>
        <v>GRE.EEC.S.25.XX.S.00000.15.001.00</v>
      </c>
      <c r="D228" s="100" t="s">
        <v>2312</v>
      </c>
      <c r="E228" s="98" t="s">
        <v>2443</v>
      </c>
      <c r="F228" s="1193" t="s">
        <v>160</v>
      </c>
      <c r="G228" s="100" t="s">
        <v>1941</v>
      </c>
      <c r="H228" s="1112"/>
      <c r="I228" s="990"/>
      <c r="J228" s="990"/>
      <c r="K228" s="991">
        <f t="shared" si="12"/>
        <v>0</v>
      </c>
      <c r="L228" s="990"/>
      <c r="M228" s="990"/>
      <c r="N228" s="991"/>
      <c r="O228" s="992"/>
      <c r="P228" s="990"/>
      <c r="Q228" s="992"/>
      <c r="R228" s="102"/>
      <c r="S228" s="1194">
        <f t="shared" si="13"/>
        <v>0</v>
      </c>
      <c r="T228" s="884"/>
    </row>
    <row r="229" spans="2:20" ht="19.149999999999999" customHeight="1" x14ac:dyDescent="0.25">
      <c r="B229" s="97"/>
      <c r="C229" s="98" t="str">
        <f>'Reference documents'!B27</f>
        <v>GRE.EEC.S.25.XX.S.00000.15.001.00</v>
      </c>
      <c r="D229" s="100" t="s">
        <v>2314</v>
      </c>
      <c r="E229" s="98" t="s">
        <v>2444</v>
      </c>
      <c r="F229" s="1193" t="s">
        <v>160</v>
      </c>
      <c r="G229" s="100" t="s">
        <v>1941</v>
      </c>
      <c r="H229" s="1112"/>
      <c r="I229" s="990"/>
      <c r="J229" s="990"/>
      <c r="K229" s="991">
        <f t="shared" si="12"/>
        <v>0</v>
      </c>
      <c r="L229" s="990"/>
      <c r="M229" s="990"/>
      <c r="N229" s="991"/>
      <c r="O229" s="992"/>
      <c r="P229" s="990"/>
      <c r="Q229" s="992"/>
      <c r="R229" s="102"/>
      <c r="S229" s="1194">
        <f t="shared" si="13"/>
        <v>0</v>
      </c>
      <c r="T229" s="884"/>
    </row>
    <row r="230" spans="2:20" ht="19.149999999999999" customHeight="1" x14ac:dyDescent="0.25">
      <c r="B230" s="97"/>
      <c r="C230" s="98" t="str">
        <f>'Reference documents'!B27</f>
        <v>GRE.EEC.S.25.XX.S.00000.15.001.00</v>
      </c>
      <c r="D230" s="100" t="s">
        <v>2316</v>
      </c>
      <c r="E230" s="98" t="s">
        <v>2445</v>
      </c>
      <c r="F230" s="1193" t="s">
        <v>160</v>
      </c>
      <c r="G230" s="100" t="s">
        <v>1941</v>
      </c>
      <c r="H230" s="1112"/>
      <c r="I230" s="990"/>
      <c r="J230" s="990"/>
      <c r="K230" s="991">
        <f t="shared" si="12"/>
        <v>0</v>
      </c>
      <c r="L230" s="990"/>
      <c r="M230" s="990"/>
      <c r="N230" s="991"/>
      <c r="O230" s="992"/>
      <c r="P230" s="990"/>
      <c r="Q230" s="992"/>
      <c r="R230" s="102"/>
      <c r="S230" s="1194">
        <f t="shared" si="13"/>
        <v>0</v>
      </c>
      <c r="T230" s="884"/>
    </row>
    <row r="231" spans="2:20" ht="19.149999999999999" customHeight="1" x14ac:dyDescent="0.25">
      <c r="B231" s="97"/>
      <c r="C231" s="98" t="str">
        <f>'Reference documents'!B27</f>
        <v>GRE.EEC.S.25.XX.S.00000.15.001.00</v>
      </c>
      <c r="D231" s="100" t="s">
        <v>2318</v>
      </c>
      <c r="E231" s="98" t="s">
        <v>2446</v>
      </c>
      <c r="F231" s="1193" t="s">
        <v>160</v>
      </c>
      <c r="G231" s="100" t="s">
        <v>1941</v>
      </c>
      <c r="H231" s="1112"/>
      <c r="I231" s="990"/>
      <c r="J231" s="990"/>
      <c r="K231" s="991">
        <f t="shared" si="12"/>
        <v>0</v>
      </c>
      <c r="L231" s="990"/>
      <c r="M231" s="990"/>
      <c r="N231" s="991"/>
      <c r="O231" s="992"/>
      <c r="P231" s="990"/>
      <c r="Q231" s="992"/>
      <c r="R231" s="102"/>
      <c r="S231" s="1194">
        <f t="shared" si="13"/>
        <v>0</v>
      </c>
      <c r="T231" s="884"/>
    </row>
    <row r="232" spans="2:20" ht="19.149999999999999" customHeight="1" x14ac:dyDescent="0.25">
      <c r="B232" s="97"/>
      <c r="C232" s="98" t="str">
        <f>'Reference documents'!B27</f>
        <v>GRE.EEC.S.25.XX.S.00000.15.001.00</v>
      </c>
      <c r="D232" s="100" t="s">
        <v>2320</v>
      </c>
      <c r="E232" s="98" t="s">
        <v>2447</v>
      </c>
      <c r="F232" s="1193" t="s">
        <v>160</v>
      </c>
      <c r="G232" s="100" t="s">
        <v>1941</v>
      </c>
      <c r="H232" s="1112"/>
      <c r="I232" s="990"/>
      <c r="J232" s="990"/>
      <c r="K232" s="991">
        <f t="shared" si="12"/>
        <v>0</v>
      </c>
      <c r="L232" s="990"/>
      <c r="M232" s="990"/>
      <c r="N232" s="991"/>
      <c r="O232" s="992"/>
      <c r="P232" s="990"/>
      <c r="Q232" s="992"/>
      <c r="R232" s="102"/>
      <c r="S232" s="1194">
        <f t="shared" si="13"/>
        <v>0</v>
      </c>
      <c r="T232" s="884"/>
    </row>
    <row r="233" spans="2:20" ht="19.149999999999999" customHeight="1" x14ac:dyDescent="0.25">
      <c r="B233" s="97"/>
      <c r="C233" s="98" t="str">
        <f>'Reference documents'!B27</f>
        <v>GRE.EEC.S.25.XX.S.00000.15.001.00</v>
      </c>
      <c r="D233" s="100" t="s">
        <v>2322</v>
      </c>
      <c r="E233" s="98" t="s">
        <v>2448</v>
      </c>
      <c r="F233" s="1193" t="s">
        <v>160</v>
      </c>
      <c r="G233" s="100" t="s">
        <v>1941</v>
      </c>
      <c r="H233" s="1112"/>
      <c r="I233" s="990"/>
      <c r="J233" s="990"/>
      <c r="K233" s="991">
        <f t="shared" si="12"/>
        <v>0</v>
      </c>
      <c r="L233" s="990"/>
      <c r="M233" s="990"/>
      <c r="N233" s="991"/>
      <c r="O233" s="992"/>
      <c r="P233" s="990"/>
      <c r="Q233" s="992"/>
      <c r="R233" s="102"/>
      <c r="S233" s="1194">
        <f t="shared" si="13"/>
        <v>0</v>
      </c>
      <c r="T233" s="884"/>
    </row>
    <row r="234" spans="2:20" ht="19.149999999999999" customHeight="1" x14ac:dyDescent="0.25">
      <c r="B234" s="97"/>
      <c r="C234" s="98" t="str">
        <f>'Reference documents'!B27</f>
        <v>GRE.EEC.S.25.XX.S.00000.15.001.00</v>
      </c>
      <c r="D234" s="100" t="s">
        <v>2324</v>
      </c>
      <c r="E234" s="98" t="s">
        <v>2449</v>
      </c>
      <c r="F234" s="1193" t="s">
        <v>160</v>
      </c>
      <c r="G234" s="100" t="s">
        <v>1941</v>
      </c>
      <c r="H234" s="1112"/>
      <c r="I234" s="990"/>
      <c r="J234" s="990"/>
      <c r="K234" s="991">
        <f t="shared" si="12"/>
        <v>0</v>
      </c>
      <c r="L234" s="990"/>
      <c r="M234" s="990"/>
      <c r="N234" s="991"/>
      <c r="O234" s="992"/>
      <c r="P234" s="990"/>
      <c r="Q234" s="992"/>
      <c r="R234" s="102"/>
      <c r="S234" s="1194">
        <f t="shared" si="13"/>
        <v>0</v>
      </c>
      <c r="T234" s="884"/>
    </row>
    <row r="235" spans="2:20" ht="19.149999999999999" customHeight="1" x14ac:dyDescent="0.25">
      <c r="B235" s="97"/>
      <c r="C235" s="98" t="str">
        <f>'Reference documents'!B27</f>
        <v>GRE.EEC.S.25.XX.S.00000.15.001.00</v>
      </c>
      <c r="D235" s="100" t="s">
        <v>2326</v>
      </c>
      <c r="E235" s="98" t="s">
        <v>2450</v>
      </c>
      <c r="F235" s="1193" t="s">
        <v>160</v>
      </c>
      <c r="G235" s="100" t="s">
        <v>1941</v>
      </c>
      <c r="H235" s="1112"/>
      <c r="I235" s="990"/>
      <c r="J235" s="990"/>
      <c r="K235" s="991">
        <f t="shared" si="12"/>
        <v>0</v>
      </c>
      <c r="L235" s="990"/>
      <c r="M235" s="990"/>
      <c r="N235" s="991"/>
      <c r="O235" s="992"/>
      <c r="P235" s="990"/>
      <c r="Q235" s="992"/>
      <c r="R235" s="102"/>
      <c r="S235" s="1194">
        <f t="shared" si="13"/>
        <v>0</v>
      </c>
      <c r="T235" s="884"/>
    </row>
    <row r="236" spans="2:20" ht="19.149999999999999" customHeight="1" x14ac:dyDescent="0.25">
      <c r="B236" s="97"/>
      <c r="C236" s="98" t="str">
        <f>'Reference documents'!B27</f>
        <v>GRE.EEC.S.25.XX.S.00000.15.001.00</v>
      </c>
      <c r="D236" s="100" t="s">
        <v>2328</v>
      </c>
      <c r="E236" s="98" t="s">
        <v>2451</v>
      </c>
      <c r="F236" s="1193" t="s">
        <v>160</v>
      </c>
      <c r="G236" s="100" t="s">
        <v>1941</v>
      </c>
      <c r="H236" s="1112"/>
      <c r="I236" s="990"/>
      <c r="J236" s="990"/>
      <c r="K236" s="991">
        <f t="shared" si="12"/>
        <v>0</v>
      </c>
      <c r="L236" s="990"/>
      <c r="M236" s="990"/>
      <c r="N236" s="991"/>
      <c r="O236" s="992"/>
      <c r="P236" s="990"/>
      <c r="Q236" s="992"/>
      <c r="R236" s="102"/>
      <c r="S236" s="1194">
        <f t="shared" si="13"/>
        <v>0</v>
      </c>
      <c r="T236" s="884"/>
    </row>
    <row r="237" spans="2:20" ht="19.149999999999999" customHeight="1" x14ac:dyDescent="0.25">
      <c r="B237" s="97"/>
      <c r="C237" s="98" t="str">
        <f>'Reference documents'!B27</f>
        <v>GRE.EEC.S.25.XX.S.00000.15.001.00</v>
      </c>
      <c r="D237" s="100" t="s">
        <v>2330</v>
      </c>
      <c r="E237" s="98" t="s">
        <v>2452</v>
      </c>
      <c r="F237" s="1193" t="s">
        <v>160</v>
      </c>
      <c r="G237" s="100" t="s">
        <v>1941</v>
      </c>
      <c r="H237" s="1112"/>
      <c r="I237" s="990"/>
      <c r="J237" s="990"/>
      <c r="K237" s="991">
        <f t="shared" si="12"/>
        <v>0</v>
      </c>
      <c r="L237" s="990"/>
      <c r="M237" s="990"/>
      <c r="N237" s="991"/>
      <c r="O237" s="992"/>
      <c r="P237" s="990"/>
      <c r="Q237" s="992"/>
      <c r="R237" s="102"/>
      <c r="S237" s="1194">
        <f t="shared" si="13"/>
        <v>0</v>
      </c>
      <c r="T237" s="884"/>
    </row>
    <row r="238" spans="2:20" ht="19.149999999999999" customHeight="1" x14ac:dyDescent="0.25">
      <c r="B238" s="97"/>
      <c r="C238" s="98" t="str">
        <f>'Reference documents'!B27</f>
        <v>GRE.EEC.S.25.XX.S.00000.15.001.00</v>
      </c>
      <c r="D238" s="100" t="s">
        <v>2332</v>
      </c>
      <c r="E238" s="98" t="s">
        <v>2453</v>
      </c>
      <c r="F238" s="1193" t="s">
        <v>160</v>
      </c>
      <c r="G238" s="100" t="s">
        <v>1941</v>
      </c>
      <c r="H238" s="1112"/>
      <c r="I238" s="990"/>
      <c r="J238" s="990"/>
      <c r="K238" s="991">
        <f t="shared" si="12"/>
        <v>0</v>
      </c>
      <c r="L238" s="990"/>
      <c r="M238" s="990"/>
      <c r="N238" s="991"/>
      <c r="O238" s="992"/>
      <c r="P238" s="990"/>
      <c r="Q238" s="992"/>
      <c r="R238" s="102"/>
      <c r="S238" s="1194">
        <f t="shared" si="13"/>
        <v>0</v>
      </c>
      <c r="T238" s="884"/>
    </row>
    <row r="239" spans="2:20" ht="19.149999999999999" customHeight="1" x14ac:dyDescent="0.25">
      <c r="B239" s="97"/>
      <c r="C239" s="98" t="str">
        <f>'Reference documents'!B27</f>
        <v>GRE.EEC.S.25.XX.S.00000.15.001.00</v>
      </c>
      <c r="D239" s="100" t="s">
        <v>2334</v>
      </c>
      <c r="E239" s="98" t="s">
        <v>2454</v>
      </c>
      <c r="F239" s="1193" t="s">
        <v>160</v>
      </c>
      <c r="G239" s="100" t="s">
        <v>1941</v>
      </c>
      <c r="H239" s="1112"/>
      <c r="I239" s="990"/>
      <c r="J239" s="990"/>
      <c r="K239" s="991">
        <f t="shared" si="12"/>
        <v>0</v>
      </c>
      <c r="L239" s="990"/>
      <c r="M239" s="990"/>
      <c r="N239" s="991"/>
      <c r="O239" s="992"/>
      <c r="P239" s="990"/>
      <c r="Q239" s="992"/>
      <c r="R239" s="102"/>
      <c r="S239" s="1194">
        <f t="shared" si="13"/>
        <v>0</v>
      </c>
      <c r="T239" s="884"/>
    </row>
    <row r="240" spans="2:20" ht="19.149999999999999" customHeight="1" x14ac:dyDescent="0.25">
      <c r="B240" s="97"/>
      <c r="C240" s="98" t="str">
        <f>'Reference documents'!B27</f>
        <v>GRE.EEC.S.25.XX.S.00000.15.001.00</v>
      </c>
      <c r="D240" s="100" t="s">
        <v>2336</v>
      </c>
      <c r="E240" s="98" t="s">
        <v>2455</v>
      </c>
      <c r="F240" s="1193" t="s">
        <v>160</v>
      </c>
      <c r="G240" s="100" t="s">
        <v>1941</v>
      </c>
      <c r="H240" s="1112"/>
      <c r="I240" s="990"/>
      <c r="J240" s="990"/>
      <c r="K240" s="991">
        <f t="shared" si="12"/>
        <v>0</v>
      </c>
      <c r="L240" s="990"/>
      <c r="M240" s="990"/>
      <c r="N240" s="991"/>
      <c r="O240" s="992"/>
      <c r="P240" s="990"/>
      <c r="Q240" s="992"/>
      <c r="R240" s="102"/>
      <c r="S240" s="1194">
        <f t="shared" si="13"/>
        <v>0</v>
      </c>
      <c r="T240" s="884"/>
    </row>
    <row r="241" spans="2:20" ht="19.899999999999999" customHeight="1" x14ac:dyDescent="0.25">
      <c r="B241" s="1092"/>
      <c r="C241" s="1092" t="str">
        <f>'Reference documents'!B27</f>
        <v>GRE.EEC.S.25.XX.S.00000.15.001.00</v>
      </c>
      <c r="D241" s="1176" t="s">
        <v>2338</v>
      </c>
      <c r="E241" s="1208" t="s">
        <v>2339</v>
      </c>
      <c r="F241" s="1703"/>
      <c r="G241" s="1703"/>
      <c r="H241" s="1703"/>
      <c r="I241" s="1703"/>
      <c r="J241" s="1703"/>
      <c r="K241" s="1703"/>
      <c r="L241" s="1703"/>
      <c r="M241" s="1703"/>
      <c r="N241" s="1703"/>
      <c r="O241" s="1703"/>
      <c r="P241" s="1703"/>
      <c r="Q241" s="1703"/>
      <c r="R241" s="1703"/>
      <c r="S241" s="1703"/>
      <c r="T241" s="1704"/>
    </row>
    <row r="242" spans="2:20" ht="19.149999999999999" customHeight="1" x14ac:dyDescent="0.25">
      <c r="B242" s="97"/>
      <c r="C242" s="98" t="str">
        <f>'Reference documents'!B27</f>
        <v>GRE.EEC.S.25.XX.S.00000.15.001.00</v>
      </c>
      <c r="D242" s="100" t="s">
        <v>2340</v>
      </c>
      <c r="E242" s="98" t="s">
        <v>2341</v>
      </c>
      <c r="F242" s="1193" t="s">
        <v>160</v>
      </c>
      <c r="G242" s="100" t="s">
        <v>1941</v>
      </c>
      <c r="H242" s="1112"/>
      <c r="I242" s="990"/>
      <c r="J242" s="990"/>
      <c r="K242" s="991">
        <f t="shared" ref="K242:K253" si="14">I242*J242</f>
        <v>0</v>
      </c>
      <c r="L242" s="990"/>
      <c r="M242" s="990"/>
      <c r="N242" s="991"/>
      <c r="O242" s="992"/>
      <c r="P242" s="990"/>
      <c r="Q242" s="992"/>
      <c r="R242" s="102"/>
      <c r="S242" s="1194">
        <f t="shared" ref="S242:S253" si="15">IF(F242="NA","",H242*R242)</f>
        <v>0</v>
      </c>
      <c r="T242" s="884"/>
    </row>
    <row r="243" spans="2:20" ht="19.149999999999999" customHeight="1" x14ac:dyDescent="0.25">
      <c r="B243" s="97"/>
      <c r="C243" s="98" t="str">
        <f>'Reference documents'!B27</f>
        <v>GRE.EEC.S.25.XX.S.00000.15.001.00</v>
      </c>
      <c r="D243" s="100" t="s">
        <v>2342</v>
      </c>
      <c r="E243" s="98" t="s">
        <v>2343</v>
      </c>
      <c r="F243" s="1193" t="s">
        <v>160</v>
      </c>
      <c r="G243" s="100" t="s">
        <v>1941</v>
      </c>
      <c r="H243" s="1112"/>
      <c r="I243" s="990"/>
      <c r="J243" s="990"/>
      <c r="K243" s="991">
        <f t="shared" si="14"/>
        <v>0</v>
      </c>
      <c r="L243" s="990"/>
      <c r="M243" s="990"/>
      <c r="N243" s="991"/>
      <c r="O243" s="992"/>
      <c r="P243" s="990"/>
      <c r="Q243" s="992"/>
      <c r="R243" s="102"/>
      <c r="S243" s="1194">
        <f t="shared" si="15"/>
        <v>0</v>
      </c>
      <c r="T243" s="884"/>
    </row>
    <row r="244" spans="2:20" ht="19.149999999999999" customHeight="1" x14ac:dyDescent="0.25">
      <c r="B244" s="97"/>
      <c r="C244" s="98" t="str">
        <f>'Reference documents'!B27</f>
        <v>GRE.EEC.S.25.XX.S.00000.15.001.00</v>
      </c>
      <c r="D244" s="100" t="s">
        <v>2344</v>
      </c>
      <c r="E244" s="98" t="s">
        <v>2345</v>
      </c>
      <c r="F244" s="1193" t="s">
        <v>160</v>
      </c>
      <c r="G244" s="100" t="s">
        <v>1941</v>
      </c>
      <c r="H244" s="1112"/>
      <c r="I244" s="990"/>
      <c r="J244" s="990"/>
      <c r="K244" s="991">
        <f t="shared" si="14"/>
        <v>0</v>
      </c>
      <c r="L244" s="990"/>
      <c r="M244" s="990"/>
      <c r="N244" s="991"/>
      <c r="O244" s="992"/>
      <c r="P244" s="990"/>
      <c r="Q244" s="992"/>
      <c r="R244" s="102"/>
      <c r="S244" s="1194">
        <f t="shared" si="15"/>
        <v>0</v>
      </c>
      <c r="T244" s="884"/>
    </row>
    <row r="245" spans="2:20" ht="19.149999999999999" customHeight="1" x14ac:dyDescent="0.25">
      <c r="B245" s="97"/>
      <c r="C245" s="98" t="str">
        <f>'Reference documents'!B27</f>
        <v>GRE.EEC.S.25.XX.S.00000.15.001.00</v>
      </c>
      <c r="D245" s="100" t="s">
        <v>2346</v>
      </c>
      <c r="E245" s="98" t="s">
        <v>2347</v>
      </c>
      <c r="F245" s="1193" t="s">
        <v>160</v>
      </c>
      <c r="G245" s="100" t="s">
        <v>1941</v>
      </c>
      <c r="H245" s="1112"/>
      <c r="I245" s="990"/>
      <c r="J245" s="990"/>
      <c r="K245" s="991">
        <f t="shared" si="14"/>
        <v>0</v>
      </c>
      <c r="L245" s="990"/>
      <c r="M245" s="990"/>
      <c r="N245" s="991"/>
      <c r="O245" s="992"/>
      <c r="P245" s="990"/>
      <c r="Q245" s="992"/>
      <c r="R245" s="102"/>
      <c r="S245" s="1194">
        <f t="shared" si="15"/>
        <v>0</v>
      </c>
      <c r="T245" s="884"/>
    </row>
    <row r="246" spans="2:20" ht="19.149999999999999" customHeight="1" x14ac:dyDescent="0.25">
      <c r="B246" s="97"/>
      <c r="C246" s="98" t="str">
        <f>'Reference documents'!B27</f>
        <v>GRE.EEC.S.25.XX.S.00000.15.001.00</v>
      </c>
      <c r="D246" s="100" t="s">
        <v>2348</v>
      </c>
      <c r="E246" s="98" t="s">
        <v>2349</v>
      </c>
      <c r="F246" s="1193" t="s">
        <v>160</v>
      </c>
      <c r="G246" s="100" t="s">
        <v>1941</v>
      </c>
      <c r="H246" s="1112"/>
      <c r="I246" s="990"/>
      <c r="J246" s="990"/>
      <c r="K246" s="991">
        <f t="shared" si="14"/>
        <v>0</v>
      </c>
      <c r="L246" s="990"/>
      <c r="M246" s="990"/>
      <c r="N246" s="991"/>
      <c r="O246" s="992"/>
      <c r="P246" s="990"/>
      <c r="Q246" s="992"/>
      <c r="R246" s="102"/>
      <c r="S246" s="1194">
        <f t="shared" si="15"/>
        <v>0</v>
      </c>
      <c r="T246" s="884"/>
    </row>
    <row r="247" spans="2:20" ht="19.149999999999999" customHeight="1" x14ac:dyDescent="0.25">
      <c r="B247" s="97"/>
      <c r="C247" s="98" t="str">
        <f>'Reference documents'!B27</f>
        <v>GRE.EEC.S.25.XX.S.00000.15.001.00</v>
      </c>
      <c r="D247" s="100" t="s">
        <v>2350</v>
      </c>
      <c r="E247" s="98" t="s">
        <v>2351</v>
      </c>
      <c r="F247" s="1193" t="s">
        <v>160</v>
      </c>
      <c r="G247" s="100" t="s">
        <v>1941</v>
      </c>
      <c r="H247" s="1112"/>
      <c r="I247" s="990"/>
      <c r="J247" s="990"/>
      <c r="K247" s="991">
        <f t="shared" si="14"/>
        <v>0</v>
      </c>
      <c r="L247" s="990"/>
      <c r="M247" s="990"/>
      <c r="N247" s="991"/>
      <c r="O247" s="992"/>
      <c r="P247" s="990"/>
      <c r="Q247" s="992"/>
      <c r="R247" s="102"/>
      <c r="S247" s="1194">
        <f t="shared" si="15"/>
        <v>0</v>
      </c>
      <c r="T247" s="884"/>
    </row>
    <row r="248" spans="2:20" ht="19.149999999999999" customHeight="1" x14ac:dyDescent="0.25">
      <c r="B248" s="97"/>
      <c r="C248" s="98" t="str">
        <f>'Reference documents'!B27</f>
        <v>GRE.EEC.S.25.XX.S.00000.15.001.00</v>
      </c>
      <c r="D248" s="100" t="s">
        <v>2352</v>
      </c>
      <c r="E248" s="98" t="s">
        <v>2353</v>
      </c>
      <c r="F248" s="1193" t="s">
        <v>160</v>
      </c>
      <c r="G248" s="100" t="s">
        <v>1941</v>
      </c>
      <c r="H248" s="1112"/>
      <c r="I248" s="990"/>
      <c r="J248" s="990"/>
      <c r="K248" s="991">
        <f t="shared" si="14"/>
        <v>0</v>
      </c>
      <c r="L248" s="990"/>
      <c r="M248" s="990"/>
      <c r="N248" s="991"/>
      <c r="O248" s="992"/>
      <c r="P248" s="990"/>
      <c r="Q248" s="992"/>
      <c r="R248" s="102"/>
      <c r="S248" s="1194">
        <f t="shared" si="15"/>
        <v>0</v>
      </c>
      <c r="T248" s="884"/>
    </row>
    <row r="249" spans="2:20" ht="19.149999999999999" customHeight="1" x14ac:dyDescent="0.25">
      <c r="B249" s="97"/>
      <c r="C249" s="98" t="str">
        <f>'Reference documents'!B27</f>
        <v>GRE.EEC.S.25.XX.S.00000.15.001.00</v>
      </c>
      <c r="D249" s="100" t="s">
        <v>2354</v>
      </c>
      <c r="E249" s="98" t="s">
        <v>2355</v>
      </c>
      <c r="F249" s="1193" t="s">
        <v>160</v>
      </c>
      <c r="G249" s="100" t="s">
        <v>1941</v>
      </c>
      <c r="H249" s="1112"/>
      <c r="I249" s="990"/>
      <c r="J249" s="990"/>
      <c r="K249" s="991">
        <f t="shared" si="14"/>
        <v>0</v>
      </c>
      <c r="L249" s="990"/>
      <c r="M249" s="990"/>
      <c r="N249" s="991"/>
      <c r="O249" s="992"/>
      <c r="P249" s="990"/>
      <c r="Q249" s="992"/>
      <c r="R249" s="102"/>
      <c r="S249" s="1194">
        <f t="shared" si="15"/>
        <v>0</v>
      </c>
      <c r="T249" s="884"/>
    </row>
    <row r="250" spans="2:20" ht="19.149999999999999" customHeight="1" x14ac:dyDescent="0.25">
      <c r="B250" s="97"/>
      <c r="C250" s="98" t="str">
        <f>'Reference documents'!B27</f>
        <v>GRE.EEC.S.25.XX.S.00000.15.001.00</v>
      </c>
      <c r="D250" s="100" t="s">
        <v>2356</v>
      </c>
      <c r="E250" s="98" t="s">
        <v>2357</v>
      </c>
      <c r="F250" s="1193" t="s">
        <v>160</v>
      </c>
      <c r="G250" s="100" t="s">
        <v>1941</v>
      </c>
      <c r="H250" s="1112"/>
      <c r="I250" s="990"/>
      <c r="J250" s="990"/>
      <c r="K250" s="991">
        <f t="shared" si="14"/>
        <v>0</v>
      </c>
      <c r="L250" s="990"/>
      <c r="M250" s="990"/>
      <c r="N250" s="991"/>
      <c r="O250" s="992"/>
      <c r="P250" s="990"/>
      <c r="Q250" s="992"/>
      <c r="R250" s="102"/>
      <c r="S250" s="1194">
        <f t="shared" si="15"/>
        <v>0</v>
      </c>
      <c r="T250" s="884"/>
    </row>
    <row r="251" spans="2:20" ht="19.149999999999999" customHeight="1" x14ac:dyDescent="0.25">
      <c r="B251" s="97"/>
      <c r="C251" s="98" t="str">
        <f>'Reference documents'!B27</f>
        <v>GRE.EEC.S.25.XX.S.00000.15.001.00</v>
      </c>
      <c r="D251" s="100" t="s">
        <v>2358</v>
      </c>
      <c r="E251" s="98" t="s">
        <v>2359</v>
      </c>
      <c r="F251" s="1193" t="s">
        <v>160</v>
      </c>
      <c r="G251" s="100" t="s">
        <v>1941</v>
      </c>
      <c r="H251" s="1112"/>
      <c r="I251" s="990"/>
      <c r="J251" s="990"/>
      <c r="K251" s="991">
        <f t="shared" si="14"/>
        <v>0</v>
      </c>
      <c r="L251" s="990"/>
      <c r="M251" s="990"/>
      <c r="N251" s="991"/>
      <c r="O251" s="992"/>
      <c r="P251" s="990"/>
      <c r="Q251" s="992"/>
      <c r="R251" s="102"/>
      <c r="S251" s="1194">
        <f t="shared" si="15"/>
        <v>0</v>
      </c>
      <c r="T251" s="884"/>
    </row>
    <row r="252" spans="2:20" ht="19.149999999999999" customHeight="1" x14ac:dyDescent="0.25">
      <c r="B252" s="97"/>
      <c r="C252" s="98" t="str">
        <f>'Reference documents'!B27</f>
        <v>GRE.EEC.S.25.XX.S.00000.15.001.00</v>
      </c>
      <c r="D252" s="100" t="s">
        <v>2360</v>
      </c>
      <c r="E252" s="98" t="s">
        <v>2361</v>
      </c>
      <c r="F252" s="1193" t="s">
        <v>160</v>
      </c>
      <c r="G252" s="100" t="s">
        <v>1941</v>
      </c>
      <c r="H252" s="1112"/>
      <c r="I252" s="990"/>
      <c r="J252" s="990"/>
      <c r="K252" s="991">
        <f t="shared" si="14"/>
        <v>0</v>
      </c>
      <c r="L252" s="990"/>
      <c r="M252" s="990"/>
      <c r="N252" s="991"/>
      <c r="O252" s="992"/>
      <c r="P252" s="990"/>
      <c r="Q252" s="992"/>
      <c r="R252" s="102"/>
      <c r="S252" s="1194">
        <f t="shared" si="15"/>
        <v>0</v>
      </c>
      <c r="T252" s="884"/>
    </row>
    <row r="253" spans="2:20" ht="19.149999999999999" customHeight="1" x14ac:dyDescent="0.25">
      <c r="B253" s="97"/>
      <c r="C253" s="98" t="str">
        <f>'Reference documents'!B27</f>
        <v>GRE.EEC.S.25.XX.S.00000.15.001.00</v>
      </c>
      <c r="D253" s="100" t="s">
        <v>2362</v>
      </c>
      <c r="E253" s="98" t="s">
        <v>2363</v>
      </c>
      <c r="F253" s="1193" t="s">
        <v>160</v>
      </c>
      <c r="G253" s="100" t="s">
        <v>1941</v>
      </c>
      <c r="H253" s="1112"/>
      <c r="I253" s="990"/>
      <c r="J253" s="990"/>
      <c r="K253" s="991">
        <f t="shared" si="14"/>
        <v>0</v>
      </c>
      <c r="L253" s="990"/>
      <c r="M253" s="990"/>
      <c r="N253" s="991"/>
      <c r="O253" s="992"/>
      <c r="P253" s="990"/>
      <c r="Q253" s="992"/>
      <c r="R253" s="102"/>
      <c r="S253" s="1194">
        <f t="shared" si="15"/>
        <v>0</v>
      </c>
      <c r="T253" s="884"/>
    </row>
    <row r="254" spans="2:20" ht="19.899999999999999" customHeight="1" x14ac:dyDescent="0.25">
      <c r="B254" s="1092"/>
      <c r="C254" s="1092" t="str">
        <f>'Reference documents'!B27</f>
        <v>GRE.EEC.S.25.XX.S.00000.15.001.00</v>
      </c>
      <c r="D254" s="1176" t="s">
        <v>2364</v>
      </c>
      <c r="E254" s="1208" t="s">
        <v>2365</v>
      </c>
      <c r="F254" s="1703"/>
      <c r="G254" s="1703"/>
      <c r="H254" s="1703"/>
      <c r="I254" s="1703"/>
      <c r="J254" s="1703"/>
      <c r="K254" s="1703"/>
      <c r="L254" s="1703"/>
      <c r="M254" s="1703"/>
      <c r="N254" s="1703"/>
      <c r="O254" s="1703"/>
      <c r="P254" s="1703"/>
      <c r="Q254" s="1703"/>
      <c r="R254" s="1703"/>
      <c r="S254" s="1703"/>
      <c r="T254" s="1704"/>
    </row>
    <row r="255" spans="2:20" ht="19.149999999999999" customHeight="1" x14ac:dyDescent="0.25">
      <c r="B255" s="97"/>
      <c r="C255" s="98" t="str">
        <f>'Reference documents'!B27</f>
        <v>GRE.EEC.S.25.XX.S.00000.15.001.00</v>
      </c>
      <c r="D255" s="100" t="s">
        <v>2366</v>
      </c>
      <c r="E255" s="98" t="s">
        <v>2367</v>
      </c>
      <c r="F255" s="1193" t="s">
        <v>160</v>
      </c>
      <c r="G255" s="100" t="s">
        <v>1941</v>
      </c>
      <c r="H255" s="1112"/>
      <c r="I255" s="990"/>
      <c r="J255" s="990"/>
      <c r="K255" s="991">
        <f t="shared" ref="K255:K267" si="16">I255*J255</f>
        <v>0</v>
      </c>
      <c r="L255" s="990"/>
      <c r="M255" s="990"/>
      <c r="N255" s="991"/>
      <c r="O255" s="992"/>
      <c r="P255" s="990"/>
      <c r="Q255" s="992"/>
      <c r="R255" s="102"/>
      <c r="S255" s="1194">
        <f t="shared" ref="S255:S267" si="17">IF(F255="NA","",H255*R255)</f>
        <v>0</v>
      </c>
      <c r="T255" s="884"/>
    </row>
    <row r="256" spans="2:20" ht="19.149999999999999" customHeight="1" x14ac:dyDescent="0.25">
      <c r="B256" s="97"/>
      <c r="C256" s="98" t="str">
        <f>'Reference documents'!B27</f>
        <v>GRE.EEC.S.25.XX.S.00000.15.001.00</v>
      </c>
      <c r="D256" s="100" t="s">
        <v>2368</v>
      </c>
      <c r="E256" s="98" t="s">
        <v>2369</v>
      </c>
      <c r="F256" s="1193" t="s">
        <v>160</v>
      </c>
      <c r="G256" s="100" t="s">
        <v>1941</v>
      </c>
      <c r="H256" s="1112"/>
      <c r="I256" s="990"/>
      <c r="J256" s="990"/>
      <c r="K256" s="991">
        <f t="shared" si="16"/>
        <v>0</v>
      </c>
      <c r="L256" s="990"/>
      <c r="M256" s="990"/>
      <c r="N256" s="991"/>
      <c r="O256" s="992"/>
      <c r="P256" s="990"/>
      <c r="Q256" s="992"/>
      <c r="R256" s="102"/>
      <c r="S256" s="1194">
        <f t="shared" si="17"/>
        <v>0</v>
      </c>
      <c r="T256" s="884"/>
    </row>
    <row r="257" spans="2:20" ht="19.149999999999999" customHeight="1" x14ac:dyDescent="0.25">
      <c r="B257" s="97"/>
      <c r="C257" s="98" t="str">
        <f>'Reference documents'!B27</f>
        <v>GRE.EEC.S.25.XX.S.00000.15.001.00</v>
      </c>
      <c r="D257" s="100" t="s">
        <v>2370</v>
      </c>
      <c r="E257" s="98" t="s">
        <v>2371</v>
      </c>
      <c r="F257" s="1193" t="s">
        <v>160</v>
      </c>
      <c r="G257" s="100" t="s">
        <v>1941</v>
      </c>
      <c r="H257" s="1112"/>
      <c r="I257" s="990"/>
      <c r="J257" s="990"/>
      <c r="K257" s="991">
        <f t="shared" si="16"/>
        <v>0</v>
      </c>
      <c r="L257" s="990"/>
      <c r="M257" s="990"/>
      <c r="N257" s="991"/>
      <c r="O257" s="992"/>
      <c r="P257" s="990"/>
      <c r="Q257" s="992"/>
      <c r="R257" s="102"/>
      <c r="S257" s="1194">
        <f t="shared" si="17"/>
        <v>0</v>
      </c>
      <c r="T257" s="884"/>
    </row>
    <row r="258" spans="2:20" ht="19.149999999999999" customHeight="1" x14ac:dyDescent="0.25">
      <c r="B258" s="97"/>
      <c r="C258" s="98" t="str">
        <f>'Reference documents'!B27</f>
        <v>GRE.EEC.S.25.XX.S.00000.15.001.00</v>
      </c>
      <c r="D258" s="100" t="s">
        <v>2372</v>
      </c>
      <c r="E258" s="98" t="s">
        <v>2373</v>
      </c>
      <c r="F258" s="1193" t="s">
        <v>160</v>
      </c>
      <c r="G258" s="100" t="s">
        <v>1941</v>
      </c>
      <c r="H258" s="1112"/>
      <c r="I258" s="990"/>
      <c r="J258" s="990"/>
      <c r="K258" s="991">
        <f t="shared" si="16"/>
        <v>0</v>
      </c>
      <c r="L258" s="990"/>
      <c r="M258" s="990"/>
      <c r="N258" s="991"/>
      <c r="O258" s="992"/>
      <c r="P258" s="990"/>
      <c r="Q258" s="992"/>
      <c r="R258" s="102"/>
      <c r="S258" s="1194">
        <f t="shared" si="17"/>
        <v>0</v>
      </c>
      <c r="T258" s="884"/>
    </row>
    <row r="259" spans="2:20" ht="19.149999999999999" customHeight="1" x14ac:dyDescent="0.25">
      <c r="B259" s="97"/>
      <c r="C259" s="98" t="str">
        <f>'Reference documents'!B27</f>
        <v>GRE.EEC.S.25.XX.S.00000.15.001.00</v>
      </c>
      <c r="D259" s="100" t="s">
        <v>2374</v>
      </c>
      <c r="E259" s="98" t="s">
        <v>2375</v>
      </c>
      <c r="F259" s="1193" t="s">
        <v>160</v>
      </c>
      <c r="G259" s="100" t="s">
        <v>1941</v>
      </c>
      <c r="H259" s="1112"/>
      <c r="I259" s="990"/>
      <c r="J259" s="990"/>
      <c r="K259" s="991">
        <f t="shared" si="16"/>
        <v>0</v>
      </c>
      <c r="L259" s="990"/>
      <c r="M259" s="990"/>
      <c r="N259" s="991"/>
      <c r="O259" s="992"/>
      <c r="P259" s="990"/>
      <c r="Q259" s="992"/>
      <c r="R259" s="102"/>
      <c r="S259" s="1194">
        <f t="shared" si="17"/>
        <v>0</v>
      </c>
      <c r="T259" s="884"/>
    </row>
    <row r="260" spans="2:20" ht="19.149999999999999" customHeight="1" x14ac:dyDescent="0.25">
      <c r="B260" s="97"/>
      <c r="C260" s="98" t="str">
        <f>'Reference documents'!B27</f>
        <v>GRE.EEC.S.25.XX.S.00000.15.001.00</v>
      </c>
      <c r="D260" s="100" t="s">
        <v>2376</v>
      </c>
      <c r="E260" s="98" t="s">
        <v>2377</v>
      </c>
      <c r="F260" s="1193" t="s">
        <v>160</v>
      </c>
      <c r="G260" s="100" t="s">
        <v>1941</v>
      </c>
      <c r="H260" s="1112"/>
      <c r="I260" s="990"/>
      <c r="J260" s="990"/>
      <c r="K260" s="991">
        <f t="shared" si="16"/>
        <v>0</v>
      </c>
      <c r="L260" s="990"/>
      <c r="M260" s="990"/>
      <c r="N260" s="991"/>
      <c r="O260" s="992"/>
      <c r="P260" s="990"/>
      <c r="Q260" s="992"/>
      <c r="R260" s="102"/>
      <c r="S260" s="1194">
        <f t="shared" si="17"/>
        <v>0</v>
      </c>
      <c r="T260" s="884"/>
    </row>
    <row r="261" spans="2:20" ht="19.149999999999999" customHeight="1" x14ac:dyDescent="0.25">
      <c r="B261" s="97"/>
      <c r="C261" s="98" t="str">
        <f>'Reference documents'!B27</f>
        <v>GRE.EEC.S.25.XX.S.00000.15.001.00</v>
      </c>
      <c r="D261" s="100" t="s">
        <v>2378</v>
      </c>
      <c r="E261" s="98" t="s">
        <v>2379</v>
      </c>
      <c r="F261" s="1193" t="s">
        <v>160</v>
      </c>
      <c r="G261" s="100" t="s">
        <v>1941</v>
      </c>
      <c r="H261" s="1112"/>
      <c r="I261" s="990"/>
      <c r="J261" s="990"/>
      <c r="K261" s="991">
        <f t="shared" si="16"/>
        <v>0</v>
      </c>
      <c r="L261" s="990"/>
      <c r="M261" s="990"/>
      <c r="N261" s="991"/>
      <c r="O261" s="992"/>
      <c r="P261" s="990"/>
      <c r="Q261" s="992"/>
      <c r="R261" s="102"/>
      <c r="S261" s="1194">
        <f t="shared" si="17"/>
        <v>0</v>
      </c>
      <c r="T261" s="884"/>
    </row>
    <row r="262" spans="2:20" ht="19.149999999999999" customHeight="1" x14ac:dyDescent="0.25">
      <c r="B262" s="97"/>
      <c r="C262" s="98" t="str">
        <f>'Reference documents'!B27</f>
        <v>GRE.EEC.S.25.XX.S.00000.15.001.00</v>
      </c>
      <c r="D262" s="100" t="s">
        <v>2380</v>
      </c>
      <c r="E262" s="98" t="s">
        <v>2381</v>
      </c>
      <c r="F262" s="1193" t="s">
        <v>160</v>
      </c>
      <c r="G262" s="100" t="s">
        <v>1941</v>
      </c>
      <c r="H262" s="1112"/>
      <c r="I262" s="990"/>
      <c r="J262" s="990"/>
      <c r="K262" s="991">
        <f t="shared" si="16"/>
        <v>0</v>
      </c>
      <c r="L262" s="990"/>
      <c r="M262" s="990"/>
      <c r="N262" s="991"/>
      <c r="O262" s="992"/>
      <c r="P262" s="990"/>
      <c r="Q262" s="992"/>
      <c r="R262" s="102"/>
      <c r="S262" s="1194">
        <f t="shared" si="17"/>
        <v>0</v>
      </c>
      <c r="T262" s="884"/>
    </row>
    <row r="263" spans="2:20" ht="19.149999999999999" customHeight="1" x14ac:dyDescent="0.25">
      <c r="B263" s="97"/>
      <c r="C263" s="98" t="str">
        <f>'Reference documents'!B27</f>
        <v>GRE.EEC.S.25.XX.S.00000.15.001.00</v>
      </c>
      <c r="D263" s="100" t="s">
        <v>2382</v>
      </c>
      <c r="E263" s="98" t="s">
        <v>2383</v>
      </c>
      <c r="F263" s="1193" t="s">
        <v>160</v>
      </c>
      <c r="G263" s="100" t="s">
        <v>1941</v>
      </c>
      <c r="H263" s="1112"/>
      <c r="I263" s="990"/>
      <c r="J263" s="990"/>
      <c r="K263" s="991">
        <f t="shared" si="16"/>
        <v>0</v>
      </c>
      <c r="L263" s="990"/>
      <c r="M263" s="990"/>
      <c r="N263" s="991"/>
      <c r="O263" s="992"/>
      <c r="P263" s="990"/>
      <c r="Q263" s="992"/>
      <c r="R263" s="102"/>
      <c r="S263" s="1194">
        <f t="shared" si="17"/>
        <v>0</v>
      </c>
      <c r="T263" s="884"/>
    </row>
    <row r="264" spans="2:20" ht="19.149999999999999" customHeight="1" x14ac:dyDescent="0.25">
      <c r="B264" s="97"/>
      <c r="C264" s="98" t="str">
        <f>'Reference documents'!B27</f>
        <v>GRE.EEC.S.25.XX.S.00000.15.001.00</v>
      </c>
      <c r="D264" s="100" t="s">
        <v>2384</v>
      </c>
      <c r="E264" s="98" t="s">
        <v>2385</v>
      </c>
      <c r="F264" s="1193" t="s">
        <v>160</v>
      </c>
      <c r="G264" s="100" t="s">
        <v>1941</v>
      </c>
      <c r="H264" s="1112"/>
      <c r="I264" s="990"/>
      <c r="J264" s="990"/>
      <c r="K264" s="991">
        <f t="shared" si="16"/>
        <v>0</v>
      </c>
      <c r="L264" s="990"/>
      <c r="M264" s="990"/>
      <c r="N264" s="991"/>
      <c r="O264" s="992"/>
      <c r="P264" s="990"/>
      <c r="Q264" s="992"/>
      <c r="R264" s="102"/>
      <c r="S264" s="1194">
        <f t="shared" si="17"/>
        <v>0</v>
      </c>
      <c r="T264" s="884"/>
    </row>
    <row r="265" spans="2:20" ht="19.149999999999999" customHeight="1" x14ac:dyDescent="0.25">
      <c r="B265" s="97"/>
      <c r="C265" s="98" t="str">
        <f>'Reference documents'!B27</f>
        <v>GRE.EEC.S.25.XX.S.00000.15.001.00</v>
      </c>
      <c r="D265" s="100" t="s">
        <v>2386</v>
      </c>
      <c r="E265" s="98" t="s">
        <v>2387</v>
      </c>
      <c r="F265" s="1193" t="s">
        <v>160</v>
      </c>
      <c r="G265" s="100" t="s">
        <v>1941</v>
      </c>
      <c r="H265" s="1112"/>
      <c r="I265" s="990"/>
      <c r="J265" s="990"/>
      <c r="K265" s="991">
        <f t="shared" si="16"/>
        <v>0</v>
      </c>
      <c r="L265" s="990"/>
      <c r="M265" s="990"/>
      <c r="N265" s="991"/>
      <c r="O265" s="992"/>
      <c r="P265" s="990"/>
      <c r="Q265" s="992"/>
      <c r="R265" s="102"/>
      <c r="S265" s="1194">
        <f t="shared" si="17"/>
        <v>0</v>
      </c>
      <c r="T265" s="884"/>
    </row>
    <row r="266" spans="2:20" ht="19.149999999999999" customHeight="1" x14ac:dyDescent="0.25">
      <c r="B266" s="97"/>
      <c r="C266" s="98" t="str">
        <f>'Reference documents'!B27</f>
        <v>GRE.EEC.S.25.XX.S.00000.15.001.00</v>
      </c>
      <c r="D266" s="100" t="s">
        <v>2388</v>
      </c>
      <c r="E266" s="98" t="s">
        <v>2389</v>
      </c>
      <c r="F266" s="1193" t="s">
        <v>160</v>
      </c>
      <c r="G266" s="100" t="s">
        <v>1941</v>
      </c>
      <c r="H266" s="1112"/>
      <c r="I266" s="990"/>
      <c r="J266" s="990"/>
      <c r="K266" s="991">
        <f t="shared" si="16"/>
        <v>0</v>
      </c>
      <c r="L266" s="990"/>
      <c r="M266" s="990"/>
      <c r="N266" s="991"/>
      <c r="O266" s="992"/>
      <c r="P266" s="990"/>
      <c r="Q266" s="992"/>
      <c r="R266" s="102"/>
      <c r="S266" s="1194">
        <f t="shared" si="17"/>
        <v>0</v>
      </c>
      <c r="T266" s="884"/>
    </row>
    <row r="267" spans="2:20" ht="19.149999999999999" customHeight="1" x14ac:dyDescent="0.25">
      <c r="B267" s="97"/>
      <c r="C267" s="98" t="str">
        <f>'Reference documents'!B27</f>
        <v>GRE.EEC.S.25.XX.S.00000.15.001.00</v>
      </c>
      <c r="D267" s="100" t="s">
        <v>2390</v>
      </c>
      <c r="E267" s="98" t="s">
        <v>2391</v>
      </c>
      <c r="F267" s="1193" t="s">
        <v>160</v>
      </c>
      <c r="G267" s="100" t="s">
        <v>1941</v>
      </c>
      <c r="H267" s="1112"/>
      <c r="I267" s="990"/>
      <c r="J267" s="990"/>
      <c r="K267" s="991">
        <f t="shared" si="16"/>
        <v>0</v>
      </c>
      <c r="L267" s="990"/>
      <c r="M267" s="990"/>
      <c r="N267" s="991"/>
      <c r="O267" s="992"/>
      <c r="P267" s="990"/>
      <c r="Q267" s="992"/>
      <c r="R267" s="102"/>
      <c r="S267" s="1194">
        <f t="shared" si="17"/>
        <v>0</v>
      </c>
      <c r="T267" s="884"/>
    </row>
  </sheetData>
  <autoFilter ref="B5:T267" xr:uid="{91E6C28D-6FF5-42F2-96ED-B63E0EB9C34A}"/>
  <mergeCells count="74">
    <mergeCell ref="B2:T2"/>
    <mergeCell ref="B6:B7"/>
    <mergeCell ref="C6:C7"/>
    <mergeCell ref="D6:D7"/>
    <mergeCell ref="E6:E7"/>
    <mergeCell ref="F6:R6"/>
    <mergeCell ref="F7:R7"/>
    <mergeCell ref="B4:B5"/>
    <mergeCell ref="C4:C5"/>
    <mergeCell ref="D4:D5"/>
    <mergeCell ref="E4:E5"/>
    <mergeCell ref="F4:F5"/>
    <mergeCell ref="R4:R5"/>
    <mergeCell ref="S4:S5"/>
    <mergeCell ref="T4:T5"/>
    <mergeCell ref="G4:G5"/>
    <mergeCell ref="F8:T8"/>
    <mergeCell ref="F17:T17"/>
    <mergeCell ref="B33:B34"/>
    <mergeCell ref="C33:C34"/>
    <mergeCell ref="D33:D34"/>
    <mergeCell ref="E33:E34"/>
    <mergeCell ref="F33:R33"/>
    <mergeCell ref="F34:R34"/>
    <mergeCell ref="B111:E112"/>
    <mergeCell ref="F111:R111"/>
    <mergeCell ref="F112:R112"/>
    <mergeCell ref="F113:T113"/>
    <mergeCell ref="B81:E82"/>
    <mergeCell ref="F81:R81"/>
    <mergeCell ref="F82:R82"/>
    <mergeCell ref="F83:T83"/>
    <mergeCell ref="F99:T99"/>
    <mergeCell ref="B127:E128"/>
    <mergeCell ref="F127:R127"/>
    <mergeCell ref="F128:R128"/>
    <mergeCell ref="F129:T129"/>
    <mergeCell ref="F159:T159"/>
    <mergeCell ref="B170:B171"/>
    <mergeCell ref="C170:C171"/>
    <mergeCell ref="D170:D171"/>
    <mergeCell ref="E170:E171"/>
    <mergeCell ref="F170:R170"/>
    <mergeCell ref="F171:R171"/>
    <mergeCell ref="B186:B187"/>
    <mergeCell ref="C186:C187"/>
    <mergeCell ref="D186:D187"/>
    <mergeCell ref="E186:E187"/>
    <mergeCell ref="F186:R186"/>
    <mergeCell ref="F187:R187"/>
    <mergeCell ref="F241:T241"/>
    <mergeCell ref="F254:T254"/>
    <mergeCell ref="B194:B195"/>
    <mergeCell ref="C194:C195"/>
    <mergeCell ref="D194:D195"/>
    <mergeCell ref="E194:E195"/>
    <mergeCell ref="F194:R194"/>
    <mergeCell ref="F195:R195"/>
    <mergeCell ref="H4:H5"/>
    <mergeCell ref="I4:K4"/>
    <mergeCell ref="L4:O4"/>
    <mergeCell ref="P4:Q4"/>
    <mergeCell ref="F196:T196"/>
    <mergeCell ref="F102:T102"/>
    <mergeCell ref="F57:T57"/>
    <mergeCell ref="F61:T61"/>
    <mergeCell ref="F66:T66"/>
    <mergeCell ref="F72:T72"/>
    <mergeCell ref="F77:T77"/>
    <mergeCell ref="F35:T35"/>
    <mergeCell ref="F40:T40"/>
    <mergeCell ref="F46:T46"/>
    <mergeCell ref="F52:T52"/>
    <mergeCell ref="F54:T54"/>
  </mergeCells>
  <dataValidations count="1">
    <dataValidation type="list" allowBlank="1" showInputMessage="1" showErrorMessage="1" sqref="F196:F267 F8:F32 F35:F80 F83:F110 F113:F126 F188:F193 F130:F169 F172:F185" xr:uid="{12C118AE-9CFA-4AC3-AABC-6E5404529B98}">
      <formula1>"Mandatory,Optional,NA"</formula1>
    </dataValidation>
  </dataValidations>
  <pageMargins left="0.75" right="0.75" top="1" bottom="1" header="0" footer="0"/>
  <pageSetup paperSize="9" orientation="portrait" r:id="rId1"/>
  <headerFooter alignWithMargins="0">
    <oddHeader>&amp;C&amp;"Arial"&amp;8&amp;K000000INTERNAL&amp;1#</oddHead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D5485-5465-4C1F-ADE7-E2AB0E5CAF34}">
  <sheetPr>
    <tabColor rgb="FF00B050"/>
  </sheetPr>
  <dimension ref="B2:T12"/>
  <sheetViews>
    <sheetView showGridLines="0" topLeftCell="A3" zoomScale="90" zoomScaleNormal="90" zoomScaleSheetLayoutView="90" workbookViewId="0">
      <selection activeCell="G29" sqref="G29"/>
    </sheetView>
  </sheetViews>
  <sheetFormatPr defaultColWidth="11.5703125" defaultRowHeight="12.75" x14ac:dyDescent="0.2"/>
  <cols>
    <col min="1" max="1" width="1.28515625" style="171" customWidth="1"/>
    <col min="2" max="2" width="23.42578125" style="171" customWidth="1"/>
    <col min="3" max="3" width="30.7109375" style="180" customWidth="1"/>
    <col min="4" max="4" width="16.7109375" style="180" customWidth="1"/>
    <col min="5" max="5" width="60.5703125" style="431" customWidth="1"/>
    <col min="6" max="6" width="15.7109375" style="180" bestFit="1" customWidth="1"/>
    <col min="7" max="7" width="16.28515625" style="180" customWidth="1"/>
    <col min="8" max="8" width="15.7109375" style="171" bestFit="1" customWidth="1"/>
    <col min="9" max="17" width="15.7109375" style="171" hidden="1" customWidth="1"/>
    <col min="18" max="18" width="12.7109375" style="171" bestFit="1" customWidth="1"/>
    <col min="19" max="19" width="12.42578125" style="171" bestFit="1" customWidth="1"/>
    <col min="20" max="16384" width="11.5703125" style="171"/>
  </cols>
  <sheetData>
    <row r="2" spans="2:20" ht="15.75" x14ac:dyDescent="0.2">
      <c r="B2" s="1511" t="s">
        <v>61</v>
      </c>
      <c r="C2" s="1511"/>
      <c r="D2" s="1511"/>
      <c r="E2" s="1511"/>
      <c r="F2" s="1511"/>
      <c r="G2" s="1511"/>
      <c r="H2" s="1511"/>
      <c r="I2" s="1511"/>
      <c r="J2" s="1511"/>
      <c r="K2" s="1511"/>
      <c r="L2" s="1511"/>
      <c r="M2" s="1511"/>
      <c r="N2" s="1511"/>
      <c r="O2" s="1511"/>
      <c r="P2" s="1511"/>
      <c r="Q2" s="1511"/>
      <c r="R2" s="1511"/>
      <c r="S2" s="1511"/>
      <c r="T2" s="1511"/>
    </row>
    <row r="3" spans="2:20" ht="15.75" thickBot="1" x14ac:dyDescent="0.25">
      <c r="B3" s="121"/>
      <c r="C3" s="26"/>
      <c r="D3" s="26"/>
      <c r="E3" s="28"/>
      <c r="F3" s="30"/>
      <c r="G3" s="29"/>
      <c r="H3" s="29"/>
      <c r="I3" s="29"/>
      <c r="J3" s="29"/>
      <c r="K3" s="29"/>
      <c r="L3" s="29"/>
      <c r="M3" s="29"/>
      <c r="N3" s="29"/>
      <c r="O3" s="29"/>
      <c r="P3" s="29"/>
      <c r="Q3" s="29"/>
    </row>
    <row r="4" spans="2:20" x14ac:dyDescent="0.2">
      <c r="B4" s="1540" t="s">
        <v>186</v>
      </c>
      <c r="C4" s="1540" t="s">
        <v>136</v>
      </c>
      <c r="D4" s="1540" t="s">
        <v>137</v>
      </c>
      <c r="E4" s="1540" t="s">
        <v>187</v>
      </c>
      <c r="F4" s="1546" t="s">
        <v>139</v>
      </c>
      <c r="G4" s="1524" t="s">
        <v>140</v>
      </c>
      <c r="H4" s="1524" t="s">
        <v>141</v>
      </c>
      <c r="I4" s="1528" t="s">
        <v>142</v>
      </c>
      <c r="J4" s="1528"/>
      <c r="K4" s="1528"/>
      <c r="L4" s="1528" t="s">
        <v>143</v>
      </c>
      <c r="M4" s="1528"/>
      <c r="N4" s="1528"/>
      <c r="O4" s="1528"/>
      <c r="P4" s="1528" t="s">
        <v>144</v>
      </c>
      <c r="Q4" s="1528"/>
      <c r="R4" s="1524" t="s">
        <v>145</v>
      </c>
      <c r="S4" s="1524" t="s">
        <v>146</v>
      </c>
      <c r="T4" s="1540" t="s">
        <v>147</v>
      </c>
    </row>
    <row r="5" spans="2:20" s="172" customFormat="1" ht="24.75" customHeight="1" x14ac:dyDescent="0.25">
      <c r="B5" s="1541"/>
      <c r="C5" s="1541"/>
      <c r="D5" s="1541"/>
      <c r="E5" s="1541"/>
      <c r="F5" s="1547"/>
      <c r="G5" s="1525"/>
      <c r="H5" s="1525"/>
      <c r="I5" s="983" t="s">
        <v>148</v>
      </c>
      <c r="J5" s="983" t="s">
        <v>149</v>
      </c>
      <c r="K5" s="983" t="s">
        <v>150</v>
      </c>
      <c r="L5" s="983" t="s">
        <v>148</v>
      </c>
      <c r="M5" s="983" t="s">
        <v>149</v>
      </c>
      <c r="N5" s="983" t="s">
        <v>150</v>
      </c>
      <c r="O5" s="983" t="s">
        <v>151</v>
      </c>
      <c r="P5" s="983" t="s">
        <v>150</v>
      </c>
      <c r="Q5" s="983" t="s">
        <v>152</v>
      </c>
      <c r="R5" s="1525"/>
      <c r="S5" s="1525"/>
      <c r="T5" s="1541"/>
    </row>
    <row r="6" spans="2:20" s="173" customFormat="1" ht="15.75" customHeight="1" collapsed="1" x14ac:dyDescent="0.2">
      <c r="B6" s="1710" t="s">
        <v>61</v>
      </c>
      <c r="C6" s="1711"/>
      <c r="D6" s="1711"/>
      <c r="E6" s="1712"/>
      <c r="F6" s="1537" t="s">
        <v>154</v>
      </c>
      <c r="G6" s="1538"/>
      <c r="H6" s="1539"/>
      <c r="I6" s="1245"/>
      <c r="J6" s="1245"/>
      <c r="K6" s="1245"/>
      <c r="L6" s="1245"/>
      <c r="M6" s="1245"/>
      <c r="N6" s="1245"/>
      <c r="O6" s="1245"/>
      <c r="P6" s="1245"/>
      <c r="Q6" s="1245"/>
      <c r="R6" s="862" t="s">
        <v>155</v>
      </c>
      <c r="S6" s="863">
        <f>SUMIF(F9:F12,"Mandatory",S9:S12)</f>
        <v>0</v>
      </c>
      <c r="T6" s="862" t="s">
        <v>155</v>
      </c>
    </row>
    <row r="7" spans="2:20" s="173" customFormat="1" ht="14.25" customHeight="1" x14ac:dyDescent="0.2">
      <c r="B7" s="1713"/>
      <c r="C7" s="1714"/>
      <c r="D7" s="1714"/>
      <c r="E7" s="1715"/>
      <c r="F7" s="1537" t="s">
        <v>156</v>
      </c>
      <c r="G7" s="1538"/>
      <c r="H7" s="1539"/>
      <c r="I7" s="1299"/>
      <c r="J7" s="1299"/>
      <c r="K7" s="1299"/>
      <c r="L7" s="1299"/>
      <c r="M7" s="1299"/>
      <c r="N7" s="1299"/>
      <c r="O7" s="1299"/>
      <c r="P7" s="1299"/>
      <c r="Q7" s="1299"/>
      <c r="R7" s="864" t="s">
        <v>155</v>
      </c>
      <c r="S7" s="863">
        <f>SUMIF(F9:F12,"optional",S9:S12)</f>
        <v>91424.487647216753</v>
      </c>
      <c r="T7" s="940" t="s">
        <v>155</v>
      </c>
    </row>
    <row r="8" spans="2:20" x14ac:dyDescent="0.2">
      <c r="B8" s="926" t="s">
        <v>155</v>
      </c>
      <c r="C8" s="927" t="s">
        <v>155</v>
      </c>
      <c r="D8" s="927" t="s">
        <v>155</v>
      </c>
      <c r="E8" s="928"/>
      <c r="F8" s="929" t="s">
        <v>155</v>
      </c>
      <c r="G8" s="929" t="s">
        <v>155</v>
      </c>
      <c r="H8" s="929" t="s">
        <v>155</v>
      </c>
      <c r="I8" s="929"/>
      <c r="J8" s="929"/>
      <c r="K8" s="929"/>
      <c r="L8" s="929"/>
      <c r="M8" s="929"/>
      <c r="N8" s="929"/>
      <c r="O8" s="929"/>
      <c r="P8" s="929"/>
      <c r="Q8" s="929"/>
      <c r="R8" s="929"/>
      <c r="S8" s="929" t="s">
        <v>155</v>
      </c>
      <c r="T8" s="930" t="s">
        <v>155</v>
      </c>
    </row>
    <row r="9" spans="2:20" s="431" customFormat="1" ht="27" customHeight="1" x14ac:dyDescent="0.25">
      <c r="B9" s="97"/>
      <c r="C9" s="98" t="str">
        <f>'Reference documents'!B20</f>
        <v>GRE.EEC.S.21.IT.P.18371.00.126.01 - SOW BOP Pontestura</v>
      </c>
      <c r="D9" s="100"/>
      <c r="E9" s="1130" t="s">
        <v>2456</v>
      </c>
      <c r="F9" s="902" t="s">
        <v>167</v>
      </c>
      <c r="G9" s="100" t="s">
        <v>161</v>
      </c>
      <c r="H9" s="101">
        <v>1</v>
      </c>
      <c r="I9" s="990"/>
      <c r="J9" s="990"/>
      <c r="K9" s="991"/>
      <c r="L9" s="990"/>
      <c r="M9" s="990"/>
      <c r="N9" s="991"/>
      <c r="O9" s="992"/>
      <c r="P9" s="990"/>
      <c r="Q9" s="992"/>
      <c r="R9" s="102">
        <v>91424.487647216753</v>
      </c>
      <c r="S9" s="845">
        <f t="shared" ref="S9:S12" si="0">IF(F9="NA","",R9*H9)</f>
        <v>91424.487647216753</v>
      </c>
      <c r="T9" s="884"/>
    </row>
    <row r="10" spans="2:20" s="431" customFormat="1" ht="27" customHeight="1" x14ac:dyDescent="0.25">
      <c r="B10" s="97"/>
      <c r="C10" s="98" t="str">
        <f>'Reference documents'!B21</f>
        <v>GRE.EEC.S.21.IT.P.18371.00.126.01 - SOW BOP Pontestura</v>
      </c>
      <c r="D10" s="100"/>
      <c r="E10" s="1130" t="s">
        <v>2457</v>
      </c>
      <c r="F10" s="902" t="s">
        <v>167</v>
      </c>
      <c r="G10" s="100" t="s">
        <v>161</v>
      </c>
      <c r="H10" s="101">
        <v>1</v>
      </c>
      <c r="I10" s="990"/>
      <c r="J10" s="990"/>
      <c r="K10" s="991">
        <f>I10*J10</f>
        <v>0</v>
      </c>
      <c r="L10" s="990"/>
      <c r="M10" s="990"/>
      <c r="N10" s="991">
        <f>L10*M10</f>
        <v>0</v>
      </c>
      <c r="O10" s="992"/>
      <c r="P10" s="990"/>
      <c r="Q10" s="992"/>
      <c r="R10" s="102"/>
      <c r="S10" s="845">
        <f t="shared" si="0"/>
        <v>0</v>
      </c>
      <c r="T10" s="884"/>
    </row>
    <row r="11" spans="2:20" s="431" customFormat="1" ht="28.5" customHeight="1" x14ac:dyDescent="0.25">
      <c r="B11" s="97"/>
      <c r="C11" s="98" t="str">
        <f>'Reference documents'!B22</f>
        <v>GRE.EEC.S.21.IT.P.18371.00.126.01 - SOW BOP Pontestura</v>
      </c>
      <c r="D11" s="100"/>
      <c r="E11" s="98" t="s">
        <v>2458</v>
      </c>
      <c r="F11" s="902" t="s">
        <v>167</v>
      </c>
      <c r="G11" s="100" t="s">
        <v>161</v>
      </c>
      <c r="H11" s="101">
        <v>1</v>
      </c>
      <c r="I11" s="990"/>
      <c r="J11" s="990"/>
      <c r="K11" s="991">
        <f>I11*J11</f>
        <v>0</v>
      </c>
      <c r="L11" s="990"/>
      <c r="M11" s="990"/>
      <c r="N11" s="991">
        <f>L11*M11</f>
        <v>0</v>
      </c>
      <c r="O11" s="992"/>
      <c r="P11" s="990"/>
      <c r="Q11" s="992"/>
      <c r="R11" s="102"/>
      <c r="S11" s="845">
        <f t="shared" si="0"/>
        <v>0</v>
      </c>
      <c r="T11" s="884"/>
    </row>
    <row r="12" spans="2:20" s="431" customFormat="1" ht="27.75" customHeight="1" x14ac:dyDescent="0.25">
      <c r="B12" s="97"/>
      <c r="C12" s="98" t="str">
        <f>'Reference documents'!B23</f>
        <v>GRE.EEC.S.21.IT.P.18371.00.126.01 - SOW BOP Pontestura</v>
      </c>
      <c r="D12" s="900"/>
      <c r="E12" s="98" t="s">
        <v>2459</v>
      </c>
      <c r="F12" s="902" t="s">
        <v>167</v>
      </c>
      <c r="G12" s="100" t="s">
        <v>161</v>
      </c>
      <c r="H12" s="903">
        <v>1</v>
      </c>
      <c r="I12" s="990"/>
      <c r="J12" s="990"/>
      <c r="K12" s="991">
        <f>I12*J12</f>
        <v>0</v>
      </c>
      <c r="L12" s="990"/>
      <c r="M12" s="990"/>
      <c r="N12" s="991">
        <f>L12*M12</f>
        <v>0</v>
      </c>
      <c r="O12" s="992"/>
      <c r="P12" s="990"/>
      <c r="Q12" s="992"/>
      <c r="R12" s="904"/>
      <c r="S12" s="905">
        <f t="shared" si="0"/>
        <v>0</v>
      </c>
      <c r="T12" s="906"/>
    </row>
  </sheetData>
  <mergeCells count="17">
    <mergeCell ref="P4:Q4"/>
    <mergeCell ref="R4:R5"/>
    <mergeCell ref="S4:S5"/>
    <mergeCell ref="T4:T5"/>
    <mergeCell ref="B2:T2"/>
    <mergeCell ref="I4:K4"/>
    <mergeCell ref="L4:O4"/>
    <mergeCell ref="B6:E7"/>
    <mergeCell ref="F6:H6"/>
    <mergeCell ref="F7:H7"/>
    <mergeCell ref="B4:B5"/>
    <mergeCell ref="C4:C5"/>
    <mergeCell ref="D4:D5"/>
    <mergeCell ref="E4:E5"/>
    <mergeCell ref="F4:F5"/>
    <mergeCell ref="G4:G5"/>
    <mergeCell ref="H4:H5"/>
  </mergeCells>
  <dataValidations disablePrompts="1" count="2">
    <dataValidation type="list" allowBlank="1" showInputMessage="1" showErrorMessage="1" sqref="F9:F12" xr:uid="{D73604D6-391B-48E5-A66E-3ADF7C6151A0}">
      <formula1>"Mandatory,Optional,NA"</formula1>
    </dataValidation>
    <dataValidation type="decimal" operator="greaterThanOrEqual" allowBlank="1" showInputMessage="1" showErrorMessage="1" sqref="P9:P12 I9:J12 L9:M12" xr:uid="{F1B76566-ECDE-4EBD-9828-B15FA2C6BD04}">
      <formula1>0</formula1>
    </dataValidation>
  </dataValidations>
  <pageMargins left="0.75" right="0.75" top="1" bottom="1" header="0" footer="0"/>
  <pageSetup paperSize="9" orientation="portrait" r:id="rId1"/>
  <headerFooter alignWithMargins="0">
    <oddHeader>&amp;C&amp;"Arial"&amp;8&amp;K000000INTERNAL&amp;1#</oddHead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B193E-7902-481F-9BC7-B34FE4F6D891}">
  <sheetPr>
    <tabColor rgb="FF00B050"/>
  </sheetPr>
  <dimension ref="B2:T25"/>
  <sheetViews>
    <sheetView topLeftCell="C1" zoomScale="55" zoomScaleNormal="55" workbookViewId="0">
      <selection activeCell="G29" sqref="G29"/>
    </sheetView>
  </sheetViews>
  <sheetFormatPr defaultColWidth="11.5703125" defaultRowHeight="12.75" x14ac:dyDescent="0.2"/>
  <cols>
    <col min="1" max="1" width="4.7109375" style="171" customWidth="1"/>
    <col min="2" max="2" width="12" style="171" customWidth="1"/>
    <col min="3" max="3" width="40.28515625" style="180" bestFit="1" customWidth="1"/>
    <col min="4" max="4" width="11.5703125" style="180" bestFit="1" customWidth="1"/>
    <col min="5" max="5" width="61.42578125" style="171" customWidth="1"/>
    <col min="6" max="6" width="19.5703125" style="180" bestFit="1" customWidth="1"/>
    <col min="7" max="7" width="21.7109375" style="180" customWidth="1"/>
    <col min="8" max="17" width="11.5703125" style="1107"/>
    <col min="18" max="19" width="11.5703125" style="171"/>
    <col min="20" max="20" width="46.5703125" style="171" customWidth="1"/>
    <col min="21" max="16384" width="11.5703125" style="171"/>
  </cols>
  <sheetData>
    <row r="2" spans="2:20" ht="15.75" x14ac:dyDescent="0.2">
      <c r="B2" s="124"/>
      <c r="C2" s="20"/>
      <c r="D2" s="20"/>
      <c r="E2" s="21" t="s">
        <v>715</v>
      </c>
      <c r="F2" s="23"/>
      <c r="G2" s="22"/>
      <c r="H2" s="1108"/>
      <c r="I2" s="1108"/>
      <c r="J2" s="1108"/>
      <c r="K2" s="1108"/>
      <c r="L2" s="1108"/>
      <c r="M2" s="1108"/>
      <c r="N2" s="1108"/>
      <c r="O2" s="1108"/>
      <c r="P2" s="1108"/>
      <c r="Q2" s="1108"/>
      <c r="R2" s="22"/>
      <c r="S2" s="22"/>
      <c r="T2" s="22"/>
    </row>
    <row r="3" spans="2:20" ht="15.75" thickBot="1" x14ac:dyDescent="0.25">
      <c r="B3" s="121"/>
      <c r="C3" s="26"/>
      <c r="D3" s="26"/>
      <c r="E3" s="28"/>
      <c r="F3" s="30"/>
      <c r="G3" s="29"/>
    </row>
    <row r="4" spans="2:20" x14ac:dyDescent="0.2">
      <c r="B4" s="1540" t="s">
        <v>186</v>
      </c>
      <c r="C4" s="1540" t="s">
        <v>136</v>
      </c>
      <c r="D4" s="1540" t="s">
        <v>137</v>
      </c>
      <c r="E4" s="1540" t="s">
        <v>187</v>
      </c>
      <c r="F4" s="1546" t="s">
        <v>139</v>
      </c>
      <c r="G4" s="1524" t="s">
        <v>140</v>
      </c>
      <c r="H4" s="1524" t="s">
        <v>141</v>
      </c>
      <c r="I4" s="1528" t="s">
        <v>142</v>
      </c>
      <c r="J4" s="1528"/>
      <c r="K4" s="1528"/>
      <c r="L4" s="1528" t="s">
        <v>143</v>
      </c>
      <c r="M4" s="1528"/>
      <c r="N4" s="1528"/>
      <c r="O4" s="1528"/>
      <c r="P4" s="1528" t="s">
        <v>144</v>
      </c>
      <c r="Q4" s="1528"/>
      <c r="R4" s="1524" t="s">
        <v>145</v>
      </c>
      <c r="S4" s="1524" t="s">
        <v>146</v>
      </c>
      <c r="T4" s="1540" t="s">
        <v>147</v>
      </c>
    </row>
    <row r="5" spans="2:20" s="172" customFormat="1" ht="34.15" customHeight="1" x14ac:dyDescent="0.25">
      <c r="B5" s="1541"/>
      <c r="C5" s="1541"/>
      <c r="D5" s="1541"/>
      <c r="E5" s="1541"/>
      <c r="F5" s="1547"/>
      <c r="G5" s="1525"/>
      <c r="H5" s="1525"/>
      <c r="I5" s="983" t="s">
        <v>148</v>
      </c>
      <c r="J5" s="983" t="s">
        <v>149</v>
      </c>
      <c r="K5" s="983" t="s">
        <v>150</v>
      </c>
      <c r="L5" s="983" t="s">
        <v>148</v>
      </c>
      <c r="M5" s="983" t="s">
        <v>149</v>
      </c>
      <c r="N5" s="983" t="s">
        <v>150</v>
      </c>
      <c r="O5" s="983" t="s">
        <v>151</v>
      </c>
      <c r="P5" s="983" t="s">
        <v>150</v>
      </c>
      <c r="Q5" s="983" t="s">
        <v>152</v>
      </c>
      <c r="R5" s="1525"/>
      <c r="S5" s="1525"/>
      <c r="T5" s="1541"/>
    </row>
    <row r="6" spans="2:20" s="861" customFormat="1" ht="17.25" customHeight="1" x14ac:dyDescent="0.25">
      <c r="B6" s="1504" t="s">
        <v>129</v>
      </c>
      <c r="C6" s="1590"/>
      <c r="D6" s="1590"/>
      <c r="E6" s="1590"/>
      <c r="F6" s="1590" t="s">
        <v>154</v>
      </c>
      <c r="G6" s="1590"/>
      <c r="H6" s="1590"/>
      <c r="I6" s="1590"/>
      <c r="J6" s="1590"/>
      <c r="K6" s="1590"/>
      <c r="L6" s="1590"/>
      <c r="M6" s="1590"/>
      <c r="N6" s="1590"/>
      <c r="O6" s="1590"/>
      <c r="P6" s="1590"/>
      <c r="Q6" s="1590"/>
      <c r="R6" s="1590"/>
      <c r="S6" s="863">
        <f>SUMIF(F7,"Mandatory",S7)</f>
        <v>70000</v>
      </c>
      <c r="T6" s="909"/>
    </row>
    <row r="7" spans="2:20" s="431" customFormat="1" ht="45" x14ac:dyDescent="0.25">
      <c r="B7" s="919"/>
      <c r="C7" s="1209" t="str">
        <f>'Reference documents'!B19</f>
        <v>GRE…..</v>
      </c>
      <c r="D7" s="900"/>
      <c r="E7" s="901" t="s">
        <v>2460</v>
      </c>
      <c r="F7" s="902" t="s">
        <v>160</v>
      </c>
      <c r="G7" s="900" t="s">
        <v>161</v>
      </c>
      <c r="H7" s="903">
        <v>1</v>
      </c>
      <c r="I7" s="990"/>
      <c r="J7" s="990"/>
      <c r="K7" s="991">
        <f>I7*J7</f>
        <v>0</v>
      </c>
      <c r="L7" s="990"/>
      <c r="M7" s="990"/>
      <c r="N7" s="991">
        <f>L7*M7</f>
        <v>0</v>
      </c>
      <c r="O7" s="992"/>
      <c r="P7" s="990">
        <v>70000</v>
      </c>
      <c r="Q7" s="992"/>
      <c r="R7" s="904">
        <f>P7+N7+K7</f>
        <v>70000</v>
      </c>
      <c r="S7" s="905">
        <f>IF(F7="na","",H7*R7)</f>
        <v>70000</v>
      </c>
      <c r="T7" s="935" t="s">
        <v>2461</v>
      </c>
    </row>
    <row r="8" spans="2:20" s="173" customFormat="1" ht="14.25" customHeight="1" collapsed="1" x14ac:dyDescent="0.2">
      <c r="B8" s="1542" t="s">
        <v>716</v>
      </c>
      <c r="C8" s="1543"/>
      <c r="D8" s="1543"/>
      <c r="E8" s="1548"/>
      <c r="F8" s="1504" t="s">
        <v>154</v>
      </c>
      <c r="G8" s="1590"/>
      <c r="H8" s="1590"/>
      <c r="I8" s="1590"/>
      <c r="J8" s="1590"/>
      <c r="K8" s="1590"/>
      <c r="L8" s="1590"/>
      <c r="M8" s="1590"/>
      <c r="N8" s="1590"/>
      <c r="O8" s="1590"/>
      <c r="P8" s="1590"/>
      <c r="Q8" s="1590"/>
      <c r="R8" s="1590"/>
      <c r="S8" s="863">
        <f>SUMIF(F10,"Mandatory",S10)</f>
        <v>23544.822930693095</v>
      </c>
      <c r="T8" s="909"/>
    </row>
    <row r="9" spans="2:20" s="173" customFormat="1" ht="14.25" customHeight="1" x14ac:dyDescent="0.2">
      <c r="B9" s="1544"/>
      <c r="C9" s="1545"/>
      <c r="D9" s="1545"/>
      <c r="E9" s="1549"/>
      <c r="F9" s="1504" t="s">
        <v>156</v>
      </c>
      <c r="G9" s="1590"/>
      <c r="H9" s="1590"/>
      <c r="I9" s="1590"/>
      <c r="J9" s="1590"/>
      <c r="K9" s="1590"/>
      <c r="L9" s="1590"/>
      <c r="M9" s="1590"/>
      <c r="N9" s="1590"/>
      <c r="O9" s="1590"/>
      <c r="P9" s="1590"/>
      <c r="Q9" s="1590"/>
      <c r="R9" s="1590"/>
      <c r="S9" s="863">
        <f>SUMIF(F10:F10,"optional",S10:S10)</f>
        <v>0</v>
      </c>
      <c r="T9" s="909"/>
    </row>
    <row r="10" spans="2:20" s="174" customFormat="1" ht="197.65" customHeight="1" x14ac:dyDescent="0.25">
      <c r="B10" s="175"/>
      <c r="C10" s="176" t="s">
        <v>717</v>
      </c>
      <c r="D10" s="177"/>
      <c r="E10" s="179" t="s">
        <v>718</v>
      </c>
      <c r="F10" s="902" t="s">
        <v>160</v>
      </c>
      <c r="G10" s="900" t="s">
        <v>161</v>
      </c>
      <c r="H10" s="903">
        <v>1</v>
      </c>
      <c r="I10" s="990"/>
      <c r="J10" s="990"/>
      <c r="K10" s="991">
        <f>I10*J10</f>
        <v>0</v>
      </c>
      <c r="L10" s="990"/>
      <c r="M10" s="990"/>
      <c r="N10" s="991">
        <f>L10*M10</f>
        <v>0</v>
      </c>
      <c r="O10" s="992"/>
      <c r="P10" s="990">
        <v>23544.822930693095</v>
      </c>
      <c r="Q10" s="992"/>
      <c r="R10" s="904">
        <f>P10+N10+K10</f>
        <v>23544.822930693095</v>
      </c>
      <c r="S10" s="905">
        <f>IF(F10="na","",H10*R10)</f>
        <v>23544.822930693095</v>
      </c>
      <c r="T10" s="934"/>
    </row>
    <row r="11" spans="2:20" ht="15" x14ac:dyDescent="0.2">
      <c r="B11" s="1542" t="s">
        <v>727</v>
      </c>
      <c r="C11" s="1543"/>
      <c r="D11" s="1543"/>
      <c r="E11" s="1548"/>
      <c r="F11" s="1504" t="s">
        <v>154</v>
      </c>
      <c r="G11" s="1590"/>
      <c r="H11" s="1590"/>
      <c r="I11" s="1590"/>
      <c r="J11" s="1590"/>
      <c r="K11" s="1590"/>
      <c r="L11" s="1590"/>
      <c r="M11" s="1590"/>
      <c r="N11" s="1590"/>
      <c r="O11" s="1590"/>
      <c r="P11" s="1590"/>
      <c r="Q11" s="1590"/>
      <c r="R11" s="1590"/>
      <c r="S11" s="863">
        <f>SUMIF(F13:F14,"Mandatory",S13:S14)</f>
        <v>0</v>
      </c>
      <c r="T11" s="909"/>
    </row>
    <row r="12" spans="2:20" ht="15" x14ac:dyDescent="0.2">
      <c r="B12" s="1544"/>
      <c r="C12" s="1545"/>
      <c r="D12" s="1545"/>
      <c r="E12" s="1549"/>
      <c r="F12" s="1504" t="s">
        <v>156</v>
      </c>
      <c r="G12" s="1590"/>
      <c r="H12" s="1590"/>
      <c r="I12" s="1590"/>
      <c r="J12" s="1590"/>
      <c r="K12" s="1590"/>
      <c r="L12" s="1590"/>
      <c r="M12" s="1590"/>
      <c r="N12" s="1590"/>
      <c r="O12" s="1590"/>
      <c r="P12" s="1590"/>
      <c r="Q12" s="1590"/>
      <c r="R12" s="1590"/>
      <c r="S12" s="863">
        <f>SUMIF(F13:F14,"optional",S13:S14)</f>
        <v>0</v>
      </c>
      <c r="T12" s="909"/>
    </row>
    <row r="13" spans="2:20" s="431" customFormat="1" ht="38.25" x14ac:dyDescent="0.25">
      <c r="B13" s="919"/>
      <c r="C13" s="937" t="s">
        <v>2462</v>
      </c>
      <c r="D13" s="900"/>
      <c r="E13" s="901" t="s">
        <v>2463</v>
      </c>
      <c r="F13" s="902" t="s">
        <v>191</v>
      </c>
      <c r="G13" s="900" t="s">
        <v>1450</v>
      </c>
      <c r="H13" s="1106"/>
      <c r="I13" s="990"/>
      <c r="J13" s="990"/>
      <c r="K13" s="991">
        <f>I13*J13</f>
        <v>0</v>
      </c>
      <c r="L13" s="990"/>
      <c r="M13" s="990"/>
      <c r="N13" s="991">
        <f>L13*M13</f>
        <v>0</v>
      </c>
      <c r="O13" s="992"/>
      <c r="P13" s="990"/>
      <c r="Q13" s="992"/>
      <c r="R13" s="904">
        <f t="shared" ref="R13:R14" si="0">P13+N13+K13</f>
        <v>0</v>
      </c>
      <c r="S13" s="905" t="str">
        <f>IF(F13="na","",H13*R13)</f>
        <v/>
      </c>
      <c r="T13" s="935" t="s">
        <v>2464</v>
      </c>
    </row>
    <row r="14" spans="2:20" s="431" customFormat="1" ht="38.25" x14ac:dyDescent="0.25">
      <c r="B14" s="919"/>
      <c r="C14" s="937" t="s">
        <v>2465</v>
      </c>
      <c r="D14" s="900"/>
      <c r="E14" s="901" t="s">
        <v>2466</v>
      </c>
      <c r="F14" s="902" t="s">
        <v>191</v>
      </c>
      <c r="G14" s="900" t="s">
        <v>161</v>
      </c>
      <c r="H14" s="1448">
        <v>0</v>
      </c>
      <c r="I14" s="990"/>
      <c r="J14" s="990"/>
      <c r="K14" s="991">
        <f>I14*J14</f>
        <v>0</v>
      </c>
      <c r="L14" s="990"/>
      <c r="M14" s="990"/>
      <c r="N14" s="991">
        <f>L14*M14</f>
        <v>0</v>
      </c>
      <c r="O14" s="992"/>
      <c r="P14" s="990"/>
      <c r="Q14" s="992"/>
      <c r="R14" s="904">
        <f t="shared" si="0"/>
        <v>0</v>
      </c>
      <c r="S14" s="905" t="str">
        <f>IF(F14="na","",H14*R14)</f>
        <v/>
      </c>
      <c r="T14" s="935" t="s">
        <v>2464</v>
      </c>
    </row>
    <row r="15" spans="2:20" ht="15" x14ac:dyDescent="0.2">
      <c r="B15" s="1542" t="s">
        <v>734</v>
      </c>
      <c r="C15" s="1543"/>
      <c r="D15" s="1543"/>
      <c r="E15" s="1548"/>
      <c r="F15" s="1504" t="s">
        <v>154</v>
      </c>
      <c r="G15" s="1590"/>
      <c r="H15" s="1590"/>
      <c r="I15" s="1590"/>
      <c r="J15" s="1590"/>
      <c r="K15" s="1590"/>
      <c r="L15" s="1590"/>
      <c r="M15" s="1590"/>
      <c r="N15" s="1590"/>
      <c r="O15" s="1590"/>
      <c r="P15" s="1590"/>
      <c r="Q15" s="1590"/>
      <c r="R15" s="1590"/>
      <c r="S15" s="863">
        <f>SUMIF(F17:F18,"Mandatory",S17:S18)</f>
        <v>0</v>
      </c>
      <c r="T15" s="909"/>
    </row>
    <row r="16" spans="2:20" ht="15" x14ac:dyDescent="0.2">
      <c r="B16" s="1544"/>
      <c r="C16" s="1545"/>
      <c r="D16" s="1545"/>
      <c r="E16" s="1549"/>
      <c r="F16" s="1504" t="s">
        <v>156</v>
      </c>
      <c r="G16" s="1590"/>
      <c r="H16" s="1590"/>
      <c r="I16" s="1590"/>
      <c r="J16" s="1590"/>
      <c r="K16" s="1590"/>
      <c r="L16" s="1590"/>
      <c r="M16" s="1590"/>
      <c r="N16" s="1590"/>
      <c r="O16" s="1590"/>
      <c r="P16" s="1590"/>
      <c r="Q16" s="1590"/>
      <c r="R16" s="1590"/>
      <c r="S16" s="863">
        <f>SUMIF(F17:F18,"optional",S17:S18)</f>
        <v>0</v>
      </c>
      <c r="T16" s="909"/>
    </row>
    <row r="17" spans="2:20" s="431" customFormat="1" ht="36" x14ac:dyDescent="0.25">
      <c r="B17" s="919"/>
      <c r="C17" s="937" t="s">
        <v>735</v>
      </c>
      <c r="D17" s="900"/>
      <c r="E17" s="901" t="s">
        <v>736</v>
      </c>
      <c r="F17" s="902" t="s">
        <v>191</v>
      </c>
      <c r="G17" s="900" t="s">
        <v>1450</v>
      </c>
      <c r="H17" s="1448">
        <v>0</v>
      </c>
      <c r="I17" s="990"/>
      <c r="J17" s="990"/>
      <c r="K17" s="991">
        <f>I17*J17</f>
        <v>0</v>
      </c>
      <c r="L17" s="990"/>
      <c r="M17" s="990"/>
      <c r="N17" s="991">
        <f>L17*M17</f>
        <v>0</v>
      </c>
      <c r="O17" s="992"/>
      <c r="P17" s="990"/>
      <c r="Q17" s="992"/>
      <c r="R17" s="904">
        <f t="shared" ref="R17:R18" si="1">P17+N17+K17</f>
        <v>0</v>
      </c>
      <c r="S17" s="905" t="str">
        <f>IF(F17="na","",H17*R17)</f>
        <v/>
      </c>
      <c r="T17" s="935" t="s">
        <v>2467</v>
      </c>
    </row>
    <row r="18" spans="2:20" s="431" customFormat="1" ht="96" x14ac:dyDescent="0.25">
      <c r="B18" s="919"/>
      <c r="C18" s="937" t="s">
        <v>738</v>
      </c>
      <c r="D18" s="900"/>
      <c r="E18" s="901" t="s">
        <v>739</v>
      </c>
      <c r="F18" s="902" t="s">
        <v>191</v>
      </c>
      <c r="G18" s="900" t="s">
        <v>1450</v>
      </c>
      <c r="H18" s="1448">
        <v>0</v>
      </c>
      <c r="I18" s="990"/>
      <c r="J18" s="990"/>
      <c r="K18" s="991">
        <f>I18*J18</f>
        <v>0</v>
      </c>
      <c r="L18" s="990"/>
      <c r="M18" s="990"/>
      <c r="N18" s="991">
        <f>L18*M18</f>
        <v>0</v>
      </c>
      <c r="O18" s="992"/>
      <c r="P18" s="990"/>
      <c r="Q18" s="992"/>
      <c r="R18" s="904">
        <f t="shared" si="1"/>
        <v>0</v>
      </c>
      <c r="S18" s="905" t="str">
        <f>IF(F18="na","",H18*R18)</f>
        <v/>
      </c>
      <c r="T18" s="935"/>
    </row>
    <row r="19" spans="2:20" ht="15" x14ac:dyDescent="0.2">
      <c r="B19" s="1542" t="s">
        <v>741</v>
      </c>
      <c r="C19" s="1543"/>
      <c r="D19" s="1543"/>
      <c r="E19" s="1548"/>
      <c r="F19" s="1716" t="s">
        <v>154</v>
      </c>
      <c r="G19" s="1717"/>
      <c r="H19" s="1717"/>
      <c r="I19" s="1717"/>
      <c r="J19" s="1717"/>
      <c r="K19" s="1717"/>
      <c r="L19" s="1717"/>
      <c r="M19" s="1717"/>
      <c r="N19" s="1717"/>
      <c r="O19" s="1717"/>
      <c r="P19" s="1717"/>
      <c r="Q19" s="1717"/>
      <c r="R19" s="1717"/>
      <c r="S19" s="863">
        <f>SUMIF(F21:F22,"Mandatory",S21:S22)</f>
        <v>0</v>
      </c>
      <c r="T19" s="909"/>
    </row>
    <row r="20" spans="2:20" ht="15" x14ac:dyDescent="0.2">
      <c r="B20" s="1544"/>
      <c r="C20" s="1545"/>
      <c r="D20" s="1545"/>
      <c r="E20" s="1549"/>
      <c r="F20" s="1504" t="s">
        <v>156</v>
      </c>
      <c r="G20" s="1590"/>
      <c r="H20" s="1590"/>
      <c r="I20" s="1590"/>
      <c r="J20" s="1590"/>
      <c r="K20" s="1590"/>
      <c r="L20" s="1590"/>
      <c r="M20" s="1590"/>
      <c r="N20" s="1590"/>
      <c r="O20" s="1590"/>
      <c r="P20" s="1590"/>
      <c r="Q20" s="1590"/>
      <c r="R20" s="1590"/>
      <c r="S20" s="863">
        <f>SUMIF(F21:F22,"optional",S21:S22)</f>
        <v>0</v>
      </c>
      <c r="T20" s="909"/>
    </row>
    <row r="21" spans="2:20" s="431" customFormat="1" ht="36" x14ac:dyDescent="0.25">
      <c r="B21" s="919"/>
      <c r="C21" s="937" t="s">
        <v>744</v>
      </c>
      <c r="D21" s="900"/>
      <c r="E21" s="901" t="s">
        <v>745</v>
      </c>
      <c r="F21" s="902" t="s">
        <v>191</v>
      </c>
      <c r="G21" s="900" t="s">
        <v>1450</v>
      </c>
      <c r="H21" s="1448">
        <v>0</v>
      </c>
      <c r="I21" s="990"/>
      <c r="J21" s="990"/>
      <c r="K21" s="991">
        <f>I21*J21</f>
        <v>0</v>
      </c>
      <c r="L21" s="990"/>
      <c r="M21" s="990"/>
      <c r="N21" s="991">
        <f>L21*M21</f>
        <v>0</v>
      </c>
      <c r="O21" s="992"/>
      <c r="P21" s="990"/>
      <c r="Q21" s="992"/>
      <c r="R21" s="904">
        <f t="shared" ref="R21:R22" si="2">P21+N21+K21</f>
        <v>0</v>
      </c>
      <c r="S21" s="905" t="str">
        <f>IF(F21="na","",H21*R21)</f>
        <v/>
      </c>
      <c r="T21" s="935" t="s">
        <v>2464</v>
      </c>
    </row>
    <row r="22" spans="2:20" s="431" customFormat="1" ht="24" x14ac:dyDescent="0.25">
      <c r="B22" s="921"/>
      <c r="C22" s="1189" t="s">
        <v>746</v>
      </c>
      <c r="D22" s="885"/>
      <c r="E22" s="888" t="s">
        <v>747</v>
      </c>
      <c r="F22" s="886" t="s">
        <v>167</v>
      </c>
      <c r="G22" s="885" t="s">
        <v>748</v>
      </c>
      <c r="H22" s="1113">
        <v>1</v>
      </c>
      <c r="I22" s="990"/>
      <c r="J22" s="990"/>
      <c r="K22" s="991">
        <f>I22*J22</f>
        <v>0</v>
      </c>
      <c r="L22" s="990"/>
      <c r="M22" s="990"/>
      <c r="N22" s="991">
        <f>L22*M22</f>
        <v>0</v>
      </c>
      <c r="O22" s="992"/>
      <c r="P22" s="990"/>
      <c r="Q22" s="992"/>
      <c r="R22" s="904">
        <f t="shared" si="2"/>
        <v>0</v>
      </c>
      <c r="S22" s="891">
        <f>IF(F22="na","",H22*R22)</f>
        <v>0</v>
      </c>
      <c r="T22" s="1190" t="s">
        <v>2464</v>
      </c>
    </row>
    <row r="24" spans="2:20" ht="24" x14ac:dyDescent="0.2">
      <c r="R24" s="1380" t="s">
        <v>154</v>
      </c>
      <c r="S24" s="1437">
        <f>S6+S8+S11+S15+S19</f>
        <v>93544.822930693103</v>
      </c>
    </row>
    <row r="25" spans="2:20" x14ac:dyDescent="0.2">
      <c r="R25" s="1380" t="s">
        <v>156</v>
      </c>
      <c r="S25" s="1437">
        <f>S9+S12+S16+S20</f>
        <v>0</v>
      </c>
    </row>
  </sheetData>
  <mergeCells count="27">
    <mergeCell ref="B6:E6"/>
    <mergeCell ref="F6:R6"/>
    <mergeCell ref="B8:E9"/>
    <mergeCell ref="F8:R8"/>
    <mergeCell ref="F9:R9"/>
    <mergeCell ref="F19:R19"/>
    <mergeCell ref="F20:R20"/>
    <mergeCell ref="B19:E20"/>
    <mergeCell ref="B15:E16"/>
    <mergeCell ref="F11:R11"/>
    <mergeCell ref="F12:R12"/>
    <mergeCell ref="F15:R15"/>
    <mergeCell ref="F16:R16"/>
    <mergeCell ref="B11:E12"/>
    <mergeCell ref="B4:B5"/>
    <mergeCell ref="C4:C5"/>
    <mergeCell ref="D4:D5"/>
    <mergeCell ref="E4:E5"/>
    <mergeCell ref="F4:F5"/>
    <mergeCell ref="R4:R5"/>
    <mergeCell ref="S4:S5"/>
    <mergeCell ref="T4:T5"/>
    <mergeCell ref="G4:G5"/>
    <mergeCell ref="H4:H5"/>
    <mergeCell ref="I4:K4"/>
    <mergeCell ref="L4:O4"/>
    <mergeCell ref="P4:Q4"/>
  </mergeCells>
  <dataValidations count="2">
    <dataValidation type="list" allowBlank="1" showInputMessage="1" showErrorMessage="1" sqref="F10 F13:F14 F7 F17:F18 F22:G22 F21" xr:uid="{D9A160A4-6249-4669-84B2-4C9BF56E1ED1}">
      <formula1>"Mandatory,Optional,NA"</formula1>
    </dataValidation>
    <dataValidation type="decimal" operator="greaterThanOrEqual" allowBlank="1" showInputMessage="1" showErrorMessage="1" sqref="P7 I7:J7 L7:M7 P10 I10:J10 L10:M10 P13:P14 I13:J14 L13:M14 P17:P18 I17:J18 L17:M18 P21:P22 I21:J22 L21:M22" xr:uid="{0238D5D3-028A-4677-AC06-7DE04EBA45A8}">
      <formula1>0</formula1>
    </dataValidation>
  </dataValidations>
  <pageMargins left="0.7" right="0.7" top="0.75" bottom="0.75" header="0.3" footer="0.3"/>
  <pageSetup paperSize="9" orientation="portrait" r:id="rId1"/>
  <legacy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48B9EA-7BFA-4F76-88D0-7CFE2FCE2EA6}">
  <sheetPr>
    <tabColor rgb="FF00B050"/>
  </sheetPr>
  <dimension ref="B2:T13"/>
  <sheetViews>
    <sheetView showGridLines="0" topLeftCell="B1" zoomScale="55" zoomScaleNormal="55" zoomScaleSheetLayoutView="90" workbookViewId="0">
      <selection activeCell="G29" sqref="G29"/>
    </sheetView>
  </sheetViews>
  <sheetFormatPr defaultColWidth="11.5703125" defaultRowHeight="12.75" x14ac:dyDescent="0.2"/>
  <cols>
    <col min="1" max="1" width="1.28515625" style="171" customWidth="1"/>
    <col min="2" max="2" width="23.42578125" style="171" customWidth="1"/>
    <col min="3" max="3" width="30.7109375" style="180" customWidth="1"/>
    <col min="4" max="4" width="16.5703125" style="180" bestFit="1" customWidth="1"/>
    <col min="5" max="5" width="16.7109375" style="431" customWidth="1"/>
    <col min="6" max="6" width="15.7109375" style="180" bestFit="1" customWidth="1"/>
    <col min="7" max="7" width="16.28515625" style="180" customWidth="1"/>
    <col min="8" max="8" width="15.7109375" style="171" bestFit="1" customWidth="1"/>
    <col min="9" max="17" width="15.7109375" style="171" customWidth="1"/>
    <col min="18" max="16384" width="11.5703125" style="171"/>
  </cols>
  <sheetData>
    <row r="2" spans="2:20" ht="15.75" x14ac:dyDescent="0.2">
      <c r="B2" s="1511" t="s">
        <v>64</v>
      </c>
      <c r="C2" s="1511"/>
      <c r="D2" s="1511"/>
      <c r="E2" s="1511"/>
      <c r="F2" s="1511"/>
      <c r="G2" s="1511"/>
      <c r="H2" s="1511"/>
      <c r="I2" s="1511"/>
      <c r="J2" s="1511"/>
      <c r="K2" s="1511"/>
      <c r="L2" s="1511"/>
      <c r="M2" s="1511"/>
      <c r="N2" s="1511"/>
      <c r="O2" s="1511"/>
      <c r="P2" s="1511"/>
      <c r="Q2" s="1511"/>
      <c r="R2" s="1511"/>
      <c r="S2" s="1511"/>
      <c r="T2" s="1511"/>
    </row>
    <row r="3" spans="2:20" ht="15.75" thickBot="1" x14ac:dyDescent="0.25">
      <c r="B3" s="121"/>
      <c r="C3" s="26"/>
      <c r="D3" s="26"/>
      <c r="E3" s="28"/>
      <c r="F3" s="30"/>
      <c r="G3" s="29"/>
      <c r="H3" s="29"/>
      <c r="I3" s="29"/>
      <c r="J3" s="29"/>
      <c r="K3" s="29"/>
      <c r="L3" s="29"/>
      <c r="M3" s="29"/>
      <c r="N3" s="29"/>
      <c r="O3" s="29"/>
      <c r="P3" s="29"/>
      <c r="Q3" s="29"/>
    </row>
    <row r="4" spans="2:20" x14ac:dyDescent="0.2">
      <c r="B4" s="1540" t="s">
        <v>186</v>
      </c>
      <c r="C4" s="1540" t="s">
        <v>136</v>
      </c>
      <c r="D4" s="1540" t="s">
        <v>137</v>
      </c>
      <c r="E4" s="1540" t="s">
        <v>187</v>
      </c>
      <c r="F4" s="1546" t="s">
        <v>139</v>
      </c>
      <c r="G4" s="1524" t="s">
        <v>140</v>
      </c>
      <c r="H4" s="1524" t="s">
        <v>141</v>
      </c>
      <c r="I4" s="1528" t="s">
        <v>142</v>
      </c>
      <c r="J4" s="1528"/>
      <c r="K4" s="1528"/>
      <c r="L4" s="1528" t="s">
        <v>143</v>
      </c>
      <c r="M4" s="1528"/>
      <c r="N4" s="1528"/>
      <c r="O4" s="1528"/>
      <c r="P4" s="1528" t="s">
        <v>144</v>
      </c>
      <c r="Q4" s="1528"/>
      <c r="R4" s="1524" t="s">
        <v>145</v>
      </c>
      <c r="S4" s="1524" t="s">
        <v>146</v>
      </c>
      <c r="T4" s="1540" t="s">
        <v>147</v>
      </c>
    </row>
    <row r="5" spans="2:20" s="172" customFormat="1" ht="24.75" customHeight="1" x14ac:dyDescent="0.25">
      <c r="B5" s="1541"/>
      <c r="C5" s="1541"/>
      <c r="D5" s="1541"/>
      <c r="E5" s="1541"/>
      <c r="F5" s="1547"/>
      <c r="G5" s="1525"/>
      <c r="H5" s="1525"/>
      <c r="I5" s="983" t="s">
        <v>148</v>
      </c>
      <c r="J5" s="983" t="s">
        <v>149</v>
      </c>
      <c r="K5" s="983" t="s">
        <v>150</v>
      </c>
      <c r="L5" s="983" t="s">
        <v>148</v>
      </c>
      <c r="M5" s="983" t="s">
        <v>149</v>
      </c>
      <c r="N5" s="983" t="s">
        <v>150</v>
      </c>
      <c r="O5" s="983" t="s">
        <v>151</v>
      </c>
      <c r="P5" s="983" t="s">
        <v>150</v>
      </c>
      <c r="Q5" s="983" t="s">
        <v>152</v>
      </c>
      <c r="R5" s="1525"/>
      <c r="S5" s="1525"/>
      <c r="T5" s="1541"/>
    </row>
    <row r="6" spans="2:20" s="173" customFormat="1" ht="15.75" customHeight="1" collapsed="1" x14ac:dyDescent="0.2">
      <c r="B6" s="1710" t="s">
        <v>2468</v>
      </c>
      <c r="C6" s="1711"/>
      <c r="D6" s="1711"/>
      <c r="E6" s="1712"/>
      <c r="F6" s="1537" t="s">
        <v>154</v>
      </c>
      <c r="G6" s="1538"/>
      <c r="H6" s="1539"/>
      <c r="I6" s="1245"/>
      <c r="J6" s="1245"/>
      <c r="K6" s="1245"/>
      <c r="L6" s="1245"/>
      <c r="M6" s="1245"/>
      <c r="N6" s="1245"/>
      <c r="O6" s="1245"/>
      <c r="P6" s="1245"/>
      <c r="Q6" s="1245"/>
      <c r="R6" s="862" t="s">
        <v>155</v>
      </c>
      <c r="S6" s="863">
        <f>SUMIF(F9:F13,"Mandatory",S9:S13)</f>
        <v>0</v>
      </c>
      <c r="T6" s="862" t="s">
        <v>155</v>
      </c>
    </row>
    <row r="7" spans="2:20" s="173" customFormat="1" ht="14.25" customHeight="1" x14ac:dyDescent="0.2">
      <c r="B7" s="1713"/>
      <c r="C7" s="1714"/>
      <c r="D7" s="1714"/>
      <c r="E7" s="1715"/>
      <c r="F7" s="1537" t="s">
        <v>156</v>
      </c>
      <c r="G7" s="1538"/>
      <c r="H7" s="1539"/>
      <c r="I7" s="1299"/>
      <c r="J7" s="1299"/>
      <c r="K7" s="1299"/>
      <c r="L7" s="1299"/>
      <c r="M7" s="1299"/>
      <c r="N7" s="1299"/>
      <c r="O7" s="1299"/>
      <c r="P7" s="1299"/>
      <c r="Q7" s="1299"/>
      <c r="R7" s="864" t="s">
        <v>155</v>
      </c>
      <c r="S7" s="863">
        <f>SUMIF(F9:F13,"optional",S9:S13)</f>
        <v>0</v>
      </c>
      <c r="T7" s="940" t="s">
        <v>155</v>
      </c>
    </row>
    <row r="8" spans="2:20" x14ac:dyDescent="0.2">
      <c r="B8" s="926" t="s">
        <v>155</v>
      </c>
      <c r="C8" s="927" t="s">
        <v>155</v>
      </c>
      <c r="D8" s="927" t="s">
        <v>155</v>
      </c>
      <c r="E8" s="928"/>
      <c r="F8" s="929" t="s">
        <v>155</v>
      </c>
      <c r="G8" s="929" t="s">
        <v>155</v>
      </c>
      <c r="H8" s="929" t="s">
        <v>155</v>
      </c>
      <c r="I8" s="929"/>
      <c r="J8" s="929"/>
      <c r="K8" s="929"/>
      <c r="L8" s="929"/>
      <c r="M8" s="929"/>
      <c r="N8" s="929"/>
      <c r="O8" s="929"/>
      <c r="P8" s="929"/>
      <c r="Q8" s="929"/>
      <c r="R8" s="929" t="s">
        <v>155</v>
      </c>
      <c r="S8" s="929" t="s">
        <v>155</v>
      </c>
      <c r="T8" s="930" t="s">
        <v>155</v>
      </c>
    </row>
    <row r="9" spans="2:20" s="431" customFormat="1" ht="14.25" x14ac:dyDescent="0.25">
      <c r="B9" s="97"/>
      <c r="C9" s="958"/>
      <c r="D9" s="100"/>
      <c r="E9" s="98" t="s">
        <v>2469</v>
      </c>
      <c r="F9" s="902" t="s">
        <v>160</v>
      </c>
      <c r="G9" s="100"/>
      <c r="H9" s="101"/>
      <c r="I9" s="990"/>
      <c r="J9" s="990"/>
      <c r="K9" s="991">
        <f>I9*J9</f>
        <v>0</v>
      </c>
      <c r="L9" s="990"/>
      <c r="M9" s="990"/>
      <c r="N9" s="991">
        <f>L9*M9</f>
        <v>0</v>
      </c>
      <c r="O9" s="992"/>
      <c r="P9" s="990"/>
      <c r="Q9" s="992"/>
      <c r="R9" s="904">
        <f t="shared" ref="R9:R13" si="0">P9+N9+K9</f>
        <v>0</v>
      </c>
      <c r="S9" s="845">
        <f t="shared" ref="S9:S13" si="1">IF(F9="NA","",R9*H9)</f>
        <v>0</v>
      </c>
      <c r="T9" s="884"/>
    </row>
    <row r="10" spans="2:20" s="431" customFormat="1" ht="13.15" customHeight="1" x14ac:dyDescent="0.25">
      <c r="B10" s="97"/>
      <c r="C10" s="854"/>
      <c r="D10" s="100"/>
      <c r="E10" s="98"/>
      <c r="F10" s="902" t="s">
        <v>160</v>
      </c>
      <c r="G10" s="100"/>
      <c r="H10" s="101"/>
      <c r="I10" s="990"/>
      <c r="J10" s="990"/>
      <c r="K10" s="991">
        <f>I10*J10</f>
        <v>0</v>
      </c>
      <c r="L10" s="990"/>
      <c r="M10" s="990"/>
      <c r="N10" s="991">
        <f>L10*M10</f>
        <v>0</v>
      </c>
      <c r="O10" s="992"/>
      <c r="P10" s="990"/>
      <c r="Q10" s="992"/>
      <c r="R10" s="904">
        <f t="shared" si="0"/>
        <v>0</v>
      </c>
      <c r="S10" s="845">
        <f t="shared" si="1"/>
        <v>0</v>
      </c>
      <c r="T10" s="884"/>
    </row>
    <row r="11" spans="2:20" s="431" customFormat="1" ht="14.25" x14ac:dyDescent="0.25">
      <c r="B11" s="97"/>
      <c r="C11" s="854"/>
      <c r="D11" s="100"/>
      <c r="E11" s="98"/>
      <c r="F11" s="902" t="s">
        <v>160</v>
      </c>
      <c r="G11" s="100"/>
      <c r="H11" s="101"/>
      <c r="I11" s="990"/>
      <c r="J11" s="990"/>
      <c r="K11" s="991">
        <f>I11*J11</f>
        <v>0</v>
      </c>
      <c r="L11" s="990"/>
      <c r="M11" s="990"/>
      <c r="N11" s="991">
        <f>L11*M11</f>
        <v>0</v>
      </c>
      <c r="O11" s="992"/>
      <c r="P11" s="990"/>
      <c r="Q11" s="992"/>
      <c r="R11" s="904">
        <f t="shared" si="0"/>
        <v>0</v>
      </c>
      <c r="S11" s="845">
        <f t="shared" si="1"/>
        <v>0</v>
      </c>
      <c r="T11" s="884"/>
    </row>
    <row r="12" spans="2:20" s="431" customFormat="1" ht="14.25" x14ac:dyDescent="0.25">
      <c r="B12" s="919"/>
      <c r="C12" s="899"/>
      <c r="D12" s="900"/>
      <c r="E12" s="901"/>
      <c r="F12" s="902" t="s">
        <v>160</v>
      </c>
      <c r="G12" s="900"/>
      <c r="H12" s="903"/>
      <c r="I12" s="990"/>
      <c r="J12" s="990"/>
      <c r="K12" s="991">
        <f>I12*J12</f>
        <v>0</v>
      </c>
      <c r="L12" s="990"/>
      <c r="M12" s="990"/>
      <c r="N12" s="991">
        <f>L12*M12</f>
        <v>0</v>
      </c>
      <c r="O12" s="992"/>
      <c r="P12" s="990"/>
      <c r="Q12" s="992"/>
      <c r="R12" s="904">
        <f t="shared" si="0"/>
        <v>0</v>
      </c>
      <c r="S12" s="905">
        <f t="shared" si="1"/>
        <v>0</v>
      </c>
      <c r="T12" s="906"/>
    </row>
    <row r="13" spans="2:20" s="431" customFormat="1" ht="14.25" x14ac:dyDescent="0.25">
      <c r="B13" s="921"/>
      <c r="C13" s="907"/>
      <c r="D13" s="885"/>
      <c r="E13" s="888"/>
      <c r="F13" s="886" t="s">
        <v>167</v>
      </c>
      <c r="G13" s="885"/>
      <c r="H13" s="889"/>
      <c r="I13" s="990"/>
      <c r="J13" s="990"/>
      <c r="K13" s="991">
        <f>I13*J13</f>
        <v>0</v>
      </c>
      <c r="L13" s="990"/>
      <c r="M13" s="990"/>
      <c r="N13" s="991">
        <f>L13*M13</f>
        <v>0</v>
      </c>
      <c r="O13" s="992"/>
      <c r="P13" s="990"/>
      <c r="Q13" s="992"/>
      <c r="R13" s="904">
        <f t="shared" si="0"/>
        <v>0</v>
      </c>
      <c r="S13" s="891">
        <f t="shared" si="1"/>
        <v>0</v>
      </c>
      <c r="T13" s="892"/>
    </row>
  </sheetData>
  <mergeCells count="17">
    <mergeCell ref="S4:S5"/>
    <mergeCell ref="T4:T5"/>
    <mergeCell ref="B6:E7"/>
    <mergeCell ref="F6:H6"/>
    <mergeCell ref="F7:H7"/>
    <mergeCell ref="B2:T2"/>
    <mergeCell ref="B4:B5"/>
    <mergeCell ref="C4:C5"/>
    <mergeCell ref="D4:D5"/>
    <mergeCell ref="E4:E5"/>
    <mergeCell ref="F4:F5"/>
    <mergeCell ref="G4:G5"/>
    <mergeCell ref="H4:H5"/>
    <mergeCell ref="I4:K4"/>
    <mergeCell ref="L4:O4"/>
    <mergeCell ref="P4:Q4"/>
    <mergeCell ref="R4:R5"/>
  </mergeCells>
  <dataValidations count="2">
    <dataValidation type="list" allowBlank="1" showInputMessage="1" showErrorMessage="1" sqref="F9:F13" xr:uid="{441DAD10-A1BF-489B-8EEA-586BC3AC7D52}">
      <formula1>"Mandatory,Optional,NA"</formula1>
    </dataValidation>
    <dataValidation type="decimal" operator="greaterThanOrEqual" allowBlank="1" showInputMessage="1" showErrorMessage="1" sqref="P9:P13 I9:J13 L9:M13" xr:uid="{66E74D33-31A9-480E-9A1A-82961A71834A}">
      <formula1>0</formula1>
    </dataValidation>
  </dataValidations>
  <pageMargins left="0.75" right="0.75" top="1" bottom="1" header="0" footer="0"/>
  <pageSetup paperSize="9" orientation="portrait" r:id="rId1"/>
  <headerFooter alignWithMargins="0">
    <oddHeader>&amp;C&amp;"Arial"&amp;8&amp;K000000INTERNAL&amp;1#</oddHead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D7EC5D-B000-49BE-9792-4097D24554CF}">
  <sheetPr>
    <tabColor rgb="FF00B050"/>
  </sheetPr>
  <dimension ref="B2:K20"/>
  <sheetViews>
    <sheetView zoomScale="70" zoomScaleNormal="70" workbookViewId="0">
      <selection activeCell="G29" sqref="G29"/>
    </sheetView>
  </sheetViews>
  <sheetFormatPr defaultColWidth="11.5703125" defaultRowHeight="12.75" x14ac:dyDescent="0.25"/>
  <cols>
    <col min="1" max="1" width="4.42578125" style="431" customWidth="1"/>
    <col min="2" max="2" width="13.140625" style="431" customWidth="1"/>
    <col min="3" max="3" width="41.140625" style="180" customWidth="1"/>
    <col min="4" max="4" width="15.5703125" style="180" customWidth="1"/>
    <col min="5" max="5" width="60.140625" style="431" customWidth="1"/>
    <col min="6" max="6" width="20.85546875" style="180" customWidth="1"/>
    <col min="7" max="7" width="20.140625" style="180" bestFit="1" customWidth="1"/>
    <col min="8" max="9" width="11.5703125" style="431"/>
    <col min="10" max="10" width="13.85546875" style="431" bestFit="1" customWidth="1"/>
    <col min="11" max="16384" width="11.5703125" style="431"/>
  </cols>
  <sheetData>
    <row r="2" spans="2:11" ht="15.75" x14ac:dyDescent="0.25">
      <c r="B2" s="1718" t="s">
        <v>65</v>
      </c>
      <c r="C2" s="1718"/>
      <c r="D2" s="1718"/>
      <c r="E2" s="1718"/>
      <c r="F2" s="1718"/>
      <c r="G2" s="1718"/>
      <c r="H2" s="1718"/>
      <c r="I2" s="1718"/>
      <c r="J2" s="1718"/>
      <c r="K2" s="1718"/>
    </row>
    <row r="3" spans="2:11" ht="15.75" thickBot="1" x14ac:dyDescent="0.3">
      <c r="B3" s="27"/>
      <c r="C3" s="26"/>
      <c r="D3" s="26"/>
      <c r="E3" s="28"/>
      <c r="F3" s="84"/>
      <c r="G3" s="29"/>
    </row>
    <row r="4" spans="2:11" s="172" customFormat="1" ht="33.75" customHeight="1" x14ac:dyDescent="0.25">
      <c r="B4" s="1340" t="s">
        <v>186</v>
      </c>
      <c r="C4" s="1341" t="s">
        <v>136</v>
      </c>
      <c r="D4" s="1341" t="s">
        <v>137</v>
      </c>
      <c r="E4" s="709" t="s">
        <v>187</v>
      </c>
      <c r="F4" s="939" t="s">
        <v>139</v>
      </c>
      <c r="G4" s="539" t="s">
        <v>140</v>
      </c>
      <c r="H4" s="539" t="s">
        <v>141</v>
      </c>
      <c r="I4" s="539" t="s">
        <v>145</v>
      </c>
      <c r="J4" s="539" t="s">
        <v>146</v>
      </c>
      <c r="K4" s="539" t="s">
        <v>147</v>
      </c>
    </row>
    <row r="5" spans="2:11" s="1093" customFormat="1" ht="15" customHeight="1" collapsed="1" x14ac:dyDescent="0.25">
      <c r="B5" s="1719" t="s">
        <v>65</v>
      </c>
      <c r="C5" s="1720"/>
      <c r="D5" s="1720"/>
      <c r="E5" s="1721"/>
      <c r="F5" s="1725" t="s">
        <v>154</v>
      </c>
      <c r="G5" s="1726"/>
      <c r="H5" s="1726"/>
      <c r="I5" s="1727"/>
      <c r="J5" s="1342">
        <f>SUMIF(F7:F17,"Mandatory",J7:J17)</f>
        <v>52060.219591199173</v>
      </c>
      <c r="K5" s="1343"/>
    </row>
    <row r="6" spans="2:11" s="1093" customFormat="1" ht="14.25" customHeight="1" x14ac:dyDescent="0.25">
      <c r="B6" s="1722"/>
      <c r="C6" s="1723"/>
      <c r="D6" s="1723"/>
      <c r="E6" s="1724"/>
      <c r="F6" s="1728" t="s">
        <v>156</v>
      </c>
      <c r="G6" s="1729"/>
      <c r="H6" s="1729"/>
      <c r="I6" s="1730"/>
      <c r="J6" s="1032">
        <f>SUMIF(F7:F17,"optional",J7:J17)</f>
        <v>0</v>
      </c>
      <c r="K6" s="1344"/>
    </row>
    <row r="7" spans="2:11" ht="33" customHeight="1" x14ac:dyDescent="0.25">
      <c r="B7" s="1195"/>
      <c r="C7" s="1198"/>
      <c r="D7" s="1197"/>
      <c r="E7" s="1198" t="s">
        <v>2470</v>
      </c>
      <c r="F7" s="1345" t="s">
        <v>160</v>
      </c>
      <c r="G7" s="1197" t="s">
        <v>161</v>
      </c>
      <c r="H7" s="1200">
        <v>1</v>
      </c>
      <c r="I7" s="1346">
        <v>52060.219591199173</v>
      </c>
      <c r="J7" s="1292">
        <f>IF(F7="NA","",H7*I7)</f>
        <v>52060.219591199173</v>
      </c>
      <c r="K7" s="1202"/>
    </row>
    <row r="8" spans="2:11" ht="14.25" customHeight="1" x14ac:dyDescent="0.25">
      <c r="B8" s="97"/>
      <c r="C8" s="98"/>
      <c r="D8" s="100"/>
      <c r="E8" s="98"/>
      <c r="F8" s="855" t="s">
        <v>160</v>
      </c>
      <c r="G8" s="100" t="s">
        <v>161</v>
      </c>
      <c r="H8" s="1112"/>
      <c r="I8" s="1347"/>
      <c r="J8" s="1194">
        <f t="shared" ref="J8:J17" si="0">IF(F8="NA","",H8*I8)</f>
        <v>0</v>
      </c>
      <c r="K8" s="884"/>
    </row>
    <row r="9" spans="2:11" ht="14.25" customHeight="1" x14ac:dyDescent="0.25">
      <c r="B9" s="97"/>
      <c r="C9" s="98"/>
      <c r="D9" s="100"/>
      <c r="E9" s="98"/>
      <c r="F9" s="855" t="s">
        <v>167</v>
      </c>
      <c r="G9" s="100" t="s">
        <v>161</v>
      </c>
      <c r="H9" s="1112"/>
      <c r="I9" s="1347"/>
      <c r="J9" s="1194">
        <f t="shared" si="0"/>
        <v>0</v>
      </c>
      <c r="K9" s="884"/>
    </row>
    <row r="10" spans="2:11" ht="14.25" customHeight="1" x14ac:dyDescent="0.25">
      <c r="B10" s="97"/>
      <c r="C10" s="98"/>
      <c r="D10" s="100"/>
      <c r="E10" s="98"/>
      <c r="F10" s="855" t="s">
        <v>167</v>
      </c>
      <c r="G10" s="100" t="s">
        <v>161</v>
      </c>
      <c r="H10" s="1112"/>
      <c r="I10" s="1347"/>
      <c r="J10" s="1194">
        <f t="shared" si="0"/>
        <v>0</v>
      </c>
      <c r="K10" s="884"/>
    </row>
    <row r="11" spans="2:11" ht="14.25" customHeight="1" x14ac:dyDescent="0.25">
      <c r="B11" s="97"/>
      <c r="C11" s="98"/>
      <c r="D11" s="100"/>
      <c r="E11" s="98"/>
      <c r="F11" s="855" t="s">
        <v>160</v>
      </c>
      <c r="G11" s="100" t="s">
        <v>161</v>
      </c>
      <c r="H11" s="1112"/>
      <c r="I11" s="1347"/>
      <c r="J11" s="1194">
        <f t="shared" si="0"/>
        <v>0</v>
      </c>
      <c r="K11" s="884"/>
    </row>
    <row r="12" spans="2:11" ht="14.25" customHeight="1" x14ac:dyDescent="0.25">
      <c r="B12" s="97"/>
      <c r="C12" s="98"/>
      <c r="D12" s="100"/>
      <c r="E12" s="98"/>
      <c r="F12" s="855" t="s">
        <v>160</v>
      </c>
      <c r="G12" s="100" t="s">
        <v>161</v>
      </c>
      <c r="H12" s="1112"/>
      <c r="I12" s="1347"/>
      <c r="J12" s="1194">
        <f t="shared" si="0"/>
        <v>0</v>
      </c>
      <c r="K12" s="884"/>
    </row>
    <row r="13" spans="2:11" ht="14.25" customHeight="1" x14ac:dyDescent="0.25">
      <c r="B13" s="97"/>
      <c r="C13" s="98"/>
      <c r="D13" s="100"/>
      <c r="E13" s="98"/>
      <c r="F13" s="855" t="s">
        <v>160</v>
      </c>
      <c r="G13" s="100" t="s">
        <v>237</v>
      </c>
      <c r="H13" s="1112"/>
      <c r="I13" s="1347"/>
      <c r="J13" s="1194">
        <f t="shared" si="0"/>
        <v>0</v>
      </c>
      <c r="K13" s="884"/>
    </row>
    <row r="14" spans="2:11" ht="14.25" customHeight="1" x14ac:dyDescent="0.25">
      <c r="B14" s="97"/>
      <c r="C14" s="98"/>
      <c r="D14" s="100"/>
      <c r="E14" s="98"/>
      <c r="F14" s="855" t="s">
        <v>167</v>
      </c>
      <c r="G14" s="100" t="s">
        <v>240</v>
      </c>
      <c r="H14" s="1112"/>
      <c r="I14" s="1347"/>
      <c r="J14" s="1194">
        <f t="shared" si="0"/>
        <v>0</v>
      </c>
      <c r="K14" s="884"/>
    </row>
    <row r="15" spans="2:11" ht="14.25" customHeight="1" x14ac:dyDescent="0.25">
      <c r="B15" s="97"/>
      <c r="C15" s="98"/>
      <c r="D15" s="100"/>
      <c r="E15" s="98"/>
      <c r="F15" s="855" t="s">
        <v>160</v>
      </c>
      <c r="G15" s="100" t="s">
        <v>237</v>
      </c>
      <c r="H15" s="1112"/>
      <c r="I15" s="1347"/>
      <c r="J15" s="1194">
        <f t="shared" si="0"/>
        <v>0</v>
      </c>
      <c r="K15" s="884"/>
    </row>
    <row r="16" spans="2:11" ht="14.25" customHeight="1" x14ac:dyDescent="0.25">
      <c r="B16" s="97"/>
      <c r="C16" s="98"/>
      <c r="D16" s="100"/>
      <c r="E16" s="98"/>
      <c r="F16" s="855" t="s">
        <v>160</v>
      </c>
      <c r="G16" s="100" t="s">
        <v>161</v>
      </c>
      <c r="H16" s="1112"/>
      <c r="I16" s="1347"/>
      <c r="J16" s="1194">
        <f t="shared" si="0"/>
        <v>0</v>
      </c>
      <c r="K16" s="884"/>
    </row>
    <row r="17" spans="2:11" ht="14.25" customHeight="1" x14ac:dyDescent="0.25">
      <c r="B17" s="921"/>
      <c r="C17" s="888"/>
      <c r="D17" s="885"/>
      <c r="E17" s="888"/>
      <c r="F17" s="886" t="s">
        <v>167</v>
      </c>
      <c r="G17" s="885" t="s">
        <v>161</v>
      </c>
      <c r="H17" s="1113"/>
      <c r="I17" s="1348"/>
      <c r="J17" s="1205">
        <f t="shared" si="0"/>
        <v>0</v>
      </c>
      <c r="K17" s="892"/>
    </row>
    <row r="20" spans="2:11" x14ac:dyDescent="0.25">
      <c r="E20" s="1349" t="s">
        <v>695</v>
      </c>
    </row>
  </sheetData>
  <mergeCells count="4">
    <mergeCell ref="B2:K2"/>
    <mergeCell ref="B5:E6"/>
    <mergeCell ref="F5:I5"/>
    <mergeCell ref="F6:I6"/>
  </mergeCells>
  <dataValidations count="1">
    <dataValidation type="list" allowBlank="1" showInputMessage="1" showErrorMessage="1" sqref="F7:F17" xr:uid="{52975D54-D9E6-47CB-A469-5A9B5B41BCD2}">
      <formula1>"Mandatory,Optional,NA"</formula1>
    </dataValidation>
  </dataValidations>
  <pageMargins left="0.75" right="0.75" top="1" bottom="1" header="0" footer="0"/>
  <pageSetup paperSize="9" orientation="portrait" r:id="rId1"/>
  <headerFooter alignWithMargins="0">
    <oddHeader>&amp;C&amp;"Arial"&amp;8&amp;K000000INTERNAL&amp;1#</oddHead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FFB34-6558-454A-B0D1-8967BE6E34CC}">
  <sheetPr>
    <tabColor rgb="FF00B050"/>
  </sheetPr>
  <dimension ref="A1:C27"/>
  <sheetViews>
    <sheetView zoomScale="85" zoomScaleNormal="85" workbookViewId="0">
      <selection activeCell="J6" sqref="J6"/>
    </sheetView>
  </sheetViews>
  <sheetFormatPr defaultColWidth="9.140625" defaultRowHeight="15" x14ac:dyDescent="0.25"/>
  <cols>
    <col min="2" max="2" width="52.42578125" bestFit="1" customWidth="1"/>
    <col min="3" max="3" width="43.7109375" bestFit="1" customWidth="1"/>
  </cols>
  <sheetData>
    <row r="1" spans="1:3" x14ac:dyDescent="0.25">
      <c r="A1" s="790" t="s">
        <v>2471</v>
      </c>
      <c r="B1" s="790" t="s">
        <v>2472</v>
      </c>
      <c r="C1" s="790" t="s">
        <v>2473</v>
      </c>
    </row>
    <row r="2" spans="1:3" x14ac:dyDescent="0.25">
      <c r="A2" s="540" t="s">
        <v>2474</v>
      </c>
      <c r="B2" s="796" t="s">
        <v>158</v>
      </c>
      <c r="C2" s="540" t="s">
        <v>2475</v>
      </c>
    </row>
    <row r="3" spans="1:3" x14ac:dyDescent="0.25">
      <c r="A3" s="540" t="s">
        <v>2476</v>
      </c>
      <c r="B3" s="540" t="s">
        <v>158</v>
      </c>
      <c r="C3" s="540" t="s">
        <v>2477</v>
      </c>
    </row>
    <row r="4" spans="1:3" x14ac:dyDescent="0.25">
      <c r="A4" s="540" t="s">
        <v>2478</v>
      </c>
      <c r="B4" s="540" t="s">
        <v>158</v>
      </c>
      <c r="C4" s="540" t="s">
        <v>2479</v>
      </c>
    </row>
    <row r="5" spans="1:3" x14ac:dyDescent="0.25">
      <c r="A5" s="540" t="s">
        <v>2480</v>
      </c>
      <c r="B5" s="540" t="s">
        <v>158</v>
      </c>
      <c r="C5" s="540" t="s">
        <v>2481</v>
      </c>
    </row>
    <row r="6" spans="1:3" x14ac:dyDescent="0.25">
      <c r="A6" s="540" t="s">
        <v>2482</v>
      </c>
      <c r="B6" s="540" t="s">
        <v>158</v>
      </c>
      <c r="C6" s="540" t="s">
        <v>2483</v>
      </c>
    </row>
    <row r="7" spans="1:3" x14ac:dyDescent="0.25">
      <c r="A7" s="540" t="s">
        <v>2484</v>
      </c>
      <c r="B7" s="540" t="s">
        <v>158</v>
      </c>
      <c r="C7" s="540" t="s">
        <v>2485</v>
      </c>
    </row>
    <row r="8" spans="1:3" x14ac:dyDescent="0.25">
      <c r="A8" s="540" t="s">
        <v>2486</v>
      </c>
      <c r="B8" s="540" t="s">
        <v>158</v>
      </c>
      <c r="C8" s="540" t="s">
        <v>2487</v>
      </c>
    </row>
    <row r="9" spans="1:3" x14ac:dyDescent="0.25">
      <c r="A9" s="540" t="s">
        <v>2488</v>
      </c>
      <c r="B9" s="540" t="s">
        <v>158</v>
      </c>
      <c r="C9" s="540" t="s">
        <v>2489</v>
      </c>
    </row>
    <row r="10" spans="1:3" x14ac:dyDescent="0.25">
      <c r="A10" s="540" t="s">
        <v>2490</v>
      </c>
      <c r="B10" s="540" t="s">
        <v>158</v>
      </c>
      <c r="C10" s="540" t="s">
        <v>2491</v>
      </c>
    </row>
    <row r="11" spans="1:3" x14ac:dyDescent="0.25">
      <c r="A11" s="540" t="s">
        <v>2492</v>
      </c>
      <c r="B11" s="540" t="s">
        <v>158</v>
      </c>
      <c r="C11" s="540" t="s">
        <v>2493</v>
      </c>
    </row>
    <row r="12" spans="1:3" x14ac:dyDescent="0.25">
      <c r="A12" s="540" t="s">
        <v>2494</v>
      </c>
      <c r="B12" s="540" t="s">
        <v>158</v>
      </c>
      <c r="C12" s="540" t="s">
        <v>2495</v>
      </c>
    </row>
    <row r="13" spans="1:3" x14ac:dyDescent="0.25">
      <c r="A13" s="540" t="s">
        <v>2496</v>
      </c>
      <c r="B13" s="540" t="s">
        <v>158</v>
      </c>
      <c r="C13" s="540" t="s">
        <v>2497</v>
      </c>
    </row>
    <row r="14" spans="1:3" x14ac:dyDescent="0.25">
      <c r="A14" s="540" t="s">
        <v>2498</v>
      </c>
      <c r="B14" s="540" t="s">
        <v>158</v>
      </c>
      <c r="C14" s="540" t="s">
        <v>2499</v>
      </c>
    </row>
    <row r="15" spans="1:3" ht="28.5" customHeight="1" x14ac:dyDescent="0.25">
      <c r="A15" s="859" t="s">
        <v>2500</v>
      </c>
      <c r="B15" s="859" t="s">
        <v>1608</v>
      </c>
      <c r="C15" s="786" t="s">
        <v>2501</v>
      </c>
    </row>
    <row r="16" spans="1:3" x14ac:dyDescent="0.25">
      <c r="A16" s="540" t="s">
        <v>2502</v>
      </c>
      <c r="B16" s="540" t="s">
        <v>158</v>
      </c>
      <c r="C16" s="540" t="s">
        <v>2503</v>
      </c>
    </row>
    <row r="17" spans="1:3" x14ac:dyDescent="0.25">
      <c r="A17" s="540" t="s">
        <v>2504</v>
      </c>
      <c r="B17" s="540" t="s">
        <v>158</v>
      </c>
      <c r="C17" s="540" t="s">
        <v>2505</v>
      </c>
    </row>
    <row r="18" spans="1:3" x14ac:dyDescent="0.25">
      <c r="A18" s="540" t="s">
        <v>2506</v>
      </c>
      <c r="B18" s="540" t="s">
        <v>158</v>
      </c>
      <c r="C18" s="860" t="s">
        <v>2507</v>
      </c>
    </row>
    <row r="19" spans="1:3" x14ac:dyDescent="0.25">
      <c r="A19" s="540" t="s">
        <v>2508</v>
      </c>
      <c r="B19" s="540" t="s">
        <v>158</v>
      </c>
      <c r="C19" s="540" t="s">
        <v>2509</v>
      </c>
    </row>
    <row r="20" spans="1:3" x14ac:dyDescent="0.25">
      <c r="A20" s="540" t="s">
        <v>2510</v>
      </c>
      <c r="B20" s="540" t="s">
        <v>2511</v>
      </c>
      <c r="C20" s="540" t="s">
        <v>2512</v>
      </c>
    </row>
    <row r="21" spans="1:3" x14ac:dyDescent="0.25">
      <c r="A21" s="540" t="s">
        <v>2513</v>
      </c>
      <c r="B21" s="540" t="s">
        <v>2511</v>
      </c>
      <c r="C21" s="540" t="s">
        <v>2514</v>
      </c>
    </row>
    <row r="22" spans="1:3" x14ac:dyDescent="0.25">
      <c r="A22" s="540" t="s">
        <v>2515</v>
      </c>
      <c r="B22" s="540" t="s">
        <v>2511</v>
      </c>
      <c r="C22" s="540" t="s">
        <v>2516</v>
      </c>
    </row>
    <row r="23" spans="1:3" x14ac:dyDescent="0.25">
      <c r="A23" s="540" t="s">
        <v>2517</v>
      </c>
      <c r="B23" s="540" t="s">
        <v>2511</v>
      </c>
      <c r="C23" s="540" t="s">
        <v>2518</v>
      </c>
    </row>
    <row r="24" spans="1:3" x14ac:dyDescent="0.25">
      <c r="A24" s="540" t="s">
        <v>2519</v>
      </c>
      <c r="B24" s="540" t="s">
        <v>158</v>
      </c>
      <c r="C24" s="540" t="s">
        <v>2520</v>
      </c>
    </row>
    <row r="25" spans="1:3" x14ac:dyDescent="0.25">
      <c r="A25" s="540" t="s">
        <v>2521</v>
      </c>
      <c r="B25" s="540" t="s">
        <v>158</v>
      </c>
      <c r="C25" s="540" t="s">
        <v>2522</v>
      </c>
    </row>
    <row r="26" spans="1:3" x14ac:dyDescent="0.25">
      <c r="A26" s="540" t="s">
        <v>2523</v>
      </c>
      <c r="B26" s="540" t="s">
        <v>158</v>
      </c>
      <c r="C26" s="540" t="s">
        <v>2524</v>
      </c>
    </row>
    <row r="27" spans="1:3" x14ac:dyDescent="0.25">
      <c r="A27" s="540" t="s">
        <v>2525</v>
      </c>
      <c r="B27" s="540" t="s">
        <v>2526</v>
      </c>
      <c r="C27" s="540" t="s">
        <v>2527</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1B253-7941-45DF-84CC-C28D4F9BD461}">
  <sheetPr>
    <tabColor rgb="FF00B050"/>
  </sheetPr>
  <dimension ref="B2:K75"/>
  <sheetViews>
    <sheetView showGridLines="0" topLeftCell="A6" zoomScale="55" zoomScaleNormal="55" zoomScaleSheetLayoutView="90" workbookViewId="0">
      <selection activeCell="J6" sqref="J6"/>
    </sheetView>
  </sheetViews>
  <sheetFormatPr defaultColWidth="11.5703125" defaultRowHeight="12.75" x14ac:dyDescent="0.2"/>
  <cols>
    <col min="1" max="1" width="3.7109375" style="171" customWidth="1"/>
    <col min="2" max="2" width="15.28515625" style="171" customWidth="1"/>
    <col min="3" max="3" width="30.7109375" style="180" customWidth="1"/>
    <col min="4" max="4" width="16.5703125" style="180" bestFit="1" customWidth="1"/>
    <col min="5" max="5" width="94" style="171" customWidth="1"/>
    <col min="6" max="6" width="15.7109375" style="180" bestFit="1" customWidth="1"/>
    <col min="7" max="7" width="16.28515625" style="180" customWidth="1"/>
    <col min="8" max="8" width="15.7109375" style="171" bestFit="1" customWidth="1"/>
    <col min="9" max="16384" width="11.5703125" style="171"/>
  </cols>
  <sheetData>
    <row r="2" spans="2:11" ht="15.75" x14ac:dyDescent="0.2">
      <c r="B2" s="124"/>
      <c r="C2" s="20"/>
      <c r="D2" s="20"/>
      <c r="E2" s="21" t="s">
        <v>2528</v>
      </c>
      <c r="F2" s="23"/>
      <c r="G2" s="22"/>
      <c r="H2" s="22"/>
      <c r="I2" s="22"/>
      <c r="J2" s="22"/>
      <c r="K2" s="22"/>
    </row>
    <row r="3" spans="2:11" ht="15.75" thickBot="1" x14ac:dyDescent="0.25">
      <c r="B3" s="121"/>
      <c r="C3" s="26"/>
      <c r="D3" s="26"/>
      <c r="E3" s="28"/>
      <c r="F3" s="30"/>
      <c r="G3" s="29"/>
      <c r="H3" s="29"/>
    </row>
    <row r="4" spans="2:11" s="126" customFormat="1" ht="24.75" customHeight="1" x14ac:dyDescent="0.25">
      <c r="B4" s="1191" t="s">
        <v>186</v>
      </c>
      <c r="C4" s="1048" t="s">
        <v>136</v>
      </c>
      <c r="D4" s="1048" t="s">
        <v>137</v>
      </c>
      <c r="E4" s="1091" t="s">
        <v>187</v>
      </c>
      <c r="F4" s="160" t="s">
        <v>139</v>
      </c>
      <c r="G4" s="539" t="s">
        <v>140</v>
      </c>
      <c r="H4" s="1054" t="s">
        <v>141</v>
      </c>
      <c r="I4" s="1054" t="s">
        <v>145</v>
      </c>
      <c r="J4" s="1054" t="s">
        <v>146</v>
      </c>
      <c r="K4" s="1054" t="s">
        <v>147</v>
      </c>
    </row>
    <row r="5" spans="2:11" s="173" customFormat="1" ht="14.25" customHeight="1" collapsed="1" x14ac:dyDescent="0.2">
      <c r="B5" s="1542" t="s">
        <v>2528</v>
      </c>
      <c r="C5" s="1543"/>
      <c r="D5" s="1543"/>
      <c r="E5" s="1548"/>
      <c r="F5" s="1502" t="s">
        <v>154</v>
      </c>
      <c r="G5" s="1503"/>
      <c r="H5" s="1503"/>
      <c r="I5" s="1504"/>
      <c r="J5" s="863">
        <f>SUMIF(F8:F75,"Mandatory",J8:J75)</f>
        <v>0</v>
      </c>
      <c r="K5" s="863"/>
    </row>
    <row r="6" spans="2:11" s="173" customFormat="1" ht="14.25" customHeight="1" x14ac:dyDescent="0.2">
      <c r="B6" s="1544"/>
      <c r="C6" s="1545"/>
      <c r="D6" s="1545"/>
      <c r="E6" s="1549"/>
      <c r="F6" s="1502" t="s">
        <v>156</v>
      </c>
      <c r="G6" s="1503"/>
      <c r="H6" s="1503"/>
      <c r="I6" s="1504"/>
      <c r="J6" s="863">
        <f>SUMIF(F8:F75,"Optional",J8:J75)</f>
        <v>0</v>
      </c>
      <c r="K6" s="918"/>
    </row>
    <row r="7" spans="2:11" s="431" customFormat="1" ht="14.25" customHeight="1" x14ac:dyDescent="0.25">
      <c r="B7" s="1731" t="s">
        <v>2529</v>
      </c>
      <c r="C7" s="1732"/>
      <c r="D7" s="1732"/>
      <c r="E7" s="1732"/>
      <c r="F7" s="1177"/>
      <c r="G7" s="1177"/>
      <c r="H7" s="1177"/>
      <c r="I7" s="1177"/>
      <c r="J7" s="1177"/>
      <c r="K7" s="1178"/>
    </row>
    <row r="8" spans="2:11" s="431" customFormat="1" x14ac:dyDescent="0.25">
      <c r="B8" s="97"/>
      <c r="C8" s="1192"/>
      <c r="D8" s="100"/>
      <c r="E8" s="98" t="s">
        <v>2530</v>
      </c>
      <c r="F8" s="1193" t="s">
        <v>167</v>
      </c>
      <c r="G8" s="100" t="s">
        <v>2531</v>
      </c>
      <c r="H8" s="1112"/>
      <c r="I8" s="102"/>
      <c r="J8" s="1194">
        <f>IF(F8="NA","",H8*I8)</f>
        <v>0</v>
      </c>
      <c r="K8" s="884"/>
    </row>
    <row r="9" spans="2:11" s="431" customFormat="1" x14ac:dyDescent="0.25">
      <c r="B9" s="97"/>
      <c r="C9" s="1192"/>
      <c r="D9" s="100"/>
      <c r="E9" s="98" t="s">
        <v>2532</v>
      </c>
      <c r="F9" s="1193" t="s">
        <v>167</v>
      </c>
      <c r="G9" s="100" t="s">
        <v>2531</v>
      </c>
      <c r="H9" s="1112"/>
      <c r="I9" s="102"/>
      <c r="J9" s="1194">
        <f t="shared" ref="J9:J17" si="0">IF(F9="NA","",H9*I9)</f>
        <v>0</v>
      </c>
      <c r="K9" s="884"/>
    </row>
    <row r="10" spans="2:11" s="431" customFormat="1" x14ac:dyDescent="0.25">
      <c r="B10" s="97"/>
      <c r="C10" s="1192"/>
      <c r="D10" s="100"/>
      <c r="E10" s="98" t="s">
        <v>2533</v>
      </c>
      <c r="F10" s="1193" t="s">
        <v>167</v>
      </c>
      <c r="G10" s="100" t="s">
        <v>2531</v>
      </c>
      <c r="H10" s="1112"/>
      <c r="I10" s="102"/>
      <c r="J10" s="1194">
        <f t="shared" si="0"/>
        <v>0</v>
      </c>
      <c r="K10" s="884"/>
    </row>
    <row r="11" spans="2:11" s="431" customFormat="1" x14ac:dyDescent="0.25">
      <c r="B11" s="97"/>
      <c r="C11" s="1192"/>
      <c r="D11" s="100"/>
      <c r="E11" s="98" t="s">
        <v>2534</v>
      </c>
      <c r="F11" s="1193" t="s">
        <v>167</v>
      </c>
      <c r="G11" s="100" t="s">
        <v>2531</v>
      </c>
      <c r="H11" s="1112"/>
      <c r="I11" s="102"/>
      <c r="J11" s="1194">
        <f t="shared" si="0"/>
        <v>0</v>
      </c>
      <c r="K11" s="884"/>
    </row>
    <row r="12" spans="2:11" s="431" customFormat="1" x14ac:dyDescent="0.25">
      <c r="B12" s="97"/>
      <c r="C12" s="1192"/>
      <c r="D12" s="100"/>
      <c r="E12" s="98" t="s">
        <v>2535</v>
      </c>
      <c r="F12" s="1193" t="s">
        <v>167</v>
      </c>
      <c r="G12" s="100" t="s">
        <v>2531</v>
      </c>
      <c r="H12" s="1112"/>
      <c r="I12" s="102"/>
      <c r="J12" s="1194">
        <f t="shared" si="0"/>
        <v>0</v>
      </c>
      <c r="K12" s="884"/>
    </row>
    <row r="13" spans="2:11" s="431" customFormat="1" x14ac:dyDescent="0.25">
      <c r="B13" s="97"/>
      <c r="C13" s="1192"/>
      <c r="D13" s="100"/>
      <c r="E13" s="98" t="s">
        <v>2536</v>
      </c>
      <c r="F13" s="1193" t="s">
        <v>167</v>
      </c>
      <c r="G13" s="100" t="s">
        <v>2531</v>
      </c>
      <c r="H13" s="1112"/>
      <c r="I13" s="102"/>
      <c r="J13" s="1194">
        <f t="shared" si="0"/>
        <v>0</v>
      </c>
      <c r="K13" s="884"/>
    </row>
    <row r="14" spans="2:11" s="431" customFormat="1" x14ac:dyDescent="0.25">
      <c r="B14" s="97"/>
      <c r="C14" s="1192"/>
      <c r="D14" s="100"/>
      <c r="E14" s="98" t="s">
        <v>2537</v>
      </c>
      <c r="F14" s="1193" t="s">
        <v>167</v>
      </c>
      <c r="G14" s="100" t="s">
        <v>2531</v>
      </c>
      <c r="H14" s="1112"/>
      <c r="I14" s="102"/>
      <c r="J14" s="1194">
        <f t="shared" si="0"/>
        <v>0</v>
      </c>
      <c r="K14" s="884"/>
    </row>
    <row r="15" spans="2:11" s="431" customFormat="1" x14ac:dyDescent="0.25">
      <c r="B15" s="97"/>
      <c r="C15" s="1192"/>
      <c r="D15" s="100"/>
      <c r="E15" s="98" t="s">
        <v>2538</v>
      </c>
      <c r="F15" s="1193" t="s">
        <v>167</v>
      </c>
      <c r="G15" s="100" t="s">
        <v>2531</v>
      </c>
      <c r="H15" s="1112"/>
      <c r="I15" s="102"/>
      <c r="J15" s="1194">
        <f t="shared" si="0"/>
        <v>0</v>
      </c>
      <c r="K15" s="884"/>
    </row>
    <row r="16" spans="2:11" s="431" customFormat="1" x14ac:dyDescent="0.25">
      <c r="B16" s="97"/>
      <c r="C16" s="1192"/>
      <c r="D16" s="100"/>
      <c r="E16" s="98" t="s">
        <v>2539</v>
      </c>
      <c r="F16" s="1193" t="s">
        <v>167</v>
      </c>
      <c r="G16" s="100" t="s">
        <v>2531</v>
      </c>
      <c r="H16" s="1112"/>
      <c r="I16" s="102"/>
      <c r="J16" s="1194">
        <f t="shared" si="0"/>
        <v>0</v>
      </c>
      <c r="K16" s="884"/>
    </row>
    <row r="17" spans="2:11" s="431" customFormat="1" x14ac:dyDescent="0.25">
      <c r="B17" s="97"/>
      <c r="C17" s="1192"/>
      <c r="D17" s="100"/>
      <c r="E17" s="98" t="s">
        <v>2540</v>
      </c>
      <c r="F17" s="1193" t="s">
        <v>167</v>
      </c>
      <c r="G17" s="100" t="s">
        <v>2541</v>
      </c>
      <c r="H17" s="1112"/>
      <c r="I17" s="102"/>
      <c r="J17" s="1194">
        <f t="shared" si="0"/>
        <v>0</v>
      </c>
      <c r="K17" s="884"/>
    </row>
    <row r="18" spans="2:11" s="431" customFormat="1" ht="14.25" customHeight="1" x14ac:dyDescent="0.25">
      <c r="B18" s="1731" t="s">
        <v>2542</v>
      </c>
      <c r="C18" s="1732"/>
      <c r="D18" s="1732"/>
      <c r="E18" s="1732"/>
      <c r="F18" s="1177"/>
      <c r="G18" s="1177"/>
      <c r="H18" s="1177"/>
      <c r="I18" s="1177"/>
      <c r="J18" s="1177"/>
      <c r="K18" s="1178"/>
    </row>
    <row r="19" spans="2:11" s="431" customFormat="1" x14ac:dyDescent="0.25">
      <c r="B19" s="1195"/>
      <c r="C19" s="1196"/>
      <c r="D19" s="1197"/>
      <c r="E19" s="1198" t="s">
        <v>2543</v>
      </c>
      <c r="F19" s="1199" t="s">
        <v>167</v>
      </c>
      <c r="G19" s="1197" t="s">
        <v>2541</v>
      </c>
      <c r="H19" s="1200"/>
      <c r="I19" s="1201"/>
      <c r="J19" s="1194">
        <f t="shared" ref="J19:J75" si="1">IF(F19="NA","",H19*I19)</f>
        <v>0</v>
      </c>
      <c r="K19" s="1202"/>
    </row>
    <row r="20" spans="2:11" s="431" customFormat="1" x14ac:dyDescent="0.25">
      <c r="B20" s="97"/>
      <c r="C20" s="1192"/>
      <c r="D20" s="100"/>
      <c r="E20" s="98" t="s">
        <v>2544</v>
      </c>
      <c r="F20" s="1193" t="s">
        <v>167</v>
      </c>
      <c r="G20" s="100" t="s">
        <v>2541</v>
      </c>
      <c r="H20" s="1112"/>
      <c r="I20" s="102"/>
      <c r="J20" s="1194">
        <f t="shared" si="1"/>
        <v>0</v>
      </c>
      <c r="K20" s="884"/>
    </row>
    <row r="21" spans="2:11" s="431" customFormat="1" x14ac:dyDescent="0.25">
      <c r="B21" s="97"/>
      <c r="C21" s="1192"/>
      <c r="D21" s="100"/>
      <c r="E21" s="98" t="s">
        <v>2545</v>
      </c>
      <c r="F21" s="1193" t="s">
        <v>167</v>
      </c>
      <c r="G21" s="100" t="s">
        <v>2541</v>
      </c>
      <c r="H21" s="1112"/>
      <c r="I21" s="102"/>
      <c r="J21" s="1194">
        <f t="shared" si="1"/>
        <v>0</v>
      </c>
      <c r="K21" s="884"/>
    </row>
    <row r="22" spans="2:11" s="431" customFormat="1" x14ac:dyDescent="0.25">
      <c r="B22" s="97"/>
      <c r="C22" s="1192"/>
      <c r="D22" s="100"/>
      <c r="E22" s="98" t="s">
        <v>2546</v>
      </c>
      <c r="F22" s="1193" t="s">
        <v>167</v>
      </c>
      <c r="G22" s="100" t="s">
        <v>2541</v>
      </c>
      <c r="H22" s="1112"/>
      <c r="I22" s="102"/>
      <c r="J22" s="1194">
        <f t="shared" si="1"/>
        <v>0</v>
      </c>
      <c r="K22" s="884"/>
    </row>
    <row r="23" spans="2:11" s="431" customFormat="1" x14ac:dyDescent="0.25">
      <c r="B23" s="97"/>
      <c r="C23" s="1192"/>
      <c r="D23" s="100"/>
      <c r="E23" s="98" t="s">
        <v>2547</v>
      </c>
      <c r="F23" s="1193" t="s">
        <v>167</v>
      </c>
      <c r="G23" s="100" t="s">
        <v>2541</v>
      </c>
      <c r="H23" s="1112"/>
      <c r="I23" s="102"/>
      <c r="J23" s="1194">
        <f t="shared" si="1"/>
        <v>0</v>
      </c>
      <c r="K23" s="884"/>
    </row>
    <row r="24" spans="2:11" s="431" customFormat="1" x14ac:dyDescent="0.25">
      <c r="B24" s="97"/>
      <c r="C24" s="1192"/>
      <c r="D24" s="100"/>
      <c r="E24" s="98" t="s">
        <v>2548</v>
      </c>
      <c r="F24" s="1193" t="s">
        <v>167</v>
      </c>
      <c r="G24" s="100" t="s">
        <v>2549</v>
      </c>
      <c r="H24" s="1112"/>
      <c r="I24" s="102"/>
      <c r="J24" s="1194">
        <f t="shared" si="1"/>
        <v>0</v>
      </c>
      <c r="K24" s="884"/>
    </row>
    <row r="25" spans="2:11" s="431" customFormat="1" x14ac:dyDescent="0.25">
      <c r="B25" s="97"/>
      <c r="C25" s="1192"/>
      <c r="D25" s="100"/>
      <c r="E25" s="98" t="s">
        <v>2550</v>
      </c>
      <c r="F25" s="1193" t="s">
        <v>167</v>
      </c>
      <c r="G25" s="100" t="s">
        <v>2549</v>
      </c>
      <c r="H25" s="1112"/>
      <c r="I25" s="102"/>
      <c r="J25" s="1194">
        <f t="shared" si="1"/>
        <v>0</v>
      </c>
      <c r="K25" s="884"/>
    </row>
    <row r="26" spans="2:11" s="431" customFormat="1" x14ac:dyDescent="0.25">
      <c r="B26" s="97"/>
      <c r="C26" s="1192"/>
      <c r="D26" s="100"/>
      <c r="E26" s="98" t="s">
        <v>2551</v>
      </c>
      <c r="F26" s="1193" t="s">
        <v>167</v>
      </c>
      <c r="G26" s="100" t="s">
        <v>2541</v>
      </c>
      <c r="H26" s="1112"/>
      <c r="I26" s="102"/>
      <c r="J26" s="1194">
        <f t="shared" si="1"/>
        <v>0</v>
      </c>
      <c r="K26" s="884"/>
    </row>
    <row r="27" spans="2:11" s="431" customFormat="1" x14ac:dyDescent="0.25">
      <c r="B27" s="97"/>
      <c r="C27" s="1192"/>
      <c r="D27" s="100"/>
      <c r="E27" s="98" t="s">
        <v>2552</v>
      </c>
      <c r="F27" s="1193" t="s">
        <v>167</v>
      </c>
      <c r="G27" s="100" t="s">
        <v>2541</v>
      </c>
      <c r="H27" s="1112"/>
      <c r="I27" s="102"/>
      <c r="J27" s="1194">
        <f t="shared" si="1"/>
        <v>0</v>
      </c>
      <c r="K27" s="884"/>
    </row>
    <row r="28" spans="2:11" s="431" customFormat="1" x14ac:dyDescent="0.25">
      <c r="B28" s="97"/>
      <c r="C28" s="1192"/>
      <c r="D28" s="100"/>
      <c r="E28" s="98" t="s">
        <v>2553</v>
      </c>
      <c r="F28" s="1193" t="s">
        <v>167</v>
      </c>
      <c r="G28" s="100" t="s">
        <v>2541</v>
      </c>
      <c r="H28" s="1112"/>
      <c r="I28" s="102"/>
      <c r="J28" s="1194">
        <f t="shared" si="1"/>
        <v>0</v>
      </c>
      <c r="K28" s="884"/>
    </row>
    <row r="29" spans="2:11" s="431" customFormat="1" x14ac:dyDescent="0.25">
      <c r="B29" s="97"/>
      <c r="C29" s="1192"/>
      <c r="D29" s="100"/>
      <c r="E29" s="98" t="s">
        <v>2554</v>
      </c>
      <c r="F29" s="1193" t="s">
        <v>167</v>
      </c>
      <c r="G29" s="100" t="s">
        <v>2541</v>
      </c>
      <c r="H29" s="1112"/>
      <c r="I29" s="102"/>
      <c r="J29" s="1194">
        <f t="shared" si="1"/>
        <v>0</v>
      </c>
      <c r="K29" s="884"/>
    </row>
    <row r="30" spans="2:11" s="431" customFormat="1" x14ac:dyDescent="0.25">
      <c r="B30" s="97"/>
      <c r="C30" s="1192"/>
      <c r="D30" s="100"/>
      <c r="E30" s="98" t="s">
        <v>2555</v>
      </c>
      <c r="F30" s="1193" t="s">
        <v>167</v>
      </c>
      <c r="G30" s="100" t="s">
        <v>2531</v>
      </c>
      <c r="H30" s="1112"/>
      <c r="I30" s="102"/>
      <c r="J30" s="1194">
        <f t="shared" si="1"/>
        <v>0</v>
      </c>
      <c r="K30" s="884"/>
    </row>
    <row r="31" spans="2:11" s="431" customFormat="1" x14ac:dyDescent="0.25">
      <c r="B31" s="97"/>
      <c r="C31" s="1192"/>
      <c r="D31" s="100"/>
      <c r="E31" s="98" t="s">
        <v>2556</v>
      </c>
      <c r="F31" s="1193" t="s">
        <v>167</v>
      </c>
      <c r="G31" s="100" t="s">
        <v>2531</v>
      </c>
      <c r="H31" s="1112"/>
      <c r="I31" s="102"/>
      <c r="J31" s="1194">
        <f t="shared" si="1"/>
        <v>0</v>
      </c>
      <c r="K31" s="884"/>
    </row>
    <row r="32" spans="2:11" s="431" customFormat="1" x14ac:dyDescent="0.25">
      <c r="B32" s="97"/>
      <c r="C32" s="1192"/>
      <c r="D32" s="100"/>
      <c r="E32" s="98" t="s">
        <v>2557</v>
      </c>
      <c r="F32" s="1193" t="s">
        <v>167</v>
      </c>
      <c r="G32" s="100" t="s">
        <v>2531</v>
      </c>
      <c r="H32" s="1112"/>
      <c r="I32" s="102"/>
      <c r="J32" s="1194">
        <f t="shared" si="1"/>
        <v>0</v>
      </c>
      <c r="K32" s="884"/>
    </row>
    <row r="33" spans="2:11" s="431" customFormat="1" x14ac:dyDescent="0.25">
      <c r="B33" s="97"/>
      <c r="C33" s="1192"/>
      <c r="D33" s="100"/>
      <c r="E33" s="98" t="s">
        <v>2558</v>
      </c>
      <c r="F33" s="1193" t="s">
        <v>167</v>
      </c>
      <c r="G33" s="100" t="s">
        <v>2531</v>
      </c>
      <c r="H33" s="1112"/>
      <c r="I33" s="102"/>
      <c r="J33" s="1194">
        <f t="shared" si="1"/>
        <v>0</v>
      </c>
      <c r="K33" s="884"/>
    </row>
    <row r="34" spans="2:11" s="431" customFormat="1" x14ac:dyDescent="0.25">
      <c r="B34" s="97"/>
      <c r="C34" s="1192"/>
      <c r="D34" s="100"/>
      <c r="E34" s="98" t="s">
        <v>2559</v>
      </c>
      <c r="F34" s="1193" t="s">
        <v>167</v>
      </c>
      <c r="G34" s="100" t="s">
        <v>2531</v>
      </c>
      <c r="H34" s="1112"/>
      <c r="I34" s="102"/>
      <c r="J34" s="1194">
        <f t="shared" si="1"/>
        <v>0</v>
      </c>
      <c r="K34" s="884"/>
    </row>
    <row r="35" spans="2:11" s="431" customFormat="1" x14ac:dyDescent="0.25">
      <c r="B35" s="97"/>
      <c r="C35" s="1192"/>
      <c r="D35" s="100"/>
      <c r="E35" s="98" t="s">
        <v>2560</v>
      </c>
      <c r="F35" s="1193" t="s">
        <v>167</v>
      </c>
      <c r="G35" s="100" t="s">
        <v>2531</v>
      </c>
      <c r="H35" s="1112"/>
      <c r="I35" s="102"/>
      <c r="J35" s="1194">
        <f t="shared" si="1"/>
        <v>0</v>
      </c>
      <c r="K35" s="884"/>
    </row>
    <row r="36" spans="2:11" s="431" customFormat="1" x14ac:dyDescent="0.25">
      <c r="B36" s="97"/>
      <c r="C36" s="1192"/>
      <c r="D36" s="100"/>
      <c r="E36" s="98" t="s">
        <v>2561</v>
      </c>
      <c r="F36" s="1193" t="s">
        <v>167</v>
      </c>
      <c r="G36" s="100" t="s">
        <v>2531</v>
      </c>
      <c r="H36" s="1112"/>
      <c r="I36" s="102"/>
      <c r="J36" s="1194">
        <f t="shared" si="1"/>
        <v>0</v>
      </c>
      <c r="K36" s="884"/>
    </row>
    <row r="37" spans="2:11" s="431" customFormat="1" x14ac:dyDescent="0.25">
      <c r="B37" s="97"/>
      <c r="C37" s="1192"/>
      <c r="D37" s="100"/>
      <c r="E37" s="98" t="s">
        <v>2562</v>
      </c>
      <c r="F37" s="1193" t="s">
        <v>167</v>
      </c>
      <c r="G37" s="100" t="s">
        <v>2531</v>
      </c>
      <c r="H37" s="1112"/>
      <c r="I37" s="102"/>
      <c r="J37" s="1194">
        <f t="shared" si="1"/>
        <v>0</v>
      </c>
      <c r="K37" s="884"/>
    </row>
    <row r="38" spans="2:11" s="431" customFormat="1" x14ac:dyDescent="0.25">
      <c r="B38" s="97"/>
      <c r="C38" s="1192"/>
      <c r="D38" s="100"/>
      <c r="E38" s="98" t="s">
        <v>2563</v>
      </c>
      <c r="F38" s="1193" t="s">
        <v>167</v>
      </c>
      <c r="G38" s="100" t="s">
        <v>2531</v>
      </c>
      <c r="H38" s="1112"/>
      <c r="I38" s="102"/>
      <c r="J38" s="1194">
        <f t="shared" si="1"/>
        <v>0</v>
      </c>
      <c r="K38" s="884"/>
    </row>
    <row r="39" spans="2:11" s="431" customFormat="1" x14ac:dyDescent="0.25">
      <c r="B39" s="97"/>
      <c r="C39" s="1192"/>
      <c r="D39" s="100"/>
      <c r="E39" s="98" t="s">
        <v>2564</v>
      </c>
      <c r="F39" s="1193" t="s">
        <v>167</v>
      </c>
      <c r="G39" s="100" t="s">
        <v>2541</v>
      </c>
      <c r="H39" s="1112"/>
      <c r="I39" s="102"/>
      <c r="J39" s="1194">
        <f t="shared" si="1"/>
        <v>0</v>
      </c>
      <c r="K39" s="884"/>
    </row>
    <row r="40" spans="2:11" s="431" customFormat="1" x14ac:dyDescent="0.25">
      <c r="B40" s="97"/>
      <c r="C40" s="1192"/>
      <c r="D40" s="100"/>
      <c r="E40" s="98" t="s">
        <v>2565</v>
      </c>
      <c r="F40" s="1193" t="s">
        <v>167</v>
      </c>
      <c r="G40" s="100" t="s">
        <v>2541</v>
      </c>
      <c r="H40" s="1112"/>
      <c r="I40" s="102"/>
      <c r="J40" s="1194">
        <f t="shared" si="1"/>
        <v>0</v>
      </c>
      <c r="K40" s="884"/>
    </row>
    <row r="41" spans="2:11" s="431" customFormat="1" x14ac:dyDescent="0.25">
      <c r="B41" s="97"/>
      <c r="C41" s="1192"/>
      <c r="D41" s="100"/>
      <c r="E41" s="98" t="s">
        <v>2566</v>
      </c>
      <c r="F41" s="1193" t="s">
        <v>167</v>
      </c>
      <c r="G41" s="100" t="s">
        <v>2541</v>
      </c>
      <c r="H41" s="1112"/>
      <c r="I41" s="102"/>
      <c r="J41" s="1194">
        <f t="shared" si="1"/>
        <v>0</v>
      </c>
      <c r="K41" s="884"/>
    </row>
    <row r="42" spans="2:11" s="431" customFormat="1" x14ac:dyDescent="0.25">
      <c r="B42" s="97"/>
      <c r="C42" s="1192"/>
      <c r="D42" s="100"/>
      <c r="E42" s="98" t="s">
        <v>2567</v>
      </c>
      <c r="F42" s="1193" t="s">
        <v>167</v>
      </c>
      <c r="G42" s="100" t="s">
        <v>2541</v>
      </c>
      <c r="H42" s="1112"/>
      <c r="I42" s="102"/>
      <c r="J42" s="1194">
        <f t="shared" si="1"/>
        <v>0</v>
      </c>
      <c r="K42" s="884"/>
    </row>
    <row r="43" spans="2:11" s="431" customFormat="1" x14ac:dyDescent="0.25">
      <c r="B43" s="97"/>
      <c r="C43" s="1192"/>
      <c r="D43" s="100"/>
      <c r="E43" s="98" t="s">
        <v>2568</v>
      </c>
      <c r="F43" s="1193" t="s">
        <v>167</v>
      </c>
      <c r="G43" s="100" t="s">
        <v>2541</v>
      </c>
      <c r="H43" s="1112"/>
      <c r="I43" s="102"/>
      <c r="J43" s="1194">
        <f t="shared" si="1"/>
        <v>0</v>
      </c>
      <c r="K43" s="884"/>
    </row>
    <row r="44" spans="2:11" s="431" customFormat="1" x14ac:dyDescent="0.25">
      <c r="B44" s="97"/>
      <c r="C44" s="1192"/>
      <c r="D44" s="100"/>
      <c r="E44" s="98" t="s">
        <v>2569</v>
      </c>
      <c r="F44" s="1193" t="s">
        <v>167</v>
      </c>
      <c r="G44" s="100" t="s">
        <v>2541</v>
      </c>
      <c r="H44" s="1112"/>
      <c r="I44" s="102"/>
      <c r="J44" s="1194">
        <f t="shared" si="1"/>
        <v>0</v>
      </c>
      <c r="K44" s="884"/>
    </row>
    <row r="45" spans="2:11" s="431" customFormat="1" x14ac:dyDescent="0.25">
      <c r="B45" s="97"/>
      <c r="C45" s="1192"/>
      <c r="D45" s="100"/>
      <c r="E45" s="98" t="s">
        <v>2570</v>
      </c>
      <c r="F45" s="1193" t="s">
        <v>167</v>
      </c>
      <c r="G45" s="100" t="s">
        <v>2541</v>
      </c>
      <c r="H45" s="1112"/>
      <c r="I45" s="102"/>
      <c r="J45" s="1194">
        <f t="shared" si="1"/>
        <v>0</v>
      </c>
      <c r="K45" s="884"/>
    </row>
    <row r="46" spans="2:11" s="431" customFormat="1" x14ac:dyDescent="0.25">
      <c r="B46" s="97"/>
      <c r="C46" s="1192"/>
      <c r="D46" s="100"/>
      <c r="E46" s="98" t="s">
        <v>2571</v>
      </c>
      <c r="F46" s="1193" t="s">
        <v>167</v>
      </c>
      <c r="G46" s="100" t="s">
        <v>2541</v>
      </c>
      <c r="H46" s="1112"/>
      <c r="I46" s="102"/>
      <c r="J46" s="1194">
        <f t="shared" si="1"/>
        <v>0</v>
      </c>
      <c r="K46" s="884"/>
    </row>
    <row r="47" spans="2:11" s="431" customFormat="1" x14ac:dyDescent="0.25">
      <c r="B47" s="97"/>
      <c r="C47" s="1192"/>
      <c r="D47" s="100"/>
      <c r="E47" s="98" t="s">
        <v>2572</v>
      </c>
      <c r="F47" s="1193" t="s">
        <v>167</v>
      </c>
      <c r="G47" s="100" t="s">
        <v>2541</v>
      </c>
      <c r="H47" s="1112"/>
      <c r="I47" s="102"/>
      <c r="J47" s="1194">
        <f t="shared" si="1"/>
        <v>0</v>
      </c>
      <c r="K47" s="884"/>
    </row>
    <row r="48" spans="2:11" s="431" customFormat="1" x14ac:dyDescent="0.25">
      <c r="B48" s="97"/>
      <c r="C48" s="1192"/>
      <c r="D48" s="100"/>
      <c r="E48" s="98" t="s">
        <v>2573</v>
      </c>
      <c r="F48" s="1193" t="s">
        <v>167</v>
      </c>
      <c r="G48" s="100" t="s">
        <v>2541</v>
      </c>
      <c r="H48" s="1112"/>
      <c r="I48" s="102"/>
      <c r="J48" s="1194">
        <f t="shared" si="1"/>
        <v>0</v>
      </c>
      <c r="K48" s="884"/>
    </row>
    <row r="49" spans="2:11" s="431" customFormat="1" ht="25.5" x14ac:dyDescent="0.25">
      <c r="B49" s="97"/>
      <c r="C49" s="1192"/>
      <c r="D49" s="100"/>
      <c r="E49" s="98" t="s">
        <v>2574</v>
      </c>
      <c r="F49" s="1193" t="s">
        <v>167</v>
      </c>
      <c r="G49" s="100" t="s">
        <v>2531</v>
      </c>
      <c r="H49" s="1112"/>
      <c r="I49" s="102"/>
      <c r="J49" s="1194">
        <f t="shared" si="1"/>
        <v>0</v>
      </c>
      <c r="K49" s="884"/>
    </row>
    <row r="50" spans="2:11" s="431" customFormat="1" x14ac:dyDescent="0.25">
      <c r="B50" s="97"/>
      <c r="C50" s="1192"/>
      <c r="D50" s="100"/>
      <c r="E50" s="98" t="s">
        <v>2575</v>
      </c>
      <c r="F50" s="1193" t="s">
        <v>167</v>
      </c>
      <c r="G50" s="100" t="s">
        <v>2541</v>
      </c>
      <c r="H50" s="1112"/>
      <c r="I50" s="102"/>
      <c r="J50" s="1194">
        <f t="shared" si="1"/>
        <v>0</v>
      </c>
      <c r="K50" s="884"/>
    </row>
    <row r="51" spans="2:11" s="431" customFormat="1" x14ac:dyDescent="0.25">
      <c r="B51" s="97"/>
      <c r="C51" s="1192"/>
      <c r="D51" s="100"/>
      <c r="E51" s="98" t="s">
        <v>2576</v>
      </c>
      <c r="F51" s="1193" t="s">
        <v>167</v>
      </c>
      <c r="G51" s="100" t="s">
        <v>2541</v>
      </c>
      <c r="H51" s="1112"/>
      <c r="I51" s="102"/>
      <c r="J51" s="1194">
        <f t="shared" si="1"/>
        <v>0</v>
      </c>
      <c r="K51" s="884"/>
    </row>
    <row r="52" spans="2:11" s="431" customFormat="1" x14ac:dyDescent="0.25">
      <c r="B52" s="97"/>
      <c r="C52" s="1192"/>
      <c r="D52" s="100"/>
      <c r="E52" s="98" t="s">
        <v>2577</v>
      </c>
      <c r="F52" s="1193" t="s">
        <v>167</v>
      </c>
      <c r="G52" s="100" t="s">
        <v>2541</v>
      </c>
      <c r="H52" s="1112"/>
      <c r="I52" s="102"/>
      <c r="J52" s="1194">
        <f t="shared" si="1"/>
        <v>0</v>
      </c>
      <c r="K52" s="884"/>
    </row>
    <row r="53" spans="2:11" s="431" customFormat="1" x14ac:dyDescent="0.25">
      <c r="B53" s="97"/>
      <c r="C53" s="1192"/>
      <c r="D53" s="100"/>
      <c r="E53" s="98" t="s">
        <v>2578</v>
      </c>
      <c r="F53" s="1193" t="s">
        <v>167</v>
      </c>
      <c r="G53" s="100" t="s">
        <v>2541</v>
      </c>
      <c r="H53" s="1112"/>
      <c r="I53" s="102"/>
      <c r="J53" s="1194">
        <f t="shared" si="1"/>
        <v>0</v>
      </c>
      <c r="K53" s="884"/>
    </row>
    <row r="54" spans="2:11" s="431" customFormat="1" x14ac:dyDescent="0.25">
      <c r="B54" s="97"/>
      <c r="C54" s="1192"/>
      <c r="D54" s="100"/>
      <c r="E54" s="98" t="s">
        <v>2579</v>
      </c>
      <c r="F54" s="1193" t="s">
        <v>167</v>
      </c>
      <c r="G54" s="100" t="s">
        <v>2541</v>
      </c>
      <c r="H54" s="1112"/>
      <c r="I54" s="102"/>
      <c r="J54" s="1194">
        <f t="shared" si="1"/>
        <v>0</v>
      </c>
      <c r="K54" s="884"/>
    </row>
    <row r="55" spans="2:11" s="431" customFormat="1" x14ac:dyDescent="0.25">
      <c r="B55" s="97"/>
      <c r="C55" s="1192"/>
      <c r="D55" s="100"/>
      <c r="E55" s="98" t="s">
        <v>2580</v>
      </c>
      <c r="F55" s="1193" t="s">
        <v>167</v>
      </c>
      <c r="G55" s="100" t="s">
        <v>2541</v>
      </c>
      <c r="H55" s="1112"/>
      <c r="I55" s="102"/>
      <c r="J55" s="1194">
        <f t="shared" si="1"/>
        <v>0</v>
      </c>
      <c r="K55" s="884"/>
    </row>
    <row r="56" spans="2:11" s="431" customFormat="1" x14ac:dyDescent="0.25">
      <c r="B56" s="97"/>
      <c r="C56" s="1192"/>
      <c r="D56" s="100"/>
      <c r="E56" s="98" t="s">
        <v>2581</v>
      </c>
      <c r="F56" s="1193" t="s">
        <v>167</v>
      </c>
      <c r="G56" s="100" t="s">
        <v>2541</v>
      </c>
      <c r="H56" s="1112"/>
      <c r="I56" s="102"/>
      <c r="J56" s="1194">
        <f t="shared" si="1"/>
        <v>0</v>
      </c>
      <c r="K56" s="884"/>
    </row>
    <row r="57" spans="2:11" s="431" customFormat="1" x14ac:dyDescent="0.25">
      <c r="B57" s="97"/>
      <c r="C57" s="1192"/>
      <c r="D57" s="100"/>
      <c r="E57" s="98" t="s">
        <v>2582</v>
      </c>
      <c r="F57" s="1193" t="s">
        <v>167</v>
      </c>
      <c r="G57" s="100" t="s">
        <v>2541</v>
      </c>
      <c r="H57" s="1112"/>
      <c r="I57" s="102"/>
      <c r="J57" s="1194">
        <f t="shared" si="1"/>
        <v>0</v>
      </c>
      <c r="K57" s="884"/>
    </row>
    <row r="58" spans="2:11" s="431" customFormat="1" x14ac:dyDescent="0.25">
      <c r="B58" s="97"/>
      <c r="C58" s="1192"/>
      <c r="D58" s="100"/>
      <c r="E58" s="98" t="s">
        <v>2583</v>
      </c>
      <c r="F58" s="1193" t="s">
        <v>167</v>
      </c>
      <c r="G58" s="100" t="s">
        <v>2541</v>
      </c>
      <c r="H58" s="1112"/>
      <c r="I58" s="102"/>
      <c r="J58" s="1194">
        <f t="shared" si="1"/>
        <v>0</v>
      </c>
      <c r="K58" s="884"/>
    </row>
    <row r="59" spans="2:11" s="431" customFormat="1" x14ac:dyDescent="0.25">
      <c r="B59" s="97"/>
      <c r="C59" s="1192"/>
      <c r="D59" s="100"/>
      <c r="E59" s="98" t="s">
        <v>2584</v>
      </c>
      <c r="F59" s="1193" t="s">
        <v>167</v>
      </c>
      <c r="G59" s="100" t="s">
        <v>2541</v>
      </c>
      <c r="H59" s="1112"/>
      <c r="I59" s="102"/>
      <c r="J59" s="1194">
        <f t="shared" si="1"/>
        <v>0</v>
      </c>
      <c r="K59" s="884"/>
    </row>
    <row r="60" spans="2:11" s="431" customFormat="1" x14ac:dyDescent="0.25">
      <c r="B60" s="97"/>
      <c r="C60" s="1192"/>
      <c r="D60" s="100"/>
      <c r="E60" s="98" t="s">
        <v>2585</v>
      </c>
      <c r="F60" s="1193" t="s">
        <v>167</v>
      </c>
      <c r="G60" s="100" t="s">
        <v>2541</v>
      </c>
      <c r="H60" s="1112"/>
      <c r="I60" s="102"/>
      <c r="J60" s="1194">
        <f t="shared" si="1"/>
        <v>0</v>
      </c>
      <c r="K60" s="884"/>
    </row>
    <row r="61" spans="2:11" s="431" customFormat="1" x14ac:dyDescent="0.25">
      <c r="B61" s="97"/>
      <c r="C61" s="1192"/>
      <c r="D61" s="100"/>
      <c r="E61" s="98" t="s">
        <v>2586</v>
      </c>
      <c r="F61" s="1193" t="s">
        <v>167</v>
      </c>
      <c r="G61" s="100" t="s">
        <v>2531</v>
      </c>
      <c r="H61" s="1112"/>
      <c r="I61" s="102"/>
      <c r="J61" s="1194">
        <f t="shared" si="1"/>
        <v>0</v>
      </c>
      <c r="K61" s="884"/>
    </row>
    <row r="62" spans="2:11" s="431" customFormat="1" x14ac:dyDescent="0.25">
      <c r="B62" s="97"/>
      <c r="C62" s="1192"/>
      <c r="D62" s="100"/>
      <c r="E62" s="98" t="s">
        <v>2587</v>
      </c>
      <c r="F62" s="1193" t="s">
        <v>167</v>
      </c>
      <c r="G62" s="100" t="s">
        <v>2531</v>
      </c>
      <c r="H62" s="1112"/>
      <c r="I62" s="102"/>
      <c r="J62" s="1194">
        <f t="shared" si="1"/>
        <v>0</v>
      </c>
      <c r="K62" s="884"/>
    </row>
    <row r="63" spans="2:11" s="431" customFormat="1" x14ac:dyDescent="0.25">
      <c r="B63" s="97"/>
      <c r="C63" s="1192"/>
      <c r="D63" s="100"/>
      <c r="E63" s="98" t="s">
        <v>2588</v>
      </c>
      <c r="F63" s="1193" t="s">
        <v>167</v>
      </c>
      <c r="G63" s="100" t="s">
        <v>2531</v>
      </c>
      <c r="H63" s="1112"/>
      <c r="I63" s="102"/>
      <c r="J63" s="1194">
        <f t="shared" si="1"/>
        <v>0</v>
      </c>
      <c r="K63" s="884"/>
    </row>
    <row r="64" spans="2:11" s="431" customFormat="1" x14ac:dyDescent="0.25">
      <c r="B64" s="97"/>
      <c r="C64" s="1192"/>
      <c r="D64" s="100"/>
      <c r="E64" s="98" t="s">
        <v>2589</v>
      </c>
      <c r="F64" s="1193" t="s">
        <v>167</v>
      </c>
      <c r="G64" s="100" t="s">
        <v>2531</v>
      </c>
      <c r="H64" s="1112"/>
      <c r="I64" s="102"/>
      <c r="J64" s="1194">
        <f t="shared" si="1"/>
        <v>0</v>
      </c>
      <c r="K64" s="884"/>
    </row>
    <row r="65" spans="2:11" s="431" customFormat="1" x14ac:dyDescent="0.25">
      <c r="B65" s="97"/>
      <c r="C65" s="1192"/>
      <c r="D65" s="100"/>
      <c r="E65" s="98" t="s">
        <v>2590</v>
      </c>
      <c r="F65" s="1193" t="s">
        <v>167</v>
      </c>
      <c r="G65" s="100" t="s">
        <v>2531</v>
      </c>
      <c r="H65" s="1112"/>
      <c r="I65" s="102"/>
      <c r="J65" s="1194">
        <f t="shared" si="1"/>
        <v>0</v>
      </c>
      <c r="K65" s="884"/>
    </row>
    <row r="66" spans="2:11" s="431" customFormat="1" x14ac:dyDescent="0.25">
      <c r="B66" s="97"/>
      <c r="C66" s="1192"/>
      <c r="D66" s="100"/>
      <c r="E66" s="98" t="s">
        <v>2591</v>
      </c>
      <c r="F66" s="1193" t="s">
        <v>167</v>
      </c>
      <c r="G66" s="100" t="s">
        <v>2531</v>
      </c>
      <c r="H66" s="1112"/>
      <c r="I66" s="102"/>
      <c r="J66" s="1194">
        <f t="shared" si="1"/>
        <v>0</v>
      </c>
      <c r="K66" s="884"/>
    </row>
    <row r="67" spans="2:11" s="431" customFormat="1" x14ac:dyDescent="0.25">
      <c r="B67" s="97"/>
      <c r="C67" s="1192"/>
      <c r="D67" s="100"/>
      <c r="E67" s="98" t="s">
        <v>2592</v>
      </c>
      <c r="F67" s="1193" t="s">
        <v>167</v>
      </c>
      <c r="G67" s="100" t="s">
        <v>2531</v>
      </c>
      <c r="H67" s="1112"/>
      <c r="I67" s="102"/>
      <c r="J67" s="1194">
        <f t="shared" si="1"/>
        <v>0</v>
      </c>
      <c r="K67" s="884"/>
    </row>
    <row r="68" spans="2:11" s="431" customFormat="1" x14ac:dyDescent="0.25">
      <c r="B68" s="97"/>
      <c r="C68" s="1192"/>
      <c r="D68" s="100"/>
      <c r="E68" s="98" t="s">
        <v>2593</v>
      </c>
      <c r="F68" s="1193" t="s">
        <v>167</v>
      </c>
      <c r="G68" s="100" t="s">
        <v>2531</v>
      </c>
      <c r="H68" s="1112"/>
      <c r="I68" s="102"/>
      <c r="J68" s="1194">
        <f t="shared" si="1"/>
        <v>0</v>
      </c>
      <c r="K68" s="884"/>
    </row>
    <row r="69" spans="2:11" s="431" customFormat="1" x14ac:dyDescent="0.25">
      <c r="B69" s="97"/>
      <c r="C69" s="1192"/>
      <c r="D69" s="100"/>
      <c r="E69" s="98" t="s">
        <v>2594</v>
      </c>
      <c r="F69" s="1193" t="s">
        <v>167</v>
      </c>
      <c r="G69" s="100" t="s">
        <v>2531</v>
      </c>
      <c r="H69" s="1112"/>
      <c r="I69" s="102"/>
      <c r="J69" s="1194">
        <f t="shared" si="1"/>
        <v>0</v>
      </c>
      <c r="K69" s="884"/>
    </row>
    <row r="70" spans="2:11" s="431" customFormat="1" x14ac:dyDescent="0.25">
      <c r="B70" s="97"/>
      <c r="C70" s="1192"/>
      <c r="D70" s="100"/>
      <c r="E70" s="98" t="s">
        <v>2595</v>
      </c>
      <c r="F70" s="1193" t="s">
        <v>167</v>
      </c>
      <c r="G70" s="100" t="s">
        <v>2531</v>
      </c>
      <c r="H70" s="1112"/>
      <c r="I70" s="102"/>
      <c r="J70" s="1194">
        <f t="shared" si="1"/>
        <v>0</v>
      </c>
      <c r="K70" s="884"/>
    </row>
    <row r="71" spans="2:11" s="431" customFormat="1" x14ac:dyDescent="0.25">
      <c r="B71" s="97"/>
      <c r="C71" s="1192"/>
      <c r="D71" s="100"/>
      <c r="E71" s="98" t="s">
        <v>2596</v>
      </c>
      <c r="F71" s="1193" t="s">
        <v>167</v>
      </c>
      <c r="G71" s="100" t="s">
        <v>2531</v>
      </c>
      <c r="H71" s="1112"/>
      <c r="I71" s="102"/>
      <c r="J71" s="1194">
        <f t="shared" si="1"/>
        <v>0</v>
      </c>
      <c r="K71" s="884"/>
    </row>
    <row r="72" spans="2:11" s="431" customFormat="1" x14ac:dyDescent="0.25">
      <c r="B72" s="97"/>
      <c r="C72" s="1192"/>
      <c r="D72" s="100"/>
      <c r="E72" s="98" t="s">
        <v>2597</v>
      </c>
      <c r="F72" s="1193" t="s">
        <v>167</v>
      </c>
      <c r="G72" s="100" t="s">
        <v>2531</v>
      </c>
      <c r="H72" s="1112"/>
      <c r="I72" s="102"/>
      <c r="J72" s="1194">
        <f t="shared" si="1"/>
        <v>0</v>
      </c>
      <c r="K72" s="884"/>
    </row>
    <row r="73" spans="2:11" s="431" customFormat="1" x14ac:dyDescent="0.25">
      <c r="B73" s="97"/>
      <c r="C73" s="1192"/>
      <c r="D73" s="100"/>
      <c r="E73" s="98" t="s">
        <v>2598</v>
      </c>
      <c r="F73" s="1193" t="s">
        <v>167</v>
      </c>
      <c r="G73" s="100" t="s">
        <v>2531</v>
      </c>
      <c r="H73" s="1112"/>
      <c r="I73" s="102"/>
      <c r="J73" s="1194">
        <f t="shared" si="1"/>
        <v>0</v>
      </c>
      <c r="K73" s="884"/>
    </row>
    <row r="74" spans="2:11" s="431" customFormat="1" x14ac:dyDescent="0.25">
      <c r="B74" s="97"/>
      <c r="C74" s="1192"/>
      <c r="D74" s="100"/>
      <c r="E74" s="98" t="s">
        <v>2599</v>
      </c>
      <c r="F74" s="1193" t="s">
        <v>167</v>
      </c>
      <c r="G74" s="100" t="s">
        <v>2531</v>
      </c>
      <c r="H74" s="1112"/>
      <c r="I74" s="102"/>
      <c r="J74" s="1194">
        <f t="shared" si="1"/>
        <v>0</v>
      </c>
      <c r="K74" s="884"/>
    </row>
    <row r="75" spans="2:11" s="431" customFormat="1" x14ac:dyDescent="0.25">
      <c r="B75" s="921"/>
      <c r="C75" s="1203"/>
      <c r="D75" s="885"/>
      <c r="E75" s="888" t="s">
        <v>2600</v>
      </c>
      <c r="F75" s="1204" t="s">
        <v>167</v>
      </c>
      <c r="G75" s="885" t="s">
        <v>2531</v>
      </c>
      <c r="H75" s="1113"/>
      <c r="I75" s="890"/>
      <c r="J75" s="1205">
        <f t="shared" si="1"/>
        <v>0</v>
      </c>
      <c r="K75" s="892"/>
    </row>
  </sheetData>
  <mergeCells count="5">
    <mergeCell ref="B5:E6"/>
    <mergeCell ref="F5:I5"/>
    <mergeCell ref="F6:I6"/>
    <mergeCell ref="B7:E7"/>
    <mergeCell ref="B18:E18"/>
  </mergeCells>
  <dataValidations count="1">
    <dataValidation type="list" allowBlank="1" showInputMessage="1" showErrorMessage="1" sqref="F7:F75" xr:uid="{71A0E414-273F-4C73-AECC-80273460E4C2}">
      <formula1>"Mandatory,Optional,NA"</formula1>
    </dataValidation>
  </dataValidations>
  <pageMargins left="0.75" right="0.75" top="1" bottom="1" header="0" footer="0"/>
  <pageSetup paperSize="9" orientation="portrait" r:id="rId1"/>
  <headerFooter alignWithMargins="0">
    <oddHeader>&amp;C&amp;"Arial"&amp;8&amp;K000000INTERNAL&amp;1#</oddHead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176a753d-2ad3-40d7-8cb5-6a73a4f89b53">
      <Terms xmlns="http://schemas.microsoft.com/office/infopath/2007/PartnerControls"/>
    </lcf76f155ced4ddcb4097134ff3c332f>
    <TaxCatchAll xmlns="48022365-a8b4-4291-98b8-2e877ecbe4ed" xsi:nil="true"/>
    <_dlc_DocId xmlns="48022365-a8b4-4291-98b8-2e877ecbe4ed">4C6ECVHX73WY-1477382517-945830</_dlc_DocId>
    <_dlc_DocIdUrl xmlns="48022365-a8b4-4291-98b8-2e877ecbe4ed">
      <Url>https://enelcom.sharepoint.com/sites/FSRE0080/REN_GRE_PROC_SOLAR/_layouts/15/DocIdRedir.aspx?ID=4C6ECVHX73WY-1477382517-945830</Url>
      <Description>4C6ECVHX73WY-1477382517-945830</Description>
    </_dlc_DocIdUrl>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1042DBB1E54BA046A6DB6BCB25BC67A8" ma:contentTypeVersion="17942" ma:contentTypeDescription="Creare un nuovo documento." ma:contentTypeScope="" ma:versionID="3130ca2f8fc5441f70fe7669b2a50d51">
  <xsd:schema xmlns:xsd="http://www.w3.org/2001/XMLSchema" xmlns:xs="http://www.w3.org/2001/XMLSchema" xmlns:p="http://schemas.microsoft.com/office/2006/metadata/properties" xmlns:ns2="48022365-a8b4-4291-98b8-2e877ecbe4ed" xmlns:ns3="f3e23e57-e9f8-49bd-bf17-8b73db59ba78" xmlns:ns4="176a753d-2ad3-40d7-8cb5-6a73a4f89b53" targetNamespace="http://schemas.microsoft.com/office/2006/metadata/properties" ma:root="true" ma:fieldsID="964d84bdcaac207d49051d6bbcad16f4" ns2:_="" ns3:_="" ns4:_="">
    <xsd:import namespace="48022365-a8b4-4291-98b8-2e877ecbe4ed"/>
    <xsd:import namespace="f3e23e57-e9f8-49bd-bf17-8b73db59ba78"/>
    <xsd:import namespace="176a753d-2ad3-40d7-8cb5-6a73a4f89b53"/>
    <xsd:element name="properties">
      <xsd:complexType>
        <xsd:sequence>
          <xsd:element name="documentManagement">
            <xsd:complexType>
              <xsd:all>
                <xsd:element ref="ns2:_dlc_DocId" minOccurs="0"/>
                <xsd:element ref="ns2:_dlc_DocIdUrl" minOccurs="0"/>
                <xsd:element ref="ns2:_dlc_DocIdPersistId" minOccurs="0"/>
                <xsd:element ref="ns3:SharedWithUsers" minOccurs="0"/>
                <xsd:element ref="ns3:SharedWithDetails" minOccurs="0"/>
                <xsd:element ref="ns4:MediaServiceMetadata" minOccurs="0"/>
                <xsd:element ref="ns4:MediaServiceFastMetadata" minOccurs="0"/>
                <xsd:element ref="ns4:MediaServiceAutoKeyPoints" minOccurs="0"/>
                <xsd:element ref="ns4:MediaServiceKeyPoints" minOccurs="0"/>
                <xsd:element ref="ns4:MediaServiceAutoTags" minOccurs="0"/>
                <xsd:element ref="ns4:MediaServiceOCR" minOccurs="0"/>
                <xsd:element ref="ns4:MediaServiceGenerationTime" minOccurs="0"/>
                <xsd:element ref="ns4:MediaServiceEventHashCode" minOccurs="0"/>
                <xsd:element ref="ns4:MediaServiceDateTaken" minOccurs="0"/>
                <xsd:element ref="ns4:MediaServiceLocation" minOccurs="0"/>
                <xsd:element ref="ns4:MediaLengthInSeconds" minOccurs="0"/>
                <xsd:element ref="ns4:lcf76f155ced4ddcb4097134ff3c332f" minOccurs="0"/>
                <xsd:element ref="ns2:TaxCatchAll" minOccurs="0"/>
                <xsd:element ref="ns4:MediaServiceObjectDetectorVersions" minOccurs="0"/>
                <xsd:element ref="ns4: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8022365-a8b4-4291-98b8-2e877ecbe4ed" elementFormDefault="qualified">
    <xsd:import namespace="http://schemas.microsoft.com/office/2006/documentManagement/types"/>
    <xsd:import namespace="http://schemas.microsoft.com/office/infopath/2007/PartnerControls"/>
    <xsd:element name="_dlc_DocId" ma:index="8" nillable="true" ma:displayName="Valore ID documento" ma:description="Valore dell'ID documento assegnato all'elemento." ma:internalName="_dlc_DocId" ma:readOnly="true">
      <xsd:simpleType>
        <xsd:restriction base="dms:Text"/>
      </xsd:simpleType>
    </xsd:element>
    <xsd:element name="_dlc_DocIdUrl" ma:index="9" nillable="true" ma:displayName="ID documento" ma:description="Collegamento permanente al documento."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26" nillable="true" ma:displayName="Taxonomy Catch All Column" ma:hidden="true" ma:list="{90ea1242-30a7-4601-a685-b1b611d9be61}" ma:internalName="TaxCatchAll" ma:showField="CatchAllData" ma:web="48022365-a8b4-4291-98b8-2e877ecbe4ed">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f3e23e57-e9f8-49bd-bf17-8b73db59ba78" elementFormDefault="qualified">
    <xsd:import namespace="http://schemas.microsoft.com/office/2006/documentManagement/types"/>
    <xsd:import namespace="http://schemas.microsoft.com/office/infopath/2007/PartnerControls"/>
    <xsd:element name="SharedWithUsers" ma:index="11" nillable="true" ma:displayName="Condivis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Condiviso con dettagli"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6a753d-2ad3-40d7-8cb5-6a73a4f89b53" elementFormDefault="qualified">
    <xsd:import namespace="http://schemas.microsoft.com/office/2006/documentManagement/types"/>
    <xsd:import namespace="http://schemas.microsoft.com/office/infopath/2007/PartnerControls"/>
    <xsd:element name="MediaServiceMetadata" ma:index="13" nillable="true" ma:displayName="MediaServiceMetadata" ma:hidden="true" ma:internalName="MediaServiceMetadata" ma:readOnly="true">
      <xsd:simpleType>
        <xsd:restriction base="dms:Note"/>
      </xsd:simpleType>
    </xsd:element>
    <xsd:element name="MediaServiceFastMetadata" ma:index="14" nillable="true" ma:displayName="MediaServiceFastMetadata" ma:hidden="true" ma:internalName="MediaServiceFastMetadata" ma:readOnly="true">
      <xsd:simpleType>
        <xsd:restriction base="dms:Note"/>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AutoTags" ma:index="17" nillable="true" ma:displayName="Tags" ma:internalName="MediaServiceAutoTags"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DateTaken" ma:index="21" nillable="true" ma:displayName="MediaServiceDateTaken" ma:hidden="true" ma:internalName="MediaServiceDateTaken" ma:readOnly="true">
      <xsd:simpleType>
        <xsd:restriction base="dms:Text"/>
      </xsd:simpleType>
    </xsd:element>
    <xsd:element name="MediaServiceLocation" ma:index="22" nillable="true" ma:displayName="Location" ma:internalName="MediaServiceLocation" ma:readOnly="true">
      <xsd:simpleType>
        <xsd:restriction base="dms:Text"/>
      </xsd:simpleType>
    </xsd:element>
    <xsd:element name="MediaLengthInSeconds" ma:index="23" nillable="true" ma:displayName="MediaLengthInSeconds" ma:hidden="true" ma:internalName="MediaLengthInSeconds" ma:readOnly="true">
      <xsd:simpleType>
        <xsd:restriction base="dms:Unknown"/>
      </xsd:simpleType>
    </xsd:element>
    <xsd:element name="lcf76f155ced4ddcb4097134ff3c332f" ma:index="25" nillable="true" ma:taxonomy="true" ma:internalName="lcf76f155ced4ddcb4097134ff3c332f" ma:taxonomyFieldName="MediaServiceImageTags" ma:displayName="Tag immagine" ma:readOnly="false" ma:fieldId="{5cf76f15-5ced-4ddc-b409-7134ff3c332f}" ma:taxonomyMulti="true" ma:sspId="ba5ac2a7-3560-40f7-821c-bf6f1f0e003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i contenuto"/>
        <xsd:element ref="dc:title" minOccurs="0" maxOccurs="1" ma:index="4" ma:displayName="Tito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8F876A49-FEA3-4402-8D57-9F60D79FEFDF}">
  <ds:schemaRefs>
    <ds:schemaRef ds:uri="http://schemas.microsoft.com/sharepoint/v3/contenttype/forms"/>
  </ds:schemaRefs>
</ds:datastoreItem>
</file>

<file path=customXml/itemProps2.xml><?xml version="1.0" encoding="utf-8"?>
<ds:datastoreItem xmlns:ds="http://schemas.openxmlformats.org/officeDocument/2006/customXml" ds:itemID="{A5321FE5-3979-4E36-BF92-E331E756E8C5}">
  <ds:schemaRefs>
    <ds:schemaRef ds:uri="http://schemas.microsoft.com/office/infopath/2007/PartnerControls"/>
    <ds:schemaRef ds:uri="http://schemas.microsoft.com/office/2006/metadata/properties"/>
    <ds:schemaRef ds:uri="http://purl.org/dc/terms/"/>
    <ds:schemaRef ds:uri="bafede38-7fd8-4040-b7dc-367d9e6e36dd"/>
    <ds:schemaRef ds:uri="http://www.w3.org/XML/1998/namespace"/>
    <ds:schemaRef ds:uri="http://purl.org/dc/elements/1.1/"/>
    <ds:schemaRef ds:uri="http://schemas.microsoft.com/office/2006/documentManagement/types"/>
    <ds:schemaRef ds:uri="http://schemas.openxmlformats.org/package/2006/metadata/core-properties"/>
    <ds:schemaRef ds:uri="44ef56ac-e65b-4524-b28d-f1dfdfd1de1e"/>
    <ds:schemaRef ds:uri="http://purl.org/dc/dcmitype/"/>
    <ds:schemaRef ds:uri="176a753d-2ad3-40d7-8cb5-6a73a4f89b53"/>
    <ds:schemaRef ds:uri="48022365-a8b4-4291-98b8-2e877ecbe4ed"/>
  </ds:schemaRefs>
</ds:datastoreItem>
</file>

<file path=customXml/itemProps3.xml><?xml version="1.0" encoding="utf-8"?>
<ds:datastoreItem xmlns:ds="http://schemas.openxmlformats.org/officeDocument/2006/customXml" ds:itemID="{66795213-E308-4722-AEB7-0BA3F65F7D9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8022365-a8b4-4291-98b8-2e877ecbe4ed"/>
    <ds:schemaRef ds:uri="f3e23e57-e9f8-49bd-bf17-8b73db59ba78"/>
    <ds:schemaRef ds:uri="176a753d-2ad3-40d7-8cb5-6a73a4f89b5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068148C-DBF4-463F-B73F-BCD21DA88571}">
  <ds:schemaRefs>
    <ds:schemaRef ds:uri="http://schemas.microsoft.com/sharepoint/event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Fogli di lavoro</vt:lpstr>
      </vt:variant>
      <vt:variant>
        <vt:i4>35</vt:i4>
      </vt:variant>
      <vt:variant>
        <vt:lpstr>Intervalli denominati</vt:lpstr>
      </vt:variant>
      <vt:variant>
        <vt:i4>1</vt:i4>
      </vt:variant>
    </vt:vector>
  </HeadingPairs>
  <TitlesOfParts>
    <vt:vector size="36" baseType="lpstr">
      <vt:lpstr>Index</vt:lpstr>
      <vt:lpstr>Summary</vt:lpstr>
      <vt:lpstr>Per AB</vt:lpstr>
      <vt:lpstr>Miscellaneous</vt:lpstr>
      <vt:lpstr>O&amp;M building</vt:lpstr>
      <vt:lpstr>Foglio1</vt:lpstr>
      <vt:lpstr>Design</vt:lpstr>
      <vt:lpstr>Solar-BOP</vt:lpstr>
      <vt:lpstr>SiteCamp</vt:lpstr>
      <vt:lpstr>Personnel</vt:lpstr>
      <vt:lpstr>HSE</vt:lpstr>
      <vt:lpstr>Commissioning</vt:lpstr>
      <vt:lpstr>EMBOP_CI</vt:lpstr>
      <vt:lpstr>EMBOP-CI_ITA</vt:lpstr>
      <vt:lpstr>EMBOP-SI_ITA</vt:lpstr>
      <vt:lpstr>Civil Works</vt:lpstr>
      <vt:lpstr>ACCESS ROADS</vt:lpstr>
      <vt:lpstr>Env Works</vt:lpstr>
      <vt:lpstr>EMBOP_SI</vt:lpstr>
      <vt:lpstr>EMBOP-TRK Install.</vt:lpstr>
      <vt:lpstr>Tracker Supply</vt:lpstr>
      <vt:lpstr>FX Supply</vt:lpstr>
      <vt:lpstr>Ex Tracker supply</vt:lpstr>
      <vt:lpstr>SI Supply</vt:lpstr>
      <vt:lpstr>PCU Supply</vt:lpstr>
      <vt:lpstr>EMBOP-FX Install.</vt:lpstr>
      <vt:lpstr>TC Supply</vt:lpstr>
      <vt:lpstr>Process_OLD</vt:lpstr>
      <vt:lpstr>Process</vt:lpstr>
      <vt:lpstr>Spare Parts</vt:lpstr>
      <vt:lpstr>HSE (ITA ESP)</vt:lpstr>
      <vt:lpstr>SUS</vt:lpstr>
      <vt:lpstr>Security</vt:lpstr>
      <vt:lpstr>Reference documents</vt:lpstr>
      <vt:lpstr>Labour rates-Mach rental rates</vt:lpstr>
      <vt:lpstr>Index!Area_stampa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Tamma Francesco (EGP&amp;TGX)</dc:creator>
  <cp:keywords/>
  <dc:description/>
  <cp:lastModifiedBy>Bolognesi Simone (GP EGP&amp;TGX)</cp:lastModifiedBy>
  <cp:revision/>
  <dcterms:created xsi:type="dcterms:W3CDTF">2015-06-05T18:17:20Z</dcterms:created>
  <dcterms:modified xsi:type="dcterms:W3CDTF">2025-07-06T17:55:26Z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97ad33d-ed35-43c0-b526-22bc83c17deb_Enabled">
    <vt:lpwstr>true</vt:lpwstr>
  </property>
  <property fmtid="{D5CDD505-2E9C-101B-9397-08002B2CF9AE}" pid="3" name="MSIP_Label_797ad33d-ed35-43c0-b526-22bc83c17deb_SetDate">
    <vt:lpwstr>2024-09-13T09:45:33Z</vt:lpwstr>
  </property>
  <property fmtid="{D5CDD505-2E9C-101B-9397-08002B2CF9AE}" pid="4" name="MSIP_Label_797ad33d-ed35-43c0-b526-22bc83c17deb_Method">
    <vt:lpwstr>Standard</vt:lpwstr>
  </property>
  <property fmtid="{D5CDD505-2E9C-101B-9397-08002B2CF9AE}" pid="5" name="MSIP_Label_797ad33d-ed35-43c0-b526-22bc83c17deb_Name">
    <vt:lpwstr>797ad33d-ed35-43c0-b526-22bc83c17deb</vt:lpwstr>
  </property>
  <property fmtid="{D5CDD505-2E9C-101B-9397-08002B2CF9AE}" pid="6" name="MSIP_Label_797ad33d-ed35-43c0-b526-22bc83c17deb_SiteId">
    <vt:lpwstr>d539d4bf-5610-471a-afc2-1c76685cfefa</vt:lpwstr>
  </property>
  <property fmtid="{D5CDD505-2E9C-101B-9397-08002B2CF9AE}" pid="7" name="MSIP_Label_797ad33d-ed35-43c0-b526-22bc83c17deb_ActionId">
    <vt:lpwstr>a37771c1-0419-4749-b2cd-3370f75f8421</vt:lpwstr>
  </property>
  <property fmtid="{D5CDD505-2E9C-101B-9397-08002B2CF9AE}" pid="8" name="MSIP_Label_797ad33d-ed35-43c0-b526-22bc83c17deb_ContentBits">
    <vt:lpwstr>1</vt:lpwstr>
  </property>
  <property fmtid="{D5CDD505-2E9C-101B-9397-08002B2CF9AE}" pid="9" name="ContentTypeId">
    <vt:lpwstr>0x0101001042DBB1E54BA046A6DB6BCB25BC67A8</vt:lpwstr>
  </property>
  <property fmtid="{D5CDD505-2E9C-101B-9397-08002B2CF9AE}" pid="10" name="MediaServiceImageTags">
    <vt:lpwstr/>
  </property>
  <property fmtid="{D5CDD505-2E9C-101B-9397-08002B2CF9AE}" pid="11" name="_dlc_DocIdItemGuid">
    <vt:lpwstr>1a5a755a-cf42-4390-8e9a-be69b53cffd6</vt:lpwstr>
  </property>
</Properties>
</file>